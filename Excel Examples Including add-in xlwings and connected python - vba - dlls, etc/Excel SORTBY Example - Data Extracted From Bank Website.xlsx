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yt2k-my.sharepoint.com/personal/jignesh1567_0yt2k_onmicrosoft_com/Documents/Excel Examples Including  add-in xlwings and connected python - vba - dlls, etc/"/>
    </mc:Choice>
  </mc:AlternateContent>
  <xr:revisionPtr revIDLastSave="7" documentId="8_{E46C618A-D5B4-47A9-8EE5-41B8DE5CE62C}" xr6:coauthVersionLast="47" xr6:coauthVersionMax="47" xr10:uidLastSave="{35D3D56C-9DC6-4505-AD6E-78CFD1B5FFE6}"/>
  <bookViews>
    <workbookView xWindow="-108" yWindow="-108" windowWidth="23256" windowHeight="12456" xr2:uid="{39E82D34-22D3-4584-BD81-8B2DE041BF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 a="1"/>
  <c r="J3" i="1" s="1"/>
  <c r="O3" i="1" a="1"/>
  <c r="H3" i="1" a="1"/>
  <c r="H3" i="1" s="1"/>
  <c r="O3" i="1" l="1"/>
  <c r="Q3" i="1" s="1" a="1"/>
  <c r="Q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<sst xmlns="http://schemas.openxmlformats.org/spreadsheetml/2006/main" count="432" uniqueCount="138">
  <si>
    <t>Account No. / Name</t>
  </si>
  <si>
    <t>Deposit date / Maturity date</t>
  </si>
  <si>
    <t>ROI(%p.a)</t>
  </si>
  <si>
    <t>Tenor</t>
  </si>
  <si>
    <t>Principal Amount</t>
  </si>
  <si>
    <t>Lien Amount</t>
  </si>
  <si>
    <t>Available Balance</t>
  </si>
  <si>
    <t>Maturity Amount</t>
  </si>
  <si>
    <t>00000044549326997 /</t>
  </si>
  <si>
    <t>12-Oct-2025 /  12-Oct-2030</t>
  </si>
  <si>
    <t>5 Year(s)</t>
  </si>
  <si>
    <t>0 Month(s)</t>
  </si>
  <si>
    <t>0 Day(s)</t>
  </si>
  <si>
    <t>INR  4,00,000.00</t>
  </si>
  <si>
    <t>00000044151722696 /</t>
  </si>
  <si>
    <t>04-Jun-2025 /  04-Jun-2030</t>
  </si>
  <si>
    <t>INR  7,50,000.00</t>
  </si>
  <si>
    <t>00000043951464246 /</t>
  </si>
  <si>
    <t>28-Mar-2025 /  28-Mar-2030</t>
  </si>
  <si>
    <t>INR  4,25,000.00</t>
  </si>
  <si>
    <t>00000043948020883 /</t>
  </si>
  <si>
    <t>27-Mar-2025 /  27-Mar-2030</t>
  </si>
  <si>
    <t>00000043924356732 /</t>
  </si>
  <si>
    <t>19-Mar-2025 /  19-Mar-2030</t>
  </si>
  <si>
    <t>INR  6,50,000.00</t>
  </si>
  <si>
    <t>00000043924355648 /</t>
  </si>
  <si>
    <t>INR  6,00,000.00</t>
  </si>
  <si>
    <t>00000043739769502 /</t>
  </si>
  <si>
    <t>22-Jan-2025 /  11-Apr-2026</t>
  </si>
  <si>
    <t>0 Year(s)</t>
  </si>
  <si>
    <t>444 Day(s)</t>
  </si>
  <si>
    <t>INR  5,00,000.00</t>
  </si>
  <si>
    <t>00000043739746201 /</t>
  </si>
  <si>
    <t>00000043724181972 /</t>
  </si>
  <si>
    <t>17-Jan-2025 /  06-Apr-2026</t>
  </si>
  <si>
    <t>00000043724175005 /</t>
  </si>
  <si>
    <t>00000043715212096 /</t>
  </si>
  <si>
    <t>14-Jan-2025 /  03-Apr-2026</t>
  </si>
  <si>
    <t>INR  3,00,000.00</t>
  </si>
  <si>
    <t>00000043699769640 /</t>
  </si>
  <si>
    <t>08-Jan-2025 /  28-Mar-2026</t>
  </si>
  <si>
    <t>00000043699857936 /</t>
  </si>
  <si>
    <t>00000043656356815 /</t>
  </si>
  <si>
    <t>27-Dec-2024 /  16-Mar-2026</t>
  </si>
  <si>
    <t>INR  4,75,000.00</t>
  </si>
  <si>
    <t>00000043656413479 /</t>
  </si>
  <si>
    <t>00000043656348566 /</t>
  </si>
  <si>
    <t>00000043651777486 /</t>
  </si>
  <si>
    <t>25-Dec-2024 /  14-Mar-2026</t>
  </si>
  <si>
    <t>INR  5,50,000.00</t>
  </si>
  <si>
    <t>00000043651859520 /</t>
  </si>
  <si>
    <t>00000043638196089 /</t>
  </si>
  <si>
    <t>20-Dec-2024 /  09-Mar-2026</t>
  </si>
  <si>
    <t>INR  6,75,000.00</t>
  </si>
  <si>
    <t>00000040877860936 /</t>
  </si>
  <si>
    <t>26-Mar-2022 /  26-Mar-2029</t>
  </si>
  <si>
    <t>7 Year(s)</t>
  </si>
  <si>
    <t>00000040877860153 /</t>
  </si>
  <si>
    <t>00000040831120542 /</t>
  </si>
  <si>
    <t>05-Mar-2022 /  05-Mar-2029</t>
  </si>
  <si>
    <t>00000040831119683 /</t>
  </si>
  <si>
    <t>00000040805300229 /</t>
  </si>
  <si>
    <t>23-Feb-2022 /  23-Feb-2029</t>
  </si>
  <si>
    <t>00000040755402964 /</t>
  </si>
  <si>
    <t>02-Feb-2022 /  02-Feb-2029</t>
  </si>
  <si>
    <t>INR  1,25,000.00</t>
  </si>
  <si>
    <t>00000040754212545 /</t>
  </si>
  <si>
    <t>00000040754211971 /</t>
  </si>
  <si>
    <t>00000040754209869 /</t>
  </si>
  <si>
    <t>00000039285112687 /</t>
  </si>
  <si>
    <t>29-Apr-2020 /  29-Apr-2027</t>
  </si>
  <si>
    <t>00000039285086938 /</t>
  </si>
  <si>
    <t>00000038650167638 /</t>
  </si>
  <si>
    <t>01-Aug-2019 /  01-Aug-2026</t>
  </si>
  <si>
    <t>00000038650156739 /</t>
  </si>
  <si>
    <t>00000038558651208 /</t>
  </si>
  <si>
    <t>28-Jun-2019 /  28-Jun-2026</t>
  </si>
  <si>
    <t>00000038549516178 /</t>
  </si>
  <si>
    <t>25-Jun-2019 /  25-Jun-2026</t>
  </si>
  <si>
    <t>00000038549510982 /</t>
  </si>
  <si>
    <t>00000038546822757 /</t>
  </si>
  <si>
    <t>24-Jun-2019 /  24-Jun-2026</t>
  </si>
  <si>
    <t>00000038546822633 /</t>
  </si>
  <si>
    <t>00000038523140421 /</t>
  </si>
  <si>
    <t>13-Jun-2019 /  13-Jun-2026</t>
  </si>
  <si>
    <t>00000038523132782 /</t>
  </si>
  <si>
    <t>INR  3,50,000.00</t>
  </si>
  <si>
    <t>00000038520385656 /</t>
  </si>
  <si>
    <t>12-Jun-2019 /  12-Jun-2026</t>
  </si>
  <si>
    <t>00000038520374734 /</t>
  </si>
  <si>
    <t>00000038520357505 /</t>
  </si>
  <si>
    <t>00000038520385656</t>
  </si>
  <si>
    <t>00000038520357505</t>
  </si>
  <si>
    <t>00000038520374734</t>
  </si>
  <si>
    <t>00000038523132782</t>
  </si>
  <si>
    <t>00000038523140421</t>
  </si>
  <si>
    <t>00000038546822633</t>
  </si>
  <si>
    <t>00000038546822757</t>
  </si>
  <si>
    <t>00000038549510982</t>
  </si>
  <si>
    <t>00000038549516178</t>
  </si>
  <si>
    <t>00000038558651208</t>
  </si>
  <si>
    <t>00000038650156739</t>
  </si>
  <si>
    <t>00000038650167638</t>
  </si>
  <si>
    <t>00000039285112687</t>
  </si>
  <si>
    <t>00000040754209869</t>
  </si>
  <si>
    <t>00000040754211971</t>
  </si>
  <si>
    <t>00000040754212545</t>
  </si>
  <si>
    <t>00000040755402964</t>
  </si>
  <si>
    <t>00000040831120542</t>
  </si>
  <si>
    <t>00000040831119683</t>
  </si>
  <si>
    <t>00000040877860153</t>
  </si>
  <si>
    <t>00000040877860936</t>
  </si>
  <si>
    <t>00000043638196089</t>
  </si>
  <si>
    <t>00000043651859520</t>
  </si>
  <si>
    <t>00000043651777486</t>
  </si>
  <si>
    <t>00000043656348566</t>
  </si>
  <si>
    <t>00000043656413479</t>
  </si>
  <si>
    <t>00000043656356815</t>
  </si>
  <si>
    <t>00000043699769640</t>
  </si>
  <si>
    <t>00000043715212096</t>
  </si>
  <si>
    <t>00000043724175005</t>
  </si>
  <si>
    <t>00000043724181972</t>
  </si>
  <si>
    <t>00000043739746201</t>
  </si>
  <si>
    <t>00000043739769502</t>
  </si>
  <si>
    <t>00000043924355648</t>
  </si>
  <si>
    <t>00000043924356732</t>
  </si>
  <si>
    <t>00000043948020883</t>
  </si>
  <si>
    <t>00000043951464246</t>
  </si>
  <si>
    <t>00000044549326997</t>
  </si>
  <si>
    <t>00000044151722696</t>
  </si>
  <si>
    <t>00000039285086938</t>
  </si>
  <si>
    <t>00000040805300229</t>
  </si>
  <si>
    <t>00000043699857936</t>
  </si>
  <si>
    <t>""</t>
  </si>
  <si>
    <t>Sorted data</t>
  </si>
  <si>
    <t>Check</t>
  </si>
  <si>
    <t>Excel file manually maintained</t>
  </si>
  <si>
    <t>SBI Website (SORTBY + REGEXEXTRACT + FILTER)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</si>
</sst>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#N/A</fb>
    <v>6</v>
    <v>7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930F8-2972-413D-99E0-0943D0DFF9F5}">
  <dimension ref="A2:Q170"/>
  <sheetViews>
    <sheetView tabSelected="1" workbookViewId="0">
      <selection activeCell="J2" sqref="J2"/>
    </sheetView>
  </sheetViews>
  <sheetFormatPr defaultRowHeight="14.4" x14ac:dyDescent="0.3"/>
  <cols>
    <col min="1" max="1" width="39.33203125" customWidth="1"/>
    <col min="13" max="13" width="12" bestFit="1" customWidth="1"/>
  </cols>
  <sheetData>
    <row r="2" spans="1:1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J2" t="s">
        <v>137</v>
      </c>
      <c r="M2" t="s">
        <v>136</v>
      </c>
      <c r="O2" t="s">
        <v>134</v>
      </c>
      <c r="Q2" t="s">
        <v>135</v>
      </c>
    </row>
    <row r="3" spans="1:17" x14ac:dyDescent="0.3">
      <c r="A3" t="s">
        <v>8</v>
      </c>
      <c r="H3" t="str" cm="1">
        <f t="array" ref="H3:H102">_xlfn._xlws.SORT(_xlfn.BYROW(A1:A100, _xlfn.LAMBDA(_xlpm.row, _xlfn.REGEXEXTRACT(_xlpm.row, "^\d+"))),1,1)</f>
        <v>0</v>
      </c>
      <c r="J3" t="str" cm="1">
        <f t="array" ref="J3:J44">_xlfn.SORTBY(_xlfn._xlws.FILTER(IFERROR(_xlfn.REGEXEXTRACT(A3:A170,"^\d+"),"0"),(IFERROR(_xlfn.REGEXEXTRACT(A3:A170,"^\d+"),"0")&lt;&gt;"0")*(IFERROR(_xlfn.REGEXEXTRACT(A3:A170,"^\d+"),"0")&lt;&gt;"444")=1),_xlfn._xlws.FILTER(IFERROR(_xlfn.REGEXEXTRACT(A3:A170,"^\d+"),"0"),(IFERROR(_xlfn.REGEXEXTRACT(A3:A170,"^\d+"),"0")&lt;&gt;"0")*(IFERROR(_xlfn.REGEXEXTRACT(A3:A170,"^\d+"),"0")&lt;&gt;"444")=1),-1)</f>
        <v>00000044549326997</v>
      </c>
      <c r="M3" t="s">
        <v>91</v>
      </c>
      <c r="O3" t="str" cm="1">
        <f t="array" ref="O3:O45">_xlfn.SORTBY(M3:M45,M3:M45,-1)</f>
        <v>00000044549326997</v>
      </c>
      <c r="Q3" t="b" cm="1">
        <f t="array" ref="Q3:Q44">O3:O44=_xlfn.ANCHORARRAY(J3)</f>
        <v>1</v>
      </c>
    </row>
    <row r="4" spans="1:17" x14ac:dyDescent="0.3">
      <c r="A4" t="s">
        <v>133</v>
      </c>
      <c r="B4" t="s">
        <v>9</v>
      </c>
      <c r="C4">
        <v>7.05</v>
      </c>
      <c r="D4" t="s">
        <v>10</v>
      </c>
      <c r="H4" t="str">
        <v>0</v>
      </c>
      <c r="J4" t="str">
        <v>00000044151722696</v>
      </c>
      <c r="M4" t="s">
        <v>92</v>
      </c>
      <c r="O4" t="str">
        <v>00000044151722696</v>
      </c>
      <c r="Q4" t="b">
        <v>1</v>
      </c>
    </row>
    <row r="5" spans="1:17" x14ac:dyDescent="0.3">
      <c r="A5" t="s">
        <v>11</v>
      </c>
      <c r="H5" t="str">
        <v>0</v>
      </c>
      <c r="J5" t="str">
        <v>00000043951464246</v>
      </c>
      <c r="M5" t="s">
        <v>93</v>
      </c>
      <c r="O5" t="str">
        <v>00000043951464246</v>
      </c>
      <c r="Q5" t="b">
        <v>1</v>
      </c>
    </row>
    <row r="6" spans="1:17" x14ac:dyDescent="0.3">
      <c r="A6" t="s">
        <v>12</v>
      </c>
      <c r="B6" t="s">
        <v>13</v>
      </c>
      <c r="C6">
        <v>0</v>
      </c>
      <c r="D6" t="s">
        <v>13</v>
      </c>
      <c r="E6" t="s">
        <v>13</v>
      </c>
      <c r="H6" t="str">
        <v>0</v>
      </c>
      <c r="J6" t="str">
        <v>00000043948020883</v>
      </c>
      <c r="M6" t="s">
        <v>94</v>
      </c>
      <c r="O6" t="str">
        <v>00000043948020883</v>
      </c>
      <c r="Q6" t="b">
        <v>1</v>
      </c>
    </row>
    <row r="7" spans="1:17" x14ac:dyDescent="0.3">
      <c r="A7" t="s">
        <v>14</v>
      </c>
      <c r="H7" t="str">
        <v>0</v>
      </c>
      <c r="J7" t="str">
        <v>00000043924356732</v>
      </c>
      <c r="M7" t="s">
        <v>95</v>
      </c>
      <c r="O7" t="str">
        <v>00000043924356732</v>
      </c>
      <c r="Q7" t="b">
        <v>1</v>
      </c>
    </row>
    <row r="8" spans="1:17" x14ac:dyDescent="0.3">
      <c r="A8" t="s">
        <v>133</v>
      </c>
      <c r="B8" t="s">
        <v>15</v>
      </c>
      <c r="C8">
        <v>7.3</v>
      </c>
      <c r="D8" t="s">
        <v>10</v>
      </c>
      <c r="H8" t="str">
        <v>0</v>
      </c>
      <c r="J8" t="str">
        <v>00000043924355648</v>
      </c>
      <c r="M8" t="s">
        <v>96</v>
      </c>
      <c r="O8" t="str">
        <v>00000043924355648</v>
      </c>
      <c r="Q8" t="b">
        <v>1</v>
      </c>
    </row>
    <row r="9" spans="1:17" x14ac:dyDescent="0.3">
      <c r="A9" t="s">
        <v>11</v>
      </c>
      <c r="H9" t="str">
        <v>0</v>
      </c>
      <c r="J9" t="str">
        <v>00000043739769502</v>
      </c>
      <c r="M9" t="s">
        <v>97</v>
      </c>
      <c r="O9" t="str">
        <v>00000043739769502</v>
      </c>
      <c r="Q9" t="b">
        <v>1</v>
      </c>
    </row>
    <row r="10" spans="1:17" x14ac:dyDescent="0.3">
      <c r="A10" t="s">
        <v>12</v>
      </c>
      <c r="B10" t="s">
        <v>16</v>
      </c>
      <c r="C10">
        <v>0</v>
      </c>
      <c r="D10" t="s">
        <v>16</v>
      </c>
      <c r="E10" t="s">
        <v>16</v>
      </c>
      <c r="H10" t="str">
        <v>0</v>
      </c>
      <c r="J10" t="str">
        <v>00000043739746201</v>
      </c>
      <c r="M10" t="s">
        <v>98</v>
      </c>
      <c r="O10" t="str">
        <v>00000043739746201</v>
      </c>
      <c r="Q10" t="b">
        <v>1</v>
      </c>
    </row>
    <row r="11" spans="1:17" x14ac:dyDescent="0.3">
      <c r="A11" t="s">
        <v>17</v>
      </c>
      <c r="H11" t="str">
        <v>0</v>
      </c>
      <c r="J11" t="str">
        <v>00000043724181972</v>
      </c>
      <c r="M11" t="s">
        <v>99</v>
      </c>
      <c r="O11" t="str">
        <v>00000043724181972</v>
      </c>
      <c r="Q11" t="b">
        <v>1</v>
      </c>
    </row>
    <row r="12" spans="1:17" x14ac:dyDescent="0.3">
      <c r="A12" t="s">
        <v>133</v>
      </c>
      <c r="B12" t="s">
        <v>18</v>
      </c>
      <c r="C12">
        <v>7.5</v>
      </c>
      <c r="D12" t="s">
        <v>10</v>
      </c>
      <c r="H12" t="str">
        <v>0</v>
      </c>
      <c r="J12" t="str">
        <v>00000043724175005</v>
      </c>
      <c r="M12" t="s">
        <v>100</v>
      </c>
      <c r="O12" t="str">
        <v>00000043724175005</v>
      </c>
      <c r="Q12" t="b">
        <v>1</v>
      </c>
    </row>
    <row r="13" spans="1:17" x14ac:dyDescent="0.3">
      <c r="A13" t="s">
        <v>11</v>
      </c>
      <c r="H13" t="str">
        <v>0</v>
      </c>
      <c r="J13" t="str">
        <v>00000043715212096</v>
      </c>
      <c r="M13" t="s">
        <v>101</v>
      </c>
      <c r="O13" t="str">
        <v>00000043715212096</v>
      </c>
      <c r="Q13" t="b">
        <v>1</v>
      </c>
    </row>
    <row r="14" spans="1:17" x14ac:dyDescent="0.3">
      <c r="A14" t="s">
        <v>12</v>
      </c>
      <c r="B14" t="s">
        <v>19</v>
      </c>
      <c r="C14">
        <v>0</v>
      </c>
      <c r="D14" t="s">
        <v>19</v>
      </c>
      <c r="E14" t="s">
        <v>19</v>
      </c>
      <c r="H14" t="str">
        <v>0</v>
      </c>
      <c r="J14" t="str">
        <v>00000043699857936</v>
      </c>
      <c r="M14" t="s">
        <v>102</v>
      </c>
      <c r="O14" t="str">
        <v>00000043699857936</v>
      </c>
      <c r="Q14" t="b">
        <v>1</v>
      </c>
    </row>
    <row r="15" spans="1:17" x14ac:dyDescent="0.3">
      <c r="A15" t="s">
        <v>20</v>
      </c>
      <c r="H15" t="str">
        <v>0</v>
      </c>
      <c r="J15" t="str">
        <v>00000043699769640</v>
      </c>
      <c r="M15" t="s">
        <v>130</v>
      </c>
      <c r="O15" t="str">
        <v>00000043699769640</v>
      </c>
      <c r="Q15" t="b">
        <v>1</v>
      </c>
    </row>
    <row r="16" spans="1:17" x14ac:dyDescent="0.3">
      <c r="A16" t="s">
        <v>133</v>
      </c>
      <c r="B16" t="s">
        <v>21</v>
      </c>
      <c r="C16">
        <v>7.5</v>
      </c>
      <c r="D16" t="s">
        <v>10</v>
      </c>
      <c r="H16" t="str">
        <v>0</v>
      </c>
      <c r="J16" t="str">
        <v>00000043656413479</v>
      </c>
      <c r="M16" t="s">
        <v>103</v>
      </c>
      <c r="O16" t="str">
        <v>00000043656413479</v>
      </c>
      <c r="Q16" t="b">
        <v>1</v>
      </c>
    </row>
    <row r="17" spans="1:17" x14ac:dyDescent="0.3">
      <c r="A17" t="s">
        <v>11</v>
      </c>
      <c r="H17" t="str">
        <v>0</v>
      </c>
      <c r="J17" t="str">
        <v>00000043656356815</v>
      </c>
      <c r="M17" t="s">
        <v>104</v>
      </c>
      <c r="O17" t="str">
        <v>00000043656356815</v>
      </c>
      <c r="Q17" t="b">
        <v>1</v>
      </c>
    </row>
    <row r="18" spans="1:17" x14ac:dyDescent="0.3">
      <c r="A18" t="s">
        <v>12</v>
      </c>
      <c r="B18" t="s">
        <v>13</v>
      </c>
      <c r="C18">
        <v>0</v>
      </c>
      <c r="D18" t="s">
        <v>13</v>
      </c>
      <c r="E18" t="s">
        <v>13</v>
      </c>
      <c r="H18" t="str">
        <v>0</v>
      </c>
      <c r="J18" t="str">
        <v>00000043656348566</v>
      </c>
      <c r="M18" t="s">
        <v>105</v>
      </c>
      <c r="O18" t="str">
        <v>00000043656348566</v>
      </c>
      <c r="Q18" t="b">
        <v>1</v>
      </c>
    </row>
    <row r="19" spans="1:17" x14ac:dyDescent="0.3">
      <c r="A19" t="s">
        <v>22</v>
      </c>
      <c r="H19" t="str">
        <v>0</v>
      </c>
      <c r="J19" t="str">
        <v>00000043651859520</v>
      </c>
      <c r="M19" t="s">
        <v>106</v>
      </c>
      <c r="O19" t="str">
        <v>00000043651859520</v>
      </c>
      <c r="Q19" t="b">
        <v>1</v>
      </c>
    </row>
    <row r="20" spans="1:17" x14ac:dyDescent="0.3">
      <c r="A20" t="s">
        <v>133</v>
      </c>
      <c r="B20" t="s">
        <v>23</v>
      </c>
      <c r="C20">
        <v>7.5</v>
      </c>
      <c r="D20" t="s">
        <v>10</v>
      </c>
      <c r="H20" t="str">
        <v>0</v>
      </c>
      <c r="J20" t="str">
        <v>00000043651777486</v>
      </c>
      <c r="M20" t="s">
        <v>107</v>
      </c>
      <c r="O20" t="str">
        <v>00000043651777486</v>
      </c>
      <c r="Q20" t="b">
        <v>1</v>
      </c>
    </row>
    <row r="21" spans="1:17" x14ac:dyDescent="0.3">
      <c r="A21" t="s">
        <v>11</v>
      </c>
      <c r="H21" t="str">
        <v>0</v>
      </c>
      <c r="J21" t="str">
        <v>00000043638196089</v>
      </c>
      <c r="M21" t="s">
        <v>131</v>
      </c>
      <c r="O21" t="str">
        <v>00000043638196089</v>
      </c>
      <c r="Q21" t="b">
        <v>1</v>
      </c>
    </row>
    <row r="22" spans="1:17" x14ac:dyDescent="0.3">
      <c r="A22" t="s">
        <v>12</v>
      </c>
      <c r="B22" t="s">
        <v>24</v>
      </c>
      <c r="C22">
        <v>0</v>
      </c>
      <c r="D22" t="s">
        <v>24</v>
      </c>
      <c r="E22" t="s">
        <v>24</v>
      </c>
      <c r="H22" t="str">
        <v>0</v>
      </c>
      <c r="J22" t="str">
        <v>00000040877860936</v>
      </c>
      <c r="M22" t="s">
        <v>108</v>
      </c>
      <c r="O22" t="str">
        <v>00000040877860936</v>
      </c>
      <c r="Q22" t="b">
        <v>1</v>
      </c>
    </row>
    <row r="23" spans="1:17" x14ac:dyDescent="0.3">
      <c r="A23" t="s">
        <v>25</v>
      </c>
      <c r="H23" t="str">
        <v>0</v>
      </c>
      <c r="J23" t="str">
        <v>00000040877860153</v>
      </c>
      <c r="M23" t="s">
        <v>109</v>
      </c>
      <c r="O23" t="str">
        <v>00000040877860153</v>
      </c>
      <c r="Q23" t="b">
        <v>1</v>
      </c>
    </row>
    <row r="24" spans="1:17" x14ac:dyDescent="0.3">
      <c r="A24" t="s">
        <v>133</v>
      </c>
      <c r="B24" t="s">
        <v>23</v>
      </c>
      <c r="C24">
        <v>7.5</v>
      </c>
      <c r="D24" t="s">
        <v>10</v>
      </c>
      <c r="H24" t="str">
        <v>0</v>
      </c>
      <c r="J24" t="str">
        <v>00000040831120542</v>
      </c>
      <c r="M24" t="s">
        <v>110</v>
      </c>
      <c r="O24" t="str">
        <v>00000040831120542</v>
      </c>
      <c r="Q24" t="b">
        <v>1</v>
      </c>
    </row>
    <row r="25" spans="1:17" x14ac:dyDescent="0.3">
      <c r="A25" t="s">
        <v>11</v>
      </c>
      <c r="H25" t="str">
        <v>0</v>
      </c>
      <c r="J25" t="str">
        <v>00000040831119683</v>
      </c>
      <c r="M25" t="s">
        <v>111</v>
      </c>
      <c r="O25" t="str">
        <v>00000040831119683</v>
      </c>
      <c r="Q25" t="b">
        <v>1</v>
      </c>
    </row>
    <row r="26" spans="1:17" x14ac:dyDescent="0.3">
      <c r="A26" t="s">
        <v>12</v>
      </c>
      <c r="B26" t="s">
        <v>26</v>
      </c>
      <c r="C26">
        <v>0</v>
      </c>
      <c r="D26" t="s">
        <v>26</v>
      </c>
      <c r="E26" t="s">
        <v>26</v>
      </c>
      <c r="H26" t="str">
        <v>0</v>
      </c>
      <c r="J26" t="str">
        <v>00000040805300229</v>
      </c>
      <c r="M26" t="s">
        <v>112</v>
      </c>
      <c r="O26" t="str">
        <v>00000040805300229</v>
      </c>
      <c r="Q26" t="b">
        <v>1</v>
      </c>
    </row>
    <row r="27" spans="1:17" x14ac:dyDescent="0.3">
      <c r="A27" t="s">
        <v>27</v>
      </c>
      <c r="H27" t="str">
        <v>0</v>
      </c>
      <c r="J27" t="str">
        <v>00000040755402964</v>
      </c>
      <c r="M27" t="s">
        <v>113</v>
      </c>
      <c r="O27" t="str">
        <v>00000040755402964</v>
      </c>
      <c r="Q27" t="b">
        <v>1</v>
      </c>
    </row>
    <row r="28" spans="1:17" x14ac:dyDescent="0.3">
      <c r="A28" t="s">
        <v>133</v>
      </c>
      <c r="B28" t="s">
        <v>28</v>
      </c>
      <c r="C28">
        <v>7.75</v>
      </c>
      <c r="D28" t="s">
        <v>29</v>
      </c>
      <c r="H28" t="str">
        <v>0</v>
      </c>
      <c r="J28" t="str">
        <v>00000040754212545</v>
      </c>
      <c r="M28" t="s">
        <v>114</v>
      </c>
      <c r="O28" t="str">
        <v>00000040754212545</v>
      </c>
      <c r="Q28" t="b">
        <v>1</v>
      </c>
    </row>
    <row r="29" spans="1:17" x14ac:dyDescent="0.3">
      <c r="A29" t="s">
        <v>11</v>
      </c>
      <c r="H29" t="str">
        <v>0</v>
      </c>
      <c r="J29" t="str">
        <v>00000040754211971</v>
      </c>
      <c r="M29" t="s">
        <v>115</v>
      </c>
      <c r="O29" t="str">
        <v>00000040754211971</v>
      </c>
      <c r="Q29" t="b">
        <v>1</v>
      </c>
    </row>
    <row r="30" spans="1:17" x14ac:dyDescent="0.3">
      <c r="A30" t="s">
        <v>30</v>
      </c>
      <c r="B30" t="s">
        <v>31</v>
      </c>
      <c r="C30">
        <v>0</v>
      </c>
      <c r="D30" t="s">
        <v>31</v>
      </c>
      <c r="E30" t="s">
        <v>31</v>
      </c>
      <c r="H30" t="str">
        <v>0</v>
      </c>
      <c r="J30" t="str">
        <v>00000040754209869</v>
      </c>
      <c r="M30" t="s">
        <v>116</v>
      </c>
      <c r="O30" t="str">
        <v>00000040754209869</v>
      </c>
      <c r="Q30" t="b">
        <v>1</v>
      </c>
    </row>
    <row r="31" spans="1:17" x14ac:dyDescent="0.3">
      <c r="A31" t="s">
        <v>32</v>
      </c>
      <c r="H31" t="str">
        <v>0</v>
      </c>
      <c r="J31" t="str">
        <v>00000039285112687</v>
      </c>
      <c r="M31" t="s">
        <v>117</v>
      </c>
      <c r="O31" t="str">
        <v>00000039285112687</v>
      </c>
      <c r="Q31" t="b">
        <v>1</v>
      </c>
    </row>
    <row r="32" spans="1:17" x14ac:dyDescent="0.3">
      <c r="A32" t="s">
        <v>133</v>
      </c>
      <c r="B32" t="s">
        <v>28</v>
      </c>
      <c r="C32">
        <v>7.75</v>
      </c>
      <c r="D32" t="s">
        <v>29</v>
      </c>
      <c r="H32" t="str">
        <v>0</v>
      </c>
      <c r="J32" t="str">
        <v>00000039285086938</v>
      </c>
      <c r="M32" t="s">
        <v>132</v>
      </c>
      <c r="O32" t="str">
        <v>00000039285086938</v>
      </c>
      <c r="Q32" t="b">
        <v>1</v>
      </c>
    </row>
    <row r="33" spans="1:17" x14ac:dyDescent="0.3">
      <c r="A33" t="s">
        <v>11</v>
      </c>
      <c r="H33" t="str">
        <v>0</v>
      </c>
      <c r="J33" t="str">
        <v>00000038650167638</v>
      </c>
      <c r="M33" t="s">
        <v>118</v>
      </c>
      <c r="O33" t="str">
        <v>00000038650167638</v>
      </c>
      <c r="Q33" t="b">
        <v>1</v>
      </c>
    </row>
    <row r="34" spans="1:17" x14ac:dyDescent="0.3">
      <c r="A34" t="s">
        <v>30</v>
      </c>
      <c r="B34" t="s">
        <v>31</v>
      </c>
      <c r="C34">
        <v>0</v>
      </c>
      <c r="D34" t="s">
        <v>31</v>
      </c>
      <c r="E34" t="s">
        <v>31</v>
      </c>
      <c r="H34" t="str">
        <v>0</v>
      </c>
      <c r="J34" t="str">
        <v>00000038650156739</v>
      </c>
      <c r="M34" t="s">
        <v>119</v>
      </c>
      <c r="O34" t="str">
        <v>00000038650156739</v>
      </c>
      <c r="Q34" t="b">
        <v>1</v>
      </c>
    </row>
    <row r="35" spans="1:17" x14ac:dyDescent="0.3">
      <c r="A35" t="s">
        <v>33</v>
      </c>
      <c r="H35" t="str">
        <v>0</v>
      </c>
      <c r="J35" t="str">
        <v>00000038558651208</v>
      </c>
      <c r="M35" t="s">
        <v>120</v>
      </c>
      <c r="O35" t="str">
        <v>00000038558651208</v>
      </c>
      <c r="Q35" t="b">
        <v>1</v>
      </c>
    </row>
    <row r="36" spans="1:17" x14ac:dyDescent="0.3">
      <c r="A36" t="s">
        <v>133</v>
      </c>
      <c r="B36" t="s">
        <v>34</v>
      </c>
      <c r="C36">
        <v>7.75</v>
      </c>
      <c r="D36" t="s">
        <v>29</v>
      </c>
      <c r="H36" t="str">
        <v>0</v>
      </c>
      <c r="J36" t="str">
        <v>00000038549516178</v>
      </c>
      <c r="M36" t="s">
        <v>121</v>
      </c>
      <c r="O36" t="str">
        <v>00000038549516178</v>
      </c>
      <c r="Q36" t="b">
        <v>1</v>
      </c>
    </row>
    <row r="37" spans="1:17" x14ac:dyDescent="0.3">
      <c r="A37" t="s">
        <v>11</v>
      </c>
      <c r="H37" t="str">
        <v>0</v>
      </c>
      <c r="J37" t="str">
        <v>00000038549510982</v>
      </c>
      <c r="M37" t="s">
        <v>122</v>
      </c>
      <c r="O37" t="str">
        <v>00000038549510982</v>
      </c>
      <c r="Q37" t="b">
        <v>1</v>
      </c>
    </row>
    <row r="38" spans="1:17" x14ac:dyDescent="0.3">
      <c r="A38" t="s">
        <v>30</v>
      </c>
      <c r="B38" t="s">
        <v>13</v>
      </c>
      <c r="C38">
        <v>0</v>
      </c>
      <c r="D38" t="s">
        <v>13</v>
      </c>
      <c r="E38" t="s">
        <v>13</v>
      </c>
      <c r="H38" t="str">
        <v>00000040755402964</v>
      </c>
      <c r="J38" t="str">
        <v>00000038546822757</v>
      </c>
      <c r="M38" t="s">
        <v>123</v>
      </c>
      <c r="O38" t="str">
        <v>00000038546822757</v>
      </c>
      <c r="Q38" t="b">
        <v>1</v>
      </c>
    </row>
    <row r="39" spans="1:17" x14ac:dyDescent="0.3">
      <c r="A39" t="s">
        <v>35</v>
      </c>
      <c r="H39" t="str">
        <v>00000040805300229</v>
      </c>
      <c r="J39" t="str">
        <v>00000038546822633</v>
      </c>
      <c r="M39" t="s">
        <v>124</v>
      </c>
      <c r="O39" t="str">
        <v>00000038546822633</v>
      </c>
      <c r="Q39" t="b">
        <v>1</v>
      </c>
    </row>
    <row r="40" spans="1:17" x14ac:dyDescent="0.3">
      <c r="A40" t="s">
        <v>133</v>
      </c>
      <c r="B40" t="s">
        <v>34</v>
      </c>
      <c r="C40">
        <v>7.75</v>
      </c>
      <c r="D40" t="s">
        <v>29</v>
      </c>
      <c r="H40" t="str">
        <v>00000040831119683</v>
      </c>
      <c r="J40" t="str">
        <v>00000038523140421</v>
      </c>
      <c r="M40" t="s">
        <v>125</v>
      </c>
      <c r="O40" t="str">
        <v>00000038523140421</v>
      </c>
      <c r="Q40" t="b">
        <v>1</v>
      </c>
    </row>
    <row r="41" spans="1:17" x14ac:dyDescent="0.3">
      <c r="A41" t="s">
        <v>11</v>
      </c>
      <c r="H41" t="str">
        <v>00000040831120542</v>
      </c>
      <c r="J41" t="str">
        <v>00000038523132782</v>
      </c>
      <c r="M41" t="s">
        <v>126</v>
      </c>
      <c r="O41" t="str">
        <v>00000038523132782</v>
      </c>
      <c r="Q41" t="b">
        <v>1</v>
      </c>
    </row>
    <row r="42" spans="1:17" x14ac:dyDescent="0.3">
      <c r="A42" t="s">
        <v>30</v>
      </c>
      <c r="B42" t="s">
        <v>31</v>
      </c>
      <c r="C42">
        <v>0</v>
      </c>
      <c r="D42" t="s">
        <v>31</v>
      </c>
      <c r="E42" t="s">
        <v>31</v>
      </c>
      <c r="H42" t="str">
        <v>00000040877860153</v>
      </c>
      <c r="J42" t="str">
        <v>00000038520385656</v>
      </c>
      <c r="M42" t="s">
        <v>127</v>
      </c>
      <c r="O42" t="str">
        <v>00000038520385656</v>
      </c>
      <c r="Q42" t="b">
        <v>1</v>
      </c>
    </row>
    <row r="43" spans="1:17" x14ac:dyDescent="0.3">
      <c r="A43" t="s">
        <v>36</v>
      </c>
      <c r="H43" t="str">
        <v>00000040877860936</v>
      </c>
      <c r="J43" t="str">
        <v>00000038520374734</v>
      </c>
      <c r="M43" t="s">
        <v>129</v>
      </c>
      <c r="O43" t="str">
        <v>00000038520374734</v>
      </c>
      <c r="Q43" t="b">
        <v>1</v>
      </c>
    </row>
    <row r="44" spans="1:17" x14ac:dyDescent="0.3">
      <c r="A44" t="s">
        <v>133</v>
      </c>
      <c r="B44" t="s">
        <v>37</v>
      </c>
      <c r="C44">
        <v>7.75</v>
      </c>
      <c r="D44" t="s">
        <v>29</v>
      </c>
      <c r="H44" t="str">
        <v>00000043638196089</v>
      </c>
      <c r="J44" t="str">
        <v>00000038520357505</v>
      </c>
      <c r="M44" t="s">
        <v>128</v>
      </c>
      <c r="O44" t="str">
        <v>00000038520357505</v>
      </c>
      <c r="Q44" t="b">
        <v>1</v>
      </c>
    </row>
    <row r="45" spans="1:17" x14ac:dyDescent="0.3">
      <c r="A45" t="s">
        <v>11</v>
      </c>
      <c r="H45" t="str">
        <v>00000043651777486</v>
      </c>
      <c r="O45">
        <v>0</v>
      </c>
    </row>
    <row r="46" spans="1:17" x14ac:dyDescent="0.3">
      <c r="A46" t="s">
        <v>30</v>
      </c>
      <c r="B46" t="s">
        <v>38</v>
      </c>
      <c r="C46">
        <v>0</v>
      </c>
      <c r="D46" t="s">
        <v>38</v>
      </c>
      <c r="E46" t="s">
        <v>38</v>
      </c>
      <c r="H46" t="str">
        <v>00000043651859520</v>
      </c>
    </row>
    <row r="47" spans="1:17" x14ac:dyDescent="0.3">
      <c r="A47" t="s">
        <v>39</v>
      </c>
      <c r="H47" t="str">
        <v>00000043656348566</v>
      </c>
    </row>
    <row r="48" spans="1:17" x14ac:dyDescent="0.3">
      <c r="A48" t="s">
        <v>133</v>
      </c>
      <c r="B48" t="s">
        <v>40</v>
      </c>
      <c r="C48">
        <v>7.75</v>
      </c>
      <c r="D48" t="s">
        <v>29</v>
      </c>
      <c r="H48" t="str">
        <v>00000043656356815</v>
      </c>
    </row>
    <row r="49" spans="1:8" x14ac:dyDescent="0.3">
      <c r="A49" t="s">
        <v>11</v>
      </c>
      <c r="H49" t="str">
        <v>00000043656413479</v>
      </c>
    </row>
    <row r="50" spans="1:8" x14ac:dyDescent="0.3">
      <c r="A50" t="s">
        <v>30</v>
      </c>
      <c r="B50" t="s">
        <v>31</v>
      </c>
      <c r="C50">
        <v>0</v>
      </c>
      <c r="D50" t="s">
        <v>31</v>
      </c>
      <c r="E50" t="s">
        <v>31</v>
      </c>
      <c r="H50" t="str">
        <v>00000043699769640</v>
      </c>
    </row>
    <row r="51" spans="1:8" x14ac:dyDescent="0.3">
      <c r="A51" t="s">
        <v>41</v>
      </c>
      <c r="H51" t="str">
        <v>00000043699857936</v>
      </c>
    </row>
    <row r="52" spans="1:8" x14ac:dyDescent="0.3">
      <c r="A52" t="s">
        <v>133</v>
      </c>
      <c r="B52" t="s">
        <v>40</v>
      </c>
      <c r="C52">
        <v>7.75</v>
      </c>
      <c r="D52" t="s">
        <v>29</v>
      </c>
      <c r="H52" t="str">
        <v>00000043715212096</v>
      </c>
    </row>
    <row r="53" spans="1:8" x14ac:dyDescent="0.3">
      <c r="A53" t="s">
        <v>11</v>
      </c>
      <c r="H53" t="str">
        <v>00000043724175005</v>
      </c>
    </row>
    <row r="54" spans="1:8" x14ac:dyDescent="0.3">
      <c r="A54" t="s">
        <v>30</v>
      </c>
      <c r="B54" t="s">
        <v>31</v>
      </c>
      <c r="C54">
        <v>0</v>
      </c>
      <c r="D54" t="s">
        <v>31</v>
      </c>
      <c r="E54" t="s">
        <v>31</v>
      </c>
      <c r="H54" t="str">
        <v>00000043724181972</v>
      </c>
    </row>
    <row r="55" spans="1:8" x14ac:dyDescent="0.3">
      <c r="A55" t="s">
        <v>42</v>
      </c>
      <c r="H55" t="str">
        <v>00000043739746201</v>
      </c>
    </row>
    <row r="56" spans="1:8" x14ac:dyDescent="0.3">
      <c r="A56" t="s">
        <v>133</v>
      </c>
      <c r="B56" t="s">
        <v>43</v>
      </c>
      <c r="C56">
        <v>7.75</v>
      </c>
      <c r="D56" t="s">
        <v>29</v>
      </c>
      <c r="H56" t="str">
        <v>00000043739769502</v>
      </c>
    </row>
    <row r="57" spans="1:8" x14ac:dyDescent="0.3">
      <c r="A57" t="s">
        <v>11</v>
      </c>
      <c r="H57" t="str">
        <v>00000043924355648</v>
      </c>
    </row>
    <row r="58" spans="1:8" x14ac:dyDescent="0.3">
      <c r="A58" t="s">
        <v>30</v>
      </c>
      <c r="B58" t="s">
        <v>44</v>
      </c>
      <c r="C58">
        <v>0</v>
      </c>
      <c r="D58" t="s">
        <v>44</v>
      </c>
      <c r="E58" t="s">
        <v>44</v>
      </c>
      <c r="H58" t="str">
        <v>00000043924356732</v>
      </c>
    </row>
    <row r="59" spans="1:8" x14ac:dyDescent="0.3">
      <c r="A59" t="s">
        <v>45</v>
      </c>
      <c r="H59" t="str">
        <v>00000043948020883</v>
      </c>
    </row>
    <row r="60" spans="1:8" x14ac:dyDescent="0.3">
      <c r="A60" t="s">
        <v>133</v>
      </c>
      <c r="B60" t="s">
        <v>43</v>
      </c>
      <c r="C60">
        <v>7.75</v>
      </c>
      <c r="D60" t="s">
        <v>29</v>
      </c>
      <c r="H60" t="str">
        <v>00000043951464246</v>
      </c>
    </row>
    <row r="61" spans="1:8" x14ac:dyDescent="0.3">
      <c r="A61" t="s">
        <v>11</v>
      </c>
      <c r="H61" t="str">
        <v>00000044151722696</v>
      </c>
    </row>
    <row r="62" spans="1:8" x14ac:dyDescent="0.3">
      <c r="A62" t="s">
        <v>30</v>
      </c>
      <c r="B62" t="s">
        <v>13</v>
      </c>
      <c r="C62">
        <v>0</v>
      </c>
      <c r="D62" t="s">
        <v>13</v>
      </c>
      <c r="E62" t="s">
        <v>13</v>
      </c>
      <c r="H62" t="str">
        <v>00000044549326997</v>
      </c>
    </row>
    <row r="63" spans="1:8" x14ac:dyDescent="0.3">
      <c r="A63" t="s">
        <v>46</v>
      </c>
      <c r="H63" t="str">
        <v>444</v>
      </c>
    </row>
    <row r="64" spans="1:8" x14ac:dyDescent="0.3">
      <c r="A64" t="s">
        <v>133</v>
      </c>
      <c r="B64" t="s">
        <v>43</v>
      </c>
      <c r="C64">
        <v>7.75</v>
      </c>
      <c r="D64" t="s">
        <v>29</v>
      </c>
      <c r="H64" t="str">
        <v>444</v>
      </c>
    </row>
    <row r="65" spans="1:8" x14ac:dyDescent="0.3">
      <c r="A65" t="s">
        <v>11</v>
      </c>
      <c r="H65" t="str">
        <v>444</v>
      </c>
    </row>
    <row r="66" spans="1:8" x14ac:dyDescent="0.3">
      <c r="A66" t="s">
        <v>30</v>
      </c>
      <c r="B66" t="s">
        <v>31</v>
      </c>
      <c r="C66">
        <v>0</v>
      </c>
      <c r="D66" t="s">
        <v>31</v>
      </c>
      <c r="E66" t="s">
        <v>31</v>
      </c>
      <c r="H66" t="str">
        <v>444</v>
      </c>
    </row>
    <row r="67" spans="1:8" x14ac:dyDescent="0.3">
      <c r="A67" t="s">
        <v>47</v>
      </c>
      <c r="H67" t="str">
        <v>444</v>
      </c>
    </row>
    <row r="68" spans="1:8" x14ac:dyDescent="0.3">
      <c r="A68" t="s">
        <v>133</v>
      </c>
      <c r="B68" t="s">
        <v>48</v>
      </c>
      <c r="C68">
        <v>7.75</v>
      </c>
      <c r="D68" t="s">
        <v>29</v>
      </c>
      <c r="H68" t="str">
        <v>444</v>
      </c>
    </row>
    <row r="69" spans="1:8" x14ac:dyDescent="0.3">
      <c r="A69" t="s">
        <v>11</v>
      </c>
      <c r="H69" t="str">
        <v>444</v>
      </c>
    </row>
    <row r="70" spans="1:8" x14ac:dyDescent="0.3">
      <c r="A70" t="s">
        <v>30</v>
      </c>
      <c r="B70" t="s">
        <v>49</v>
      </c>
      <c r="C70">
        <v>0</v>
      </c>
      <c r="D70" t="s">
        <v>49</v>
      </c>
      <c r="E70" t="s">
        <v>49</v>
      </c>
      <c r="H70" t="str">
        <v>444</v>
      </c>
    </row>
    <row r="71" spans="1:8" x14ac:dyDescent="0.3">
      <c r="A71" t="s">
        <v>50</v>
      </c>
      <c r="H71" t="str">
        <v>444</v>
      </c>
    </row>
    <row r="72" spans="1:8" x14ac:dyDescent="0.3">
      <c r="A72" t="s">
        <v>133</v>
      </c>
      <c r="B72" t="s">
        <v>48</v>
      </c>
      <c r="C72">
        <v>7.75</v>
      </c>
      <c r="D72" t="s">
        <v>29</v>
      </c>
      <c r="H72" t="str">
        <v>444</v>
      </c>
    </row>
    <row r="73" spans="1:8" x14ac:dyDescent="0.3">
      <c r="A73" t="s">
        <v>11</v>
      </c>
      <c r="H73" t="str">
        <v>444</v>
      </c>
    </row>
    <row r="74" spans="1:8" x14ac:dyDescent="0.3">
      <c r="A74" t="s">
        <v>30</v>
      </c>
      <c r="B74" t="s">
        <v>31</v>
      </c>
      <c r="C74">
        <v>0</v>
      </c>
      <c r="D74" t="s">
        <v>31</v>
      </c>
      <c r="E74" t="s">
        <v>31</v>
      </c>
      <c r="H74" t="str">
        <v>444</v>
      </c>
    </row>
    <row r="75" spans="1:8" x14ac:dyDescent="0.3">
      <c r="A75" t="s">
        <v>51</v>
      </c>
      <c r="H75" t="str">
        <v>444</v>
      </c>
    </row>
    <row r="76" spans="1:8" x14ac:dyDescent="0.3">
      <c r="A76" t="s">
        <v>133</v>
      </c>
      <c r="B76" t="s">
        <v>52</v>
      </c>
      <c r="C76">
        <v>7.75</v>
      </c>
      <c r="D76" t="s">
        <v>29</v>
      </c>
      <c r="H76" t="e" vm="1">
        <v>#N/A</v>
      </c>
    </row>
    <row r="77" spans="1:8" x14ac:dyDescent="0.3">
      <c r="A77" t="s">
        <v>11</v>
      </c>
      <c r="H77" t="e" vm="1">
        <v>#N/A</v>
      </c>
    </row>
    <row r="78" spans="1:8" x14ac:dyDescent="0.3">
      <c r="A78" t="s">
        <v>30</v>
      </c>
      <c r="B78" t="s">
        <v>53</v>
      </c>
      <c r="C78">
        <v>0</v>
      </c>
      <c r="D78" t="s">
        <v>53</v>
      </c>
      <c r="E78" t="s">
        <v>53</v>
      </c>
      <c r="H78" t="e" vm="1">
        <v>#N/A</v>
      </c>
    </row>
    <row r="79" spans="1:8" x14ac:dyDescent="0.3">
      <c r="A79" t="s">
        <v>54</v>
      </c>
      <c r="H79" t="e" vm="1">
        <v>#N/A</v>
      </c>
    </row>
    <row r="80" spans="1:8" x14ac:dyDescent="0.3">
      <c r="A80" t="s">
        <v>133</v>
      </c>
      <c r="B80" t="s">
        <v>55</v>
      </c>
      <c r="C80">
        <v>6.3</v>
      </c>
      <c r="D80" t="s">
        <v>56</v>
      </c>
      <c r="H80" t="e" vm="1">
        <v>#N/A</v>
      </c>
    </row>
    <row r="81" spans="1:8" x14ac:dyDescent="0.3">
      <c r="A81" t="s">
        <v>11</v>
      </c>
      <c r="H81" t="e" vm="1">
        <v>#N/A</v>
      </c>
    </row>
    <row r="82" spans="1:8" x14ac:dyDescent="0.3">
      <c r="A82" t="s">
        <v>12</v>
      </c>
      <c r="B82" t="s">
        <v>31</v>
      </c>
      <c r="C82">
        <v>0</v>
      </c>
      <c r="D82" t="s">
        <v>31</v>
      </c>
      <c r="E82" t="s">
        <v>31</v>
      </c>
      <c r="H82" t="e" vm="1">
        <v>#N/A</v>
      </c>
    </row>
    <row r="83" spans="1:8" x14ac:dyDescent="0.3">
      <c r="A83" t="s">
        <v>57</v>
      </c>
      <c r="H83" t="e" vm="1">
        <v>#N/A</v>
      </c>
    </row>
    <row r="84" spans="1:8" x14ac:dyDescent="0.3">
      <c r="A84" t="s">
        <v>133</v>
      </c>
      <c r="B84" t="s">
        <v>55</v>
      </c>
      <c r="C84">
        <v>6.3</v>
      </c>
      <c r="D84" t="s">
        <v>56</v>
      </c>
      <c r="H84" t="e" vm="1">
        <v>#N/A</v>
      </c>
    </row>
    <row r="85" spans="1:8" x14ac:dyDescent="0.3">
      <c r="A85" t="s">
        <v>11</v>
      </c>
      <c r="H85" t="e" vm="1">
        <v>#N/A</v>
      </c>
    </row>
    <row r="86" spans="1:8" x14ac:dyDescent="0.3">
      <c r="A86" t="s">
        <v>12</v>
      </c>
      <c r="B86" t="s">
        <v>31</v>
      </c>
      <c r="C86">
        <v>0</v>
      </c>
      <c r="D86" t="s">
        <v>31</v>
      </c>
      <c r="E86" t="s">
        <v>31</v>
      </c>
      <c r="H86" t="e" vm="1">
        <v>#N/A</v>
      </c>
    </row>
    <row r="87" spans="1:8" x14ac:dyDescent="0.3">
      <c r="A87" t="s">
        <v>58</v>
      </c>
      <c r="H87" t="e" vm="1">
        <v>#N/A</v>
      </c>
    </row>
    <row r="88" spans="1:8" x14ac:dyDescent="0.3">
      <c r="A88" t="s">
        <v>133</v>
      </c>
      <c r="B88" t="s">
        <v>59</v>
      </c>
      <c r="C88">
        <v>6.3</v>
      </c>
      <c r="D88" t="s">
        <v>56</v>
      </c>
      <c r="H88" t="e" vm="1">
        <v>#N/A</v>
      </c>
    </row>
    <row r="89" spans="1:8" x14ac:dyDescent="0.3">
      <c r="A89" t="s">
        <v>11</v>
      </c>
      <c r="H89" t="e" vm="1">
        <v>#N/A</v>
      </c>
    </row>
    <row r="90" spans="1:8" x14ac:dyDescent="0.3">
      <c r="A90" t="s">
        <v>12</v>
      </c>
      <c r="B90" t="s">
        <v>31</v>
      </c>
      <c r="C90">
        <v>0</v>
      </c>
      <c r="D90" t="s">
        <v>31</v>
      </c>
      <c r="E90" t="s">
        <v>31</v>
      </c>
      <c r="H90" t="e" vm="1">
        <v>#N/A</v>
      </c>
    </row>
    <row r="91" spans="1:8" x14ac:dyDescent="0.3">
      <c r="A91" t="s">
        <v>60</v>
      </c>
      <c r="H91" t="e" vm="1">
        <v>#N/A</v>
      </c>
    </row>
    <row r="92" spans="1:8" x14ac:dyDescent="0.3">
      <c r="A92" t="s">
        <v>133</v>
      </c>
      <c r="B92" t="s">
        <v>59</v>
      </c>
      <c r="C92">
        <v>6.3</v>
      </c>
      <c r="D92" t="s">
        <v>56</v>
      </c>
      <c r="H92" t="e" vm="1">
        <v>#N/A</v>
      </c>
    </row>
    <row r="93" spans="1:8" x14ac:dyDescent="0.3">
      <c r="A93" t="s">
        <v>11</v>
      </c>
      <c r="H93" t="e" vm="1">
        <v>#N/A</v>
      </c>
    </row>
    <row r="94" spans="1:8" x14ac:dyDescent="0.3">
      <c r="A94" t="s">
        <v>12</v>
      </c>
      <c r="B94" t="s">
        <v>31</v>
      </c>
      <c r="C94">
        <v>0</v>
      </c>
      <c r="D94" t="s">
        <v>31</v>
      </c>
      <c r="E94" t="s">
        <v>31</v>
      </c>
      <c r="H94" t="e" vm="1">
        <v>#N/A</v>
      </c>
    </row>
    <row r="95" spans="1:8" x14ac:dyDescent="0.3">
      <c r="A95" t="s">
        <v>61</v>
      </c>
      <c r="H95" t="e" vm="1">
        <v>#N/A</v>
      </c>
    </row>
    <row r="96" spans="1:8" x14ac:dyDescent="0.3">
      <c r="A96" t="s">
        <v>133</v>
      </c>
      <c r="B96" t="s">
        <v>62</v>
      </c>
      <c r="C96">
        <v>6.3</v>
      </c>
      <c r="D96" t="s">
        <v>56</v>
      </c>
      <c r="H96" t="e" vm="1">
        <v>#N/A</v>
      </c>
    </row>
    <row r="97" spans="1:8" x14ac:dyDescent="0.3">
      <c r="A97" t="s">
        <v>11</v>
      </c>
      <c r="H97" t="e" vm="1">
        <v>#N/A</v>
      </c>
    </row>
    <row r="98" spans="1:8" x14ac:dyDescent="0.3">
      <c r="A98" t="s">
        <v>12</v>
      </c>
      <c r="B98" t="s">
        <v>31</v>
      </c>
      <c r="C98">
        <v>0</v>
      </c>
      <c r="D98" t="s">
        <v>31</v>
      </c>
      <c r="E98" t="s">
        <v>31</v>
      </c>
      <c r="H98" t="e" vm="1">
        <v>#N/A</v>
      </c>
    </row>
    <row r="99" spans="1:8" x14ac:dyDescent="0.3">
      <c r="A99" t="s">
        <v>63</v>
      </c>
      <c r="H99" t="e" vm="1">
        <v>#N/A</v>
      </c>
    </row>
    <row r="100" spans="1:8" x14ac:dyDescent="0.3">
      <c r="A100" t="s">
        <v>133</v>
      </c>
      <c r="B100" t="s">
        <v>64</v>
      </c>
      <c r="C100">
        <v>6.2</v>
      </c>
      <c r="D100" t="s">
        <v>56</v>
      </c>
      <c r="H100" t="e" vm="1">
        <v>#N/A</v>
      </c>
    </row>
    <row r="101" spans="1:8" x14ac:dyDescent="0.3">
      <c r="A101" t="s">
        <v>11</v>
      </c>
      <c r="H101" t="e" vm="1">
        <v>#N/A</v>
      </c>
    </row>
    <row r="102" spans="1:8" x14ac:dyDescent="0.3">
      <c r="A102" t="s">
        <v>12</v>
      </c>
      <c r="B102" t="s">
        <v>65</v>
      </c>
      <c r="C102">
        <v>0</v>
      </c>
      <c r="D102" t="s">
        <v>65</v>
      </c>
      <c r="E102" t="s">
        <v>65</v>
      </c>
      <c r="H102" t="e" vm="1">
        <v>#N/A</v>
      </c>
    </row>
    <row r="103" spans="1:8" x14ac:dyDescent="0.3">
      <c r="A103" t="s">
        <v>66</v>
      </c>
    </row>
    <row r="104" spans="1:8" x14ac:dyDescent="0.3">
      <c r="A104" t="s">
        <v>133</v>
      </c>
      <c r="B104" t="s">
        <v>64</v>
      </c>
      <c r="C104">
        <v>6.2</v>
      </c>
      <c r="D104" t="s">
        <v>56</v>
      </c>
    </row>
    <row r="105" spans="1:8" x14ac:dyDescent="0.3">
      <c r="A105" t="s">
        <v>11</v>
      </c>
    </row>
    <row r="106" spans="1:8" x14ac:dyDescent="0.3">
      <c r="A106" t="s">
        <v>12</v>
      </c>
      <c r="B106" t="s">
        <v>13</v>
      </c>
      <c r="C106">
        <v>0</v>
      </c>
      <c r="D106" t="s">
        <v>13</v>
      </c>
      <c r="E106" t="s">
        <v>13</v>
      </c>
    </row>
    <row r="107" spans="1:8" x14ac:dyDescent="0.3">
      <c r="A107" t="s">
        <v>67</v>
      </c>
    </row>
    <row r="108" spans="1:8" x14ac:dyDescent="0.3">
      <c r="A108" t="s">
        <v>133</v>
      </c>
      <c r="B108" t="s">
        <v>64</v>
      </c>
      <c r="C108">
        <v>6.2</v>
      </c>
      <c r="D108" t="s">
        <v>56</v>
      </c>
    </row>
    <row r="109" spans="1:8" x14ac:dyDescent="0.3">
      <c r="A109" t="s">
        <v>11</v>
      </c>
    </row>
    <row r="110" spans="1:8" x14ac:dyDescent="0.3">
      <c r="A110" t="s">
        <v>12</v>
      </c>
      <c r="B110" t="s">
        <v>38</v>
      </c>
      <c r="C110">
        <v>0</v>
      </c>
      <c r="D110" t="s">
        <v>38</v>
      </c>
      <c r="E110" t="s">
        <v>38</v>
      </c>
    </row>
    <row r="111" spans="1:8" x14ac:dyDescent="0.3">
      <c r="A111" t="s">
        <v>68</v>
      </c>
    </row>
    <row r="112" spans="1:8" x14ac:dyDescent="0.3">
      <c r="A112" t="s">
        <v>133</v>
      </c>
      <c r="B112" t="s">
        <v>64</v>
      </c>
      <c r="C112">
        <v>6.2</v>
      </c>
      <c r="D112" t="s">
        <v>56</v>
      </c>
    </row>
    <row r="113" spans="1:5" x14ac:dyDescent="0.3">
      <c r="A113" t="s">
        <v>11</v>
      </c>
    </row>
    <row r="114" spans="1:5" x14ac:dyDescent="0.3">
      <c r="A114" t="s">
        <v>12</v>
      </c>
      <c r="B114" t="s">
        <v>13</v>
      </c>
      <c r="C114">
        <v>0</v>
      </c>
      <c r="D114" t="s">
        <v>13</v>
      </c>
      <c r="E114" t="s">
        <v>13</v>
      </c>
    </row>
    <row r="115" spans="1:5" x14ac:dyDescent="0.3">
      <c r="A115" t="s">
        <v>69</v>
      </c>
    </row>
    <row r="116" spans="1:5" x14ac:dyDescent="0.3">
      <c r="A116" t="s">
        <v>133</v>
      </c>
      <c r="B116" t="s">
        <v>70</v>
      </c>
      <c r="C116">
        <v>6.2</v>
      </c>
      <c r="D116" t="s">
        <v>56</v>
      </c>
    </row>
    <row r="117" spans="1:5" x14ac:dyDescent="0.3">
      <c r="A117" t="s">
        <v>11</v>
      </c>
    </row>
    <row r="118" spans="1:5" x14ac:dyDescent="0.3">
      <c r="A118" t="s">
        <v>12</v>
      </c>
      <c r="B118" t="s">
        <v>31</v>
      </c>
      <c r="C118">
        <v>0</v>
      </c>
      <c r="D118" t="s">
        <v>31</v>
      </c>
      <c r="E118" t="s">
        <v>31</v>
      </c>
    </row>
    <row r="119" spans="1:5" x14ac:dyDescent="0.3">
      <c r="A119" t="s">
        <v>71</v>
      </c>
    </row>
    <row r="120" spans="1:5" x14ac:dyDescent="0.3">
      <c r="A120" t="s">
        <v>133</v>
      </c>
      <c r="B120" t="s">
        <v>70</v>
      </c>
      <c r="C120">
        <v>6.2</v>
      </c>
      <c r="D120" t="s">
        <v>56</v>
      </c>
    </row>
    <row r="121" spans="1:5" x14ac:dyDescent="0.3">
      <c r="A121" t="s">
        <v>11</v>
      </c>
    </row>
    <row r="122" spans="1:5" x14ac:dyDescent="0.3">
      <c r="A122" t="s">
        <v>12</v>
      </c>
      <c r="B122" t="s">
        <v>31</v>
      </c>
      <c r="C122">
        <v>0</v>
      </c>
      <c r="D122" t="s">
        <v>31</v>
      </c>
      <c r="E122" t="s">
        <v>31</v>
      </c>
    </row>
    <row r="123" spans="1:5" x14ac:dyDescent="0.3">
      <c r="A123" t="s">
        <v>72</v>
      </c>
    </row>
    <row r="124" spans="1:5" x14ac:dyDescent="0.3">
      <c r="A124" t="s">
        <v>133</v>
      </c>
      <c r="B124" t="s">
        <v>73</v>
      </c>
      <c r="C124">
        <v>7</v>
      </c>
      <c r="D124" t="s">
        <v>56</v>
      </c>
    </row>
    <row r="125" spans="1:5" x14ac:dyDescent="0.3">
      <c r="A125" t="s">
        <v>11</v>
      </c>
    </row>
    <row r="126" spans="1:5" x14ac:dyDescent="0.3">
      <c r="A126" t="s">
        <v>12</v>
      </c>
      <c r="B126" t="s">
        <v>38</v>
      </c>
      <c r="C126">
        <v>0</v>
      </c>
      <c r="D126" t="s">
        <v>38</v>
      </c>
      <c r="E126" t="s">
        <v>38</v>
      </c>
    </row>
    <row r="127" spans="1:5" x14ac:dyDescent="0.3">
      <c r="A127" t="s">
        <v>74</v>
      </c>
    </row>
    <row r="128" spans="1:5" x14ac:dyDescent="0.3">
      <c r="A128" t="s">
        <v>133</v>
      </c>
      <c r="B128" t="s">
        <v>73</v>
      </c>
      <c r="C128">
        <v>7</v>
      </c>
      <c r="D128" t="s">
        <v>56</v>
      </c>
    </row>
    <row r="129" spans="1:5" x14ac:dyDescent="0.3">
      <c r="A129" t="s">
        <v>11</v>
      </c>
    </row>
    <row r="130" spans="1:5" x14ac:dyDescent="0.3">
      <c r="A130" t="s">
        <v>12</v>
      </c>
      <c r="B130" t="s">
        <v>13</v>
      </c>
      <c r="C130">
        <v>0</v>
      </c>
      <c r="D130" t="s">
        <v>13</v>
      </c>
      <c r="E130" t="s">
        <v>13</v>
      </c>
    </row>
    <row r="131" spans="1:5" x14ac:dyDescent="0.3">
      <c r="A131" t="s">
        <v>75</v>
      </c>
    </row>
    <row r="132" spans="1:5" x14ac:dyDescent="0.3">
      <c r="A132" t="s">
        <v>133</v>
      </c>
      <c r="B132" t="s">
        <v>76</v>
      </c>
      <c r="C132">
        <v>7.1</v>
      </c>
      <c r="D132" t="s">
        <v>56</v>
      </c>
    </row>
    <row r="133" spans="1:5" x14ac:dyDescent="0.3">
      <c r="A133" t="s">
        <v>11</v>
      </c>
    </row>
    <row r="134" spans="1:5" x14ac:dyDescent="0.3">
      <c r="A134" t="s">
        <v>12</v>
      </c>
      <c r="B134" t="s">
        <v>13</v>
      </c>
      <c r="C134">
        <v>0</v>
      </c>
      <c r="D134" t="s">
        <v>13</v>
      </c>
      <c r="E134" t="s">
        <v>13</v>
      </c>
    </row>
    <row r="135" spans="1:5" x14ac:dyDescent="0.3">
      <c r="A135" t="s">
        <v>77</v>
      </c>
    </row>
    <row r="136" spans="1:5" x14ac:dyDescent="0.3">
      <c r="A136" t="s">
        <v>133</v>
      </c>
      <c r="B136" t="s">
        <v>78</v>
      </c>
      <c r="C136">
        <v>7.1</v>
      </c>
      <c r="D136" t="s">
        <v>56</v>
      </c>
    </row>
    <row r="137" spans="1:5" x14ac:dyDescent="0.3">
      <c r="A137" t="s">
        <v>11</v>
      </c>
    </row>
    <row r="138" spans="1:5" x14ac:dyDescent="0.3">
      <c r="A138" t="s">
        <v>12</v>
      </c>
      <c r="B138" t="s">
        <v>38</v>
      </c>
      <c r="C138">
        <v>0</v>
      </c>
      <c r="D138" t="s">
        <v>38</v>
      </c>
      <c r="E138" t="s">
        <v>38</v>
      </c>
    </row>
    <row r="139" spans="1:5" x14ac:dyDescent="0.3">
      <c r="A139" t="s">
        <v>79</v>
      </c>
    </row>
    <row r="140" spans="1:5" x14ac:dyDescent="0.3">
      <c r="A140" t="s">
        <v>133</v>
      </c>
      <c r="B140" t="s">
        <v>78</v>
      </c>
      <c r="C140">
        <v>7.1</v>
      </c>
      <c r="D140" t="s">
        <v>56</v>
      </c>
    </row>
    <row r="141" spans="1:5" x14ac:dyDescent="0.3">
      <c r="A141" t="s">
        <v>11</v>
      </c>
    </row>
    <row r="142" spans="1:5" x14ac:dyDescent="0.3">
      <c r="A142" t="s">
        <v>12</v>
      </c>
      <c r="B142" t="s">
        <v>13</v>
      </c>
      <c r="C142">
        <v>0</v>
      </c>
      <c r="D142" t="s">
        <v>13</v>
      </c>
      <c r="E142" t="s">
        <v>13</v>
      </c>
    </row>
    <row r="143" spans="1:5" x14ac:dyDescent="0.3">
      <c r="A143" t="s">
        <v>80</v>
      </c>
    </row>
    <row r="144" spans="1:5" x14ac:dyDescent="0.3">
      <c r="A144" t="s">
        <v>133</v>
      </c>
      <c r="B144" t="s">
        <v>81</v>
      </c>
      <c r="C144">
        <v>7.1</v>
      </c>
      <c r="D144" t="s">
        <v>56</v>
      </c>
    </row>
    <row r="145" spans="1:5" x14ac:dyDescent="0.3">
      <c r="A145" t="s">
        <v>11</v>
      </c>
    </row>
    <row r="146" spans="1:5" x14ac:dyDescent="0.3">
      <c r="A146" t="s">
        <v>12</v>
      </c>
      <c r="B146" t="s">
        <v>38</v>
      </c>
      <c r="C146">
        <v>0</v>
      </c>
      <c r="D146" t="s">
        <v>38</v>
      </c>
      <c r="E146" t="s">
        <v>38</v>
      </c>
    </row>
    <row r="147" spans="1:5" x14ac:dyDescent="0.3">
      <c r="A147" t="s">
        <v>82</v>
      </c>
    </row>
    <row r="148" spans="1:5" x14ac:dyDescent="0.3">
      <c r="A148" t="s">
        <v>133</v>
      </c>
      <c r="B148" t="s">
        <v>81</v>
      </c>
      <c r="C148">
        <v>7.1</v>
      </c>
      <c r="D148" t="s">
        <v>56</v>
      </c>
    </row>
    <row r="149" spans="1:5" x14ac:dyDescent="0.3">
      <c r="A149" t="s">
        <v>11</v>
      </c>
    </row>
    <row r="150" spans="1:5" x14ac:dyDescent="0.3">
      <c r="A150" t="s">
        <v>12</v>
      </c>
      <c r="B150" t="s">
        <v>38</v>
      </c>
      <c r="C150">
        <v>0</v>
      </c>
      <c r="D150" t="s">
        <v>38</v>
      </c>
      <c r="E150" t="s">
        <v>38</v>
      </c>
    </row>
    <row r="151" spans="1:5" x14ac:dyDescent="0.3">
      <c r="A151" t="s">
        <v>83</v>
      </c>
    </row>
    <row r="152" spans="1:5" x14ac:dyDescent="0.3">
      <c r="A152" t="s">
        <v>133</v>
      </c>
      <c r="B152" t="s">
        <v>84</v>
      </c>
      <c r="C152">
        <v>7.1</v>
      </c>
      <c r="D152" t="s">
        <v>56</v>
      </c>
    </row>
    <row r="153" spans="1:5" x14ac:dyDescent="0.3">
      <c r="A153" t="s">
        <v>11</v>
      </c>
    </row>
    <row r="154" spans="1:5" x14ac:dyDescent="0.3">
      <c r="A154" t="s">
        <v>12</v>
      </c>
      <c r="B154" t="s">
        <v>38</v>
      </c>
      <c r="C154">
        <v>0</v>
      </c>
      <c r="D154" t="s">
        <v>38</v>
      </c>
      <c r="E154" t="s">
        <v>38</v>
      </c>
    </row>
    <row r="155" spans="1:5" x14ac:dyDescent="0.3">
      <c r="A155" t="s">
        <v>85</v>
      </c>
    </row>
    <row r="156" spans="1:5" x14ac:dyDescent="0.3">
      <c r="A156" t="s">
        <v>133</v>
      </c>
      <c r="B156" t="s">
        <v>84</v>
      </c>
      <c r="C156">
        <v>7.1</v>
      </c>
      <c r="D156" t="s">
        <v>56</v>
      </c>
    </row>
    <row r="157" spans="1:5" x14ac:dyDescent="0.3">
      <c r="A157" t="s">
        <v>11</v>
      </c>
    </row>
    <row r="158" spans="1:5" x14ac:dyDescent="0.3">
      <c r="A158" t="s">
        <v>12</v>
      </c>
      <c r="B158" t="s">
        <v>86</v>
      </c>
      <c r="C158">
        <v>0</v>
      </c>
      <c r="D158" t="s">
        <v>86</v>
      </c>
      <c r="E158" t="s">
        <v>86</v>
      </c>
    </row>
    <row r="159" spans="1:5" x14ac:dyDescent="0.3">
      <c r="A159" t="s">
        <v>87</v>
      </c>
    </row>
    <row r="160" spans="1:5" x14ac:dyDescent="0.3">
      <c r="A160" t="s">
        <v>133</v>
      </c>
      <c r="B160" t="s">
        <v>88</v>
      </c>
      <c r="C160">
        <v>7.1</v>
      </c>
      <c r="D160" t="s">
        <v>56</v>
      </c>
    </row>
    <row r="161" spans="1:5" x14ac:dyDescent="0.3">
      <c r="A161" t="s">
        <v>11</v>
      </c>
    </row>
    <row r="162" spans="1:5" x14ac:dyDescent="0.3">
      <c r="A162" t="s">
        <v>12</v>
      </c>
      <c r="B162" t="s">
        <v>13</v>
      </c>
      <c r="C162">
        <v>0</v>
      </c>
      <c r="D162" t="s">
        <v>13</v>
      </c>
      <c r="E162" t="s">
        <v>13</v>
      </c>
    </row>
    <row r="163" spans="1:5" x14ac:dyDescent="0.3">
      <c r="A163" t="s">
        <v>89</v>
      </c>
    </row>
    <row r="164" spans="1:5" x14ac:dyDescent="0.3">
      <c r="A164" t="s">
        <v>133</v>
      </c>
      <c r="B164" t="s">
        <v>88</v>
      </c>
      <c r="C164">
        <v>7.1</v>
      </c>
      <c r="D164" t="s">
        <v>56</v>
      </c>
    </row>
    <row r="165" spans="1:5" x14ac:dyDescent="0.3">
      <c r="A165" t="s">
        <v>11</v>
      </c>
    </row>
    <row r="166" spans="1:5" x14ac:dyDescent="0.3">
      <c r="A166" t="s">
        <v>12</v>
      </c>
      <c r="B166" t="s">
        <v>38</v>
      </c>
      <c r="C166">
        <v>0</v>
      </c>
      <c r="D166" t="s">
        <v>38</v>
      </c>
      <c r="E166" t="s">
        <v>38</v>
      </c>
    </row>
    <row r="167" spans="1:5" x14ac:dyDescent="0.3">
      <c r="A167" t="s">
        <v>90</v>
      </c>
    </row>
    <row r="168" spans="1:5" x14ac:dyDescent="0.3">
      <c r="A168" t="s">
        <v>133</v>
      </c>
      <c r="B168" t="s">
        <v>88</v>
      </c>
      <c r="C168">
        <v>7.1</v>
      </c>
      <c r="D168" t="s">
        <v>56</v>
      </c>
    </row>
    <row r="169" spans="1:5" x14ac:dyDescent="0.3">
      <c r="A169" t="s">
        <v>11</v>
      </c>
    </row>
    <row r="170" spans="1:5" x14ac:dyDescent="0.3">
      <c r="A170" t="s">
        <v>12</v>
      </c>
      <c r="B170" t="s">
        <v>38</v>
      </c>
      <c r="C170">
        <v>0</v>
      </c>
      <c r="D170" t="s">
        <v>38</v>
      </c>
      <c r="E17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Dhawal</dc:creator>
  <cp:lastModifiedBy>Dhawal</cp:lastModifiedBy>
  <dcterms:created xsi:type="dcterms:W3CDTF">2025-10-18T04:09:23Z</dcterms:created>
  <dcterms:modified xsi:type="dcterms:W3CDTF">2025-10-18T04:53:46Z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2025-10-18T04:50:11Z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d539f4e3-8f99-4558-8b4d-a89e69d6b5e5</vt:lpwstr>
  </property>
  <property fmtid="{D5CDD505-2E9C-101B-9397-08002B2CF9AE}" pid="7" name="MSIP_Label_defa4170-0d19-0005-0004-bc88714345d2_ActionId">
    <vt:lpwstr>1234ab3d-a0f4-4bf1-bb9a-003939419bec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