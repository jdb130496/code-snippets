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0" documentId="8_{73EFF7E3-0412-4FE3-9CF8-50273BEE2263}" xr6:coauthVersionLast="47" xr6:coauthVersionMax="47" xr10:uidLastSave="{ABE6866D-92EF-4631-8994-3DA94D8C314A}"/>
  <bookViews>
    <workbookView xWindow="-120" yWindow="-120" windowWidth="20730" windowHeight="11040" xr2:uid="{80FF79CA-E251-4641-BF17-1171DAEF4CDA}"/>
  </bookViews>
  <sheets>
    <sheet name="Summary" sheetId="1" r:id="rId1"/>
    <sheet name="20M" sheetId="3" r:id="rId2"/>
    <sheet name="Checking single company" sheetId="2" r:id="rId3"/>
  </sheets>
  <functionGroups builtInGroupCount="19">
    <functionGroup name="xlwings"/>
  </functionGroups>
  <definedNames>
    <definedName name="_20_Microns" localSheetId="2">'Checking single company'!$A$1:$J$1359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price_cag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ny_summary">
          <x14:argumentDescriptions count="1">
            <x14:argumentDescription index="0">Positional argument 1</x14:argumentDescription>
          </x14:argumentDescriptions>
        </x14:definedName>
        <x14:definedName name="company_summary_from_range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bug_companie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port_to_cs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port_to_excel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all_data_as_array">
          <x14:argumentDescriptions count="1">
            <x14:argumentDescription index="0">Positional argument 1</x14:argumentDescription>
          </x14:argumentDescriptions>
        </x14:definedName>
        <x14:definedName name="get_compan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ompany_list">
          <x14:argumentDescriptions count="1">
            <x14:argumentDescription index="0">Positional argument 1</x14:argumentDescription>
          </x14:argumentDescriptions>
        </x14:definedName>
        <x14:definedName name="get_data_loss_report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ingle_data_point_companie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mmary_stats">
          <x14:argumentDescriptions count="1">
            <x14:argumentDescription index="0">Positional argument 1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top_compani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clau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csv_async">
          <x14:argumentDescriptions count="1">
            <x14:argumentDescription index="0">Positional argument 1</x14:argumentDescription>
          </x14:argumentDescriptions>
        </x14:definedName>
        <x14:definedName name="process_csv_file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RAND_BYTES">
          <x14:argumentDescriptions count="1">
            <x14:argumentDescription index="0">Positional argument 1</x14:argumentDescription>
          </x14:argumentDescriptions>
        </x14:definedName>
        <x14:definedName name="RDRAN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BYTES">
          <x14:argumentDescriptions count="1">
            <x14:argumentDescription index="0">Positional argument 1</x14:argumentDescription>
          </x14:argumentDescriptions>
        </x14:definedName>
        <x14:definedName name="RDSEED_COIN">
          <x14:argumentDescriptions count="1">
            <x14:argumentDescription index="0">Positional argument 1</x14:argumentDescription>
          </x14:argumentDescriptions>
        </x14:definedName>
        <x14:definedName name="RDSEED_DI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M4" i="2"/>
  <c r="K2" i="2" a="1"/>
  <c r="K2" i="2" s="1"/>
  <c r="A1" i="3" a="1"/>
  <c r="A1" i="3" s="1"/>
  <c r="O5" i="2"/>
  <c r="L2" i="2"/>
  <c r="M2" i="2" s="1"/>
  <c r="N2" i="2" s="1"/>
  <c r="L3" i="2" l="1"/>
  <c r="O6" i="2"/>
  <c r="O2" i="2"/>
  <c r="P2" i="2"/>
  <c r="L4" i="2"/>
  <c r="O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C2052-6C82-426A-B422-0ABC1CB95219}" name="20_Microns" type="6" refreshedVersion="8" background="1" saveData="1">
    <textPr codePage="437" sourceFile="D:\OneDrive - 0yt2k\Excel Examples Including  add-in xlwings and connected python - vba - dlls, etc\20_Microns.csv" qualifier="none">
      <textFields count="10">
        <textField type="text"/>
        <textField type="text"/>
        <textField type="DMY"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<sst xmlns="http://schemas.openxmlformats.org/spreadsheetml/2006/main" count="2727" uniqueCount="13">
  <si>
    <t>Capitaline Code</t>
  </si>
  <si>
    <t>Company Name</t>
  </si>
  <si>
    <t>Date</t>
  </si>
  <si>
    <t>Open Price</t>
  </si>
  <si>
    <t>High Price</t>
  </si>
  <si>
    <t>Low Price</t>
  </si>
  <si>
    <t>Close Price</t>
  </si>
  <si>
    <t>Total Volume (Adjusted)</t>
  </si>
  <si>
    <t>Market Cap</t>
  </si>
  <si>
    <t>Debt-Equity Ratio</t>
  </si>
  <si>
    <t>23450</t>
  </si>
  <si>
    <t>20 Microns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</si>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</sst>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14" fontId="0" fillId="0" borderId="0" xfId="0" applyNumberFormat="1"/>
    <xf numFmtId="164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_Microns" connectionId="1" xr16:uid="{14F1FE77-1FB1-4CC2-BCF6-FD99CA81F41F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D51E-B8C7-48C4-A6EA-2FAB2CDF96B4}">
  <sheetPr codeName="Sheet1"/>
  <dimension ref="A1:J3663"/>
  <sheetViews>
    <sheetView tabSelected="1" workbookViewId="0"/>
  </sheetViews>
  <sheetFormatPr defaultRowHeight="15" x14ac:dyDescent="0.25"/>
  <cols>
    <col min="1" max="1" width="15.42578125" bestFit="1" customWidth="1"/>
    <col min="2" max="2" width="19.5703125" bestFit="1" customWidth="1"/>
    <col min="3" max="3" width="11" bestFit="1" customWidth="1"/>
    <col min="4" max="4" width="12" bestFit="1" customWidth="1"/>
    <col min="5" max="5" width="18.42578125" bestFit="1" customWidth="1"/>
    <col min="6" max="7" width="12" bestFit="1" customWidth="1"/>
    <col min="8" max="8" width="17.42578125" bestFit="1" customWidth="1"/>
    <col min="9" max="9" width="17.5703125" bestFit="1" customWidth="1"/>
    <col min="10" max="10" width="11.5703125" bestFit="1" customWidth="1"/>
  </cols>
  <sheetData>
    <row r="1" spans="1:10" x14ac:dyDescent="0.25">
      <c r="A1" t="str" cm="1">
        <f t="array" ref="A1:J3663">get_all_data_as_array("D:\dev\bse-with-debt-equity.csv")</f>
        <v>Capitaline_Code</v>
      </c>
      <c r="B1" t="str">
        <v>Company_Name</v>
      </c>
      <c r="C1" t="str">
        <v>Price_CAGR</v>
      </c>
      <c r="D1" t="str">
        <v>Mean_Price</v>
      </c>
      <c r="E1" t="str">
        <v>Standard_Deviation</v>
      </c>
      <c r="F1" t="str">
        <v>COV</v>
      </c>
      <c r="G1" t="str">
        <v>Latest_Price</v>
      </c>
      <c r="H1" t="str">
        <v>Latest_Debt_Equity</v>
      </c>
      <c r="I1" t="str">
        <v>Latest_Market_Cap</v>
      </c>
      <c r="J1" t="str">
        <v>Data_Points</v>
      </c>
    </row>
    <row r="2" spans="1:10" x14ac:dyDescent="0.25">
      <c r="A2">
        <v>23450</v>
      </c>
      <c r="B2" t="str">
        <v>20 Microns</v>
      </c>
      <c r="C2">
        <v>35.391241000000001</v>
      </c>
      <c r="D2">
        <v>109.25541687011719</v>
      </c>
      <c r="E2">
        <v>76.369010925292969</v>
      </c>
      <c r="F2">
        <v>0.69899499416351318</v>
      </c>
      <c r="G2">
        <v>229.23750305175781</v>
      </c>
      <c r="H2">
        <v>0.31000000238418579</v>
      </c>
      <c r="I2">
        <v>792.8900146484375</v>
      </c>
      <c r="J2">
        <v>1358</v>
      </c>
    </row>
    <row r="3" spans="1:10" x14ac:dyDescent="0.25">
      <c r="A3">
        <v>4770</v>
      </c>
      <c r="B3" t="str">
        <v>21st Cent. Mgmt.</v>
      </c>
      <c r="C3">
        <v>26.131115999999999</v>
      </c>
      <c r="D3">
        <v>37.586399078369141</v>
      </c>
      <c r="E3">
        <v>29.028644561767578</v>
      </c>
      <c r="F3">
        <v>0.77231800556182861</v>
      </c>
      <c r="G3">
        <v>66.110000610351563</v>
      </c>
      <c r="H3">
        <v>0.23000000417232513</v>
      </c>
      <c r="I3">
        <v>69.419998168945313</v>
      </c>
      <c r="J3">
        <v>1271</v>
      </c>
    </row>
    <row r="4" spans="1:10" x14ac:dyDescent="0.25">
      <c r="A4">
        <v>66008</v>
      </c>
      <c r="B4" t="str">
        <v>360 ONE</v>
      </c>
      <c r="C4">
        <v>26.017081999999998</v>
      </c>
      <c r="D4">
        <v>526.62225341796875</v>
      </c>
      <c r="E4">
        <v>279.071044921875</v>
      </c>
      <c r="F4">
        <v>0.52992600202560425</v>
      </c>
      <c r="G4">
        <v>1120.612548828125</v>
      </c>
      <c r="H4">
        <v>0.43000000715255737</v>
      </c>
      <c r="I4">
        <v>43838.53125</v>
      </c>
      <c r="J4">
        <v>1357</v>
      </c>
    </row>
    <row r="5" spans="1:10" x14ac:dyDescent="0.25">
      <c r="A5">
        <v>15363</v>
      </c>
      <c r="B5" t="str">
        <v>3B Blackbio</v>
      </c>
      <c r="C5">
        <v>54.426093000000002</v>
      </c>
      <c r="D5">
        <v>654.68011474609375</v>
      </c>
      <c r="E5">
        <v>500.7037353515625</v>
      </c>
      <c r="F5">
        <v>0.76480698585510254</v>
      </c>
      <c r="G5">
        <v>1470.2874755859375</v>
      </c>
      <c r="H5">
        <v>9.9999997764825821E-3</v>
      </c>
      <c r="I5">
        <v>1242.3399658203125</v>
      </c>
      <c r="J5">
        <v>1359</v>
      </c>
    </row>
    <row r="6" spans="1:10" x14ac:dyDescent="0.25">
      <c r="A6">
        <v>2096</v>
      </c>
      <c r="B6" t="str">
        <v>3M India</v>
      </c>
      <c r="C6">
        <v>5.3611139999999997</v>
      </c>
      <c r="D6">
        <v>25827.703125</v>
      </c>
      <c r="E6">
        <v>5199.619140625</v>
      </c>
      <c r="F6">
        <v>0.20131899416446686</v>
      </c>
      <c r="G6">
        <v>28897.412109375</v>
      </c>
      <c r="H6">
        <v>9.9999997764825821E-3</v>
      </c>
      <c r="I6">
        <v>32508.7109375</v>
      </c>
      <c r="J6">
        <v>1359</v>
      </c>
    </row>
    <row r="7" spans="1:10" x14ac:dyDescent="0.25">
      <c r="A7">
        <v>4141</v>
      </c>
      <c r="B7" t="str">
        <v>3P Land Hold.</v>
      </c>
      <c r="C7">
        <v>43.368721999999998</v>
      </c>
      <c r="D7">
        <v>23.719694137573242</v>
      </c>
      <c r="E7">
        <v>13.765301704406738</v>
      </c>
      <c r="F7">
        <v>0.58033198118209839</v>
      </c>
      <c r="G7">
        <v>52.825000762939453</v>
      </c>
      <c r="H7">
        <v>0</v>
      </c>
      <c r="I7">
        <v>92.5</v>
      </c>
      <c r="J7">
        <v>1202</v>
      </c>
    </row>
    <row r="8" spans="1:10" x14ac:dyDescent="0.25">
      <c r="A8">
        <v>20650</v>
      </c>
      <c r="B8" t="str">
        <v>3i Infotech</v>
      </c>
      <c r="C8">
        <v>48.678643000000001</v>
      </c>
      <c r="D8">
        <v>30.54463005065918</v>
      </c>
      <c r="E8">
        <v>22.182558059692383</v>
      </c>
      <c r="F8">
        <v>0.72623401880264282</v>
      </c>
      <c r="G8">
        <v>24.722499847412109</v>
      </c>
      <c r="H8">
        <v>0.20000000298023224</v>
      </c>
      <c r="I8">
        <v>413.72000122070313</v>
      </c>
      <c r="J8">
        <v>1322</v>
      </c>
    </row>
    <row r="9" spans="1:10" x14ac:dyDescent="0.25">
      <c r="A9">
        <v>7376</v>
      </c>
      <c r="B9" t="str">
        <v>52 Weeks Enter.</v>
      </c>
      <c r="C9">
        <v>23.596008999999999</v>
      </c>
      <c r="D9">
        <v>1.6524200439453125</v>
      </c>
      <c r="E9">
        <v>0.68857300281524658</v>
      </c>
      <c r="F9">
        <v>0.41670599579811096</v>
      </c>
      <c r="G9">
        <v>1.5774999856948853</v>
      </c>
      <c r="H9">
        <v>0.23000000417232513</v>
      </c>
      <c r="I9">
        <v>5.5799999237060547</v>
      </c>
      <c r="J9">
        <v>1280</v>
      </c>
    </row>
    <row r="10" spans="1:10" x14ac:dyDescent="0.25">
      <c r="A10">
        <v>68848</v>
      </c>
      <c r="B10" t="str">
        <v>5paisa Capital</v>
      </c>
      <c r="C10">
        <v>12.467879999999999</v>
      </c>
      <c r="D10">
        <v>380.24014282226563</v>
      </c>
      <c r="E10">
        <v>111.08367919921875</v>
      </c>
      <c r="F10">
        <v>0.29214099049568176</v>
      </c>
      <c r="G10">
        <v>393.82501220703125</v>
      </c>
      <c r="H10">
        <v>0.5</v>
      </c>
      <c r="I10">
        <v>1217.9000244140625</v>
      </c>
      <c r="J10">
        <v>1357</v>
      </c>
    </row>
    <row r="11" spans="1:10" x14ac:dyDescent="0.25">
      <c r="A11">
        <v>4756</v>
      </c>
      <c r="B11" t="str">
        <v>63 Moons Tech.</v>
      </c>
      <c r="C11">
        <v>40.818261</v>
      </c>
      <c r="D11">
        <v>265.52944946289063</v>
      </c>
      <c r="E11">
        <v>220.81101989746094</v>
      </c>
      <c r="F11">
        <v>0.83158797025680542</v>
      </c>
      <c r="G11">
        <v>900.82501220703125</v>
      </c>
      <c r="H11">
        <v>0</v>
      </c>
      <c r="I11">
        <v>4024.27001953125</v>
      </c>
      <c r="J11">
        <v>1359</v>
      </c>
    </row>
    <row r="12" spans="1:10" x14ac:dyDescent="0.25">
      <c r="A12">
        <v>71076</v>
      </c>
      <c r="B12" t="str">
        <v>7NR Retail Ltd</v>
      </c>
      <c r="C12">
        <v>-48.984828</v>
      </c>
      <c r="D12">
        <v>11.331924438476563</v>
      </c>
      <c r="E12">
        <v>12.738892555236816</v>
      </c>
      <c r="F12">
        <v>1.1241600513458252</v>
      </c>
      <c r="G12">
        <v>7.6574997901916504</v>
      </c>
      <c r="H12">
        <v>0.12999999523162842</v>
      </c>
      <c r="I12">
        <v>41.840000152587891</v>
      </c>
      <c r="J12">
        <v>1313</v>
      </c>
    </row>
    <row r="13" spans="1:10" x14ac:dyDescent="0.25">
      <c r="A13">
        <v>28404</v>
      </c>
      <c r="B13" t="str">
        <v>7Seas Enter.</v>
      </c>
      <c r="C13">
        <v>43.906216000000001</v>
      </c>
      <c r="D13">
        <v>36.461666107177734</v>
      </c>
      <c r="E13">
        <v>23.262735366821289</v>
      </c>
      <c r="F13">
        <v>0.63800501823425293</v>
      </c>
      <c r="G13">
        <v>67.707496643066406</v>
      </c>
      <c r="H13">
        <v>0.4699999988079071</v>
      </c>
      <c r="I13">
        <v>148.30999755859375</v>
      </c>
      <c r="J13">
        <v>959</v>
      </c>
    </row>
    <row r="14" spans="1:10" x14ac:dyDescent="0.25">
      <c r="A14">
        <v>242</v>
      </c>
      <c r="B14" t="str">
        <v>A B B</v>
      </c>
      <c r="C14">
        <v>28.965074999999999</v>
      </c>
      <c r="D14">
        <v>3455.66455078125</v>
      </c>
      <c r="E14">
        <v>2253.903564453125</v>
      </c>
      <c r="F14">
        <v>0.65223401784896851</v>
      </c>
      <c r="G14">
        <v>5948.0751953125</v>
      </c>
      <c r="H14">
        <v>9.9999997764825821E-3</v>
      </c>
      <c r="I14">
        <v>124293.796875</v>
      </c>
      <c r="J14">
        <v>1359</v>
      </c>
    </row>
    <row r="15" spans="1:10" x14ac:dyDescent="0.25">
      <c r="A15">
        <v>107</v>
      </c>
      <c r="B15" t="str">
        <v>A B Real Estate</v>
      </c>
      <c r="C15">
        <v>30.968525</v>
      </c>
      <c r="D15">
        <v>1070.759521484375</v>
      </c>
      <c r="E15">
        <v>708.14190673828125</v>
      </c>
      <c r="F15">
        <v>0.66134500503540039</v>
      </c>
      <c r="G15">
        <v>2438.77490234375</v>
      </c>
      <c r="H15">
        <v>0.27000001072883606</v>
      </c>
      <c r="I15">
        <v>27436.9296875</v>
      </c>
      <c r="J15">
        <v>1359</v>
      </c>
    </row>
    <row r="16" spans="1:10" x14ac:dyDescent="0.25">
      <c r="A16">
        <v>41244</v>
      </c>
      <c r="B16" t="str">
        <v>A F Enterprises</v>
      </c>
      <c r="C16">
        <v>-1.3155760000000001</v>
      </c>
      <c r="D16">
        <v>18.503021240234375</v>
      </c>
      <c r="E16">
        <v>21.109935760498047</v>
      </c>
      <c r="F16">
        <v>1.1408909559249878</v>
      </c>
      <c r="G16">
        <v>3.377500057220459</v>
      </c>
      <c r="H16">
        <v>0.12999999523162842</v>
      </c>
      <c r="I16">
        <v>11.369999885559082</v>
      </c>
      <c r="J16">
        <v>1161</v>
      </c>
    </row>
    <row r="17" spans="1:10" x14ac:dyDescent="0.25">
      <c r="A17">
        <v>65131</v>
      </c>
      <c r="B17" t="str">
        <v>A-1</v>
      </c>
      <c r="C17">
        <v>49.986130000000003</v>
      </c>
      <c r="D17">
        <v>256.2869873046875</v>
      </c>
      <c r="E17">
        <v>138.82565307617188</v>
      </c>
      <c r="F17">
        <v>0.5416799783706665</v>
      </c>
      <c r="G17">
        <v>577.75</v>
      </c>
      <c r="H17">
        <v>0.25999999046325684</v>
      </c>
      <c r="I17">
        <v>673.9000244140625</v>
      </c>
      <c r="J17">
        <v>1343</v>
      </c>
    </row>
    <row r="18" spans="1:10" x14ac:dyDescent="0.25">
      <c r="A18">
        <v>3725</v>
      </c>
      <c r="B18" t="str">
        <v>ABC India</v>
      </c>
      <c r="C18">
        <v>1.6827490000000001</v>
      </c>
      <c r="D18">
        <v>85.449874877929688</v>
      </c>
      <c r="E18">
        <v>25.155195236206055</v>
      </c>
      <c r="F18">
        <v>0.29438498616218567</v>
      </c>
      <c r="G18">
        <v>84.614997863769531</v>
      </c>
      <c r="H18">
        <v>0.47999998927116394</v>
      </c>
      <c r="I18">
        <v>45.720001220703125</v>
      </c>
      <c r="J18">
        <v>1347</v>
      </c>
    </row>
    <row r="19" spans="1:10" x14ac:dyDescent="0.25">
      <c r="A19">
        <v>5942</v>
      </c>
      <c r="B19" t="str">
        <v>ABM Knowledge</v>
      </c>
      <c r="C19">
        <v>21.677168999999999</v>
      </c>
      <c r="D19">
        <v>110.33963012695313</v>
      </c>
      <c r="E19">
        <v>33.690597534179688</v>
      </c>
      <c r="F19">
        <v>0.30533498525619507</v>
      </c>
      <c r="G19">
        <v>169.88749694824219</v>
      </c>
      <c r="H19">
        <v>0</v>
      </c>
      <c r="I19">
        <v>327.1400146484375</v>
      </c>
      <c r="J19">
        <v>1357</v>
      </c>
    </row>
    <row r="20" spans="1:10" x14ac:dyDescent="0.25">
      <c r="A20">
        <v>6</v>
      </c>
      <c r="B20" t="str">
        <v>ACC</v>
      </c>
      <c r="C20">
        <v>4.3818650000000003</v>
      </c>
      <c r="D20">
        <v>2014.2115478515625</v>
      </c>
      <c r="E20">
        <v>395.212890625</v>
      </c>
      <c r="F20">
        <v>0.19621199369430542</v>
      </c>
      <c r="G20">
        <v>1836.262451171875</v>
      </c>
      <c r="H20">
        <v>1.9999999552965164E-2</v>
      </c>
      <c r="I20">
        <v>34279.62890625</v>
      </c>
      <c r="J20">
        <v>1359</v>
      </c>
    </row>
    <row r="21" spans="1:10" x14ac:dyDescent="0.25">
      <c r="A21">
        <v>4825</v>
      </c>
      <c r="B21" t="str">
        <v>ACE EduTremd Ltd</v>
      </c>
      <c r="C21">
        <v>13.811669</v>
      </c>
      <c r="D21">
        <v>2.2385098934173584</v>
      </c>
      <c r="E21">
        <v>0.92459601163864136</v>
      </c>
      <c r="F21">
        <v>0.41304099559783936</v>
      </c>
      <c r="G21">
        <v>3.5</v>
      </c>
      <c r="H21">
        <v>0</v>
      </c>
      <c r="I21">
        <v>3.2100000381469727</v>
      </c>
      <c r="J21">
        <v>156</v>
      </c>
    </row>
    <row r="22" spans="1:10" x14ac:dyDescent="0.25">
      <c r="A22">
        <v>3330</v>
      </c>
      <c r="B22" t="str">
        <v>ACI Infocom</v>
      </c>
      <c r="C22">
        <v>35.576033000000002</v>
      </c>
      <c r="D22">
        <v>1.359792947769165</v>
      </c>
      <c r="E22">
        <v>0.77087497711181641</v>
      </c>
      <c r="F22">
        <v>0.56690597534179688</v>
      </c>
      <c r="G22">
        <v>1.9199999570846558</v>
      </c>
      <c r="H22">
        <v>0</v>
      </c>
      <c r="I22">
        <v>21.209999084472656</v>
      </c>
      <c r="J22">
        <v>1266</v>
      </c>
    </row>
    <row r="23" spans="1:10" x14ac:dyDescent="0.25">
      <c r="A23">
        <v>3057</v>
      </c>
      <c r="B23" t="str">
        <v>AD Manum Finance</v>
      </c>
      <c r="C23">
        <v>33.368524000000001</v>
      </c>
      <c r="D23">
        <v>47.688217163085938</v>
      </c>
      <c r="E23">
        <v>25.28022575378418</v>
      </c>
      <c r="F23">
        <v>0.53011500835418701</v>
      </c>
      <c r="G23">
        <v>75.084999084472656</v>
      </c>
      <c r="H23">
        <v>0.10999999940395355</v>
      </c>
      <c r="I23">
        <v>55.610000610351563</v>
      </c>
      <c r="J23">
        <v>1179</v>
      </c>
    </row>
    <row r="24" spans="1:10" x14ac:dyDescent="0.25">
      <c r="A24">
        <v>2116</v>
      </c>
      <c r="B24" t="str">
        <v>ADC India</v>
      </c>
      <c r="C24">
        <v>35.280822000000001</v>
      </c>
      <c r="D24">
        <v>658.95513916015625</v>
      </c>
      <c r="E24">
        <v>541.922607421875</v>
      </c>
      <c r="F24">
        <v>0.82239699363708496</v>
      </c>
      <c r="G24">
        <v>1077.5250244140625</v>
      </c>
      <c r="H24">
        <v>0</v>
      </c>
      <c r="I24">
        <v>496.3900146484375</v>
      </c>
      <c r="J24">
        <v>1354</v>
      </c>
    </row>
    <row r="25" spans="1:10" x14ac:dyDescent="0.25">
      <c r="A25">
        <v>2416</v>
      </c>
      <c r="B25" t="str">
        <v>ADF Foods</v>
      </c>
      <c r="C25">
        <v>29.094432000000001</v>
      </c>
      <c r="D25">
        <v>171.11033630371094</v>
      </c>
      <c r="E25">
        <v>66.163520812988281</v>
      </c>
      <c r="F25">
        <v>0.38667199015617371</v>
      </c>
      <c r="G25">
        <v>283.21249389648438</v>
      </c>
      <c r="H25">
        <v>9.9999997764825821E-3</v>
      </c>
      <c r="I25">
        <v>3045.419921875</v>
      </c>
      <c r="J25">
        <v>1359</v>
      </c>
    </row>
    <row r="26" spans="1:10" x14ac:dyDescent="0.25">
      <c r="A26">
        <v>250</v>
      </c>
      <c r="B26" t="str">
        <v>AGI Greenpac</v>
      </c>
      <c r="C26">
        <v>54.224805000000003</v>
      </c>
      <c r="D26">
        <v>441.079345703125</v>
      </c>
      <c r="E26">
        <v>324.1175537109375</v>
      </c>
      <c r="F26">
        <v>0.73482799530029297</v>
      </c>
      <c r="G26">
        <v>802.6624755859375</v>
      </c>
      <c r="H26">
        <v>0.38999998569488525</v>
      </c>
      <c r="I26">
        <v>5178.0498046875</v>
      </c>
      <c r="J26">
        <v>1359</v>
      </c>
    </row>
    <row r="27" spans="1:10" x14ac:dyDescent="0.25">
      <c r="A27">
        <v>65734</v>
      </c>
      <c r="B27" t="str">
        <v>AGI Infra</v>
      </c>
      <c r="C27">
        <v>67.075688</v>
      </c>
      <c r="D27">
        <v>274.49081420898438</v>
      </c>
      <c r="E27">
        <v>255.56739807128906</v>
      </c>
      <c r="F27">
        <v>0.93106001615524292</v>
      </c>
      <c r="G27">
        <v>872.3499755859375</v>
      </c>
      <c r="H27">
        <v>0.4699999988079071</v>
      </c>
      <c r="I27">
        <v>2102.1298828125</v>
      </c>
      <c r="J27">
        <v>1331</v>
      </c>
    </row>
    <row r="28" spans="1:10" x14ac:dyDescent="0.25">
      <c r="A28">
        <v>6661</v>
      </c>
      <c r="B28" t="str">
        <v>AI Champ.Inds.</v>
      </c>
      <c r="C28">
        <v>26.199731</v>
      </c>
      <c r="D28">
        <v>29.717456817626953</v>
      </c>
      <c r="E28">
        <v>17.017234802246094</v>
      </c>
      <c r="F28">
        <v>0.57263398170471191</v>
      </c>
      <c r="G28">
        <v>41.650001525878906</v>
      </c>
      <c r="H28">
        <v>0.27000001072883606</v>
      </c>
      <c r="I28">
        <v>128.24000549316406</v>
      </c>
      <c r="J28">
        <v>1211</v>
      </c>
    </row>
    <row r="29" spans="1:10" x14ac:dyDescent="0.25">
      <c r="A29">
        <v>22825</v>
      </c>
      <c r="B29" t="str">
        <v>AIA Engineering</v>
      </c>
      <c r="C29">
        <v>13.486981999999999</v>
      </c>
      <c r="D29">
        <v>2664.20361328125</v>
      </c>
      <c r="E29">
        <v>880.8963623046875</v>
      </c>
      <c r="F29">
        <v>0.33064201474189758</v>
      </c>
      <c r="G29">
        <v>3371.35009765625</v>
      </c>
      <c r="H29">
        <v>7.9999998211860657E-2</v>
      </c>
      <c r="I29">
        <v>31665.23046875</v>
      </c>
      <c r="J29">
        <v>1359</v>
      </c>
    </row>
    <row r="30" spans="1:10" x14ac:dyDescent="0.25">
      <c r="A30">
        <v>24705</v>
      </c>
      <c r="B30" t="str">
        <v>AJR Infra &amp;</v>
      </c>
      <c r="C30">
        <v>11.882625000000001</v>
      </c>
      <c r="D30">
        <v>1.2551310062408447</v>
      </c>
      <c r="E30">
        <v>0.70282399654388428</v>
      </c>
      <c r="F30">
        <v>0.55996102094650269</v>
      </c>
      <c r="G30">
        <v>0.6600000262260437</v>
      </c>
      <c r="H30">
        <v>0</v>
      </c>
      <c r="I30">
        <v>64.040000915527344</v>
      </c>
      <c r="J30">
        <v>823</v>
      </c>
    </row>
    <row r="31" spans="1:10" x14ac:dyDescent="0.25">
      <c r="A31">
        <v>27530</v>
      </c>
      <c r="B31" t="str">
        <v>AMD Industries</v>
      </c>
      <c r="C31">
        <v>22.458228999999999</v>
      </c>
      <c r="D31">
        <v>46.722316741943359</v>
      </c>
      <c r="E31">
        <v>22.331399917602539</v>
      </c>
      <c r="F31">
        <v>0.47795999050140381</v>
      </c>
      <c r="G31">
        <v>49.577499389648438</v>
      </c>
      <c r="H31">
        <v>0.6600000262260437</v>
      </c>
      <c r="I31">
        <v>94.110000610351563</v>
      </c>
      <c r="J31">
        <v>1345</v>
      </c>
    </row>
    <row r="32" spans="1:10" x14ac:dyDescent="0.25">
      <c r="A32">
        <v>453</v>
      </c>
      <c r="B32" t="str">
        <v>AMJ Land Holdin.</v>
      </c>
      <c r="C32">
        <v>23.655253999999999</v>
      </c>
      <c r="D32">
        <v>33.357303619384766</v>
      </c>
      <c r="E32">
        <v>12.027375221252441</v>
      </c>
      <c r="F32">
        <v>0.36056199669837952</v>
      </c>
      <c r="G32">
        <v>63.444999694824219</v>
      </c>
      <c r="H32">
        <v>0</v>
      </c>
      <c r="I32">
        <v>253.75</v>
      </c>
      <c r="J32">
        <v>1327</v>
      </c>
    </row>
    <row r="33" spans="1:10" x14ac:dyDescent="0.25">
      <c r="A33">
        <v>70392</v>
      </c>
      <c r="B33" t="str">
        <v>ANG Lifesciences</v>
      </c>
      <c r="C33">
        <v>10.076556999999999</v>
      </c>
      <c r="D33">
        <v>104.09651947021484</v>
      </c>
      <c r="E33">
        <v>101.15153503417969</v>
      </c>
      <c r="F33">
        <v>0.97170901298522949</v>
      </c>
      <c r="G33">
        <v>28.854999542236328</v>
      </c>
      <c r="H33">
        <v>0.70999997854232788</v>
      </c>
      <c r="I33">
        <v>38.049999237060547</v>
      </c>
      <c r="J33">
        <v>1224</v>
      </c>
    </row>
    <row r="34" spans="1:10" x14ac:dyDescent="0.25">
      <c r="A34">
        <v>12334</v>
      </c>
      <c r="B34" t="str">
        <v>APL Apollo Tubes</v>
      </c>
      <c r="C34">
        <v>43.147708000000002</v>
      </c>
      <c r="D34">
        <v>1021.705322265625</v>
      </c>
      <c r="E34">
        <v>500.89706420898438</v>
      </c>
      <c r="F34">
        <v>0.49025601148605347</v>
      </c>
      <c r="G34">
        <v>1785</v>
      </c>
      <c r="H34">
        <v>0.10000000149011612</v>
      </c>
      <c r="I34">
        <v>49232.859375</v>
      </c>
      <c r="J34">
        <v>1359</v>
      </c>
    </row>
    <row r="35" spans="1:10" x14ac:dyDescent="0.25">
      <c r="A35">
        <v>2442</v>
      </c>
      <c r="B35" t="str">
        <v>APM Industries</v>
      </c>
      <c r="C35">
        <v>10.911168999999999</v>
      </c>
      <c r="D35">
        <v>40.838993072509766</v>
      </c>
      <c r="E35">
        <v>16.247100830078125</v>
      </c>
      <c r="F35">
        <v>0.39783298969268799</v>
      </c>
      <c r="G35">
        <v>35.682498931884766</v>
      </c>
      <c r="H35">
        <v>0.15000000596046448</v>
      </c>
      <c r="I35">
        <v>77.459999084472656</v>
      </c>
      <c r="J35">
        <v>1358</v>
      </c>
    </row>
    <row r="36" spans="1:10" x14ac:dyDescent="0.25">
      <c r="A36">
        <v>26017</v>
      </c>
      <c r="B36" t="str">
        <v>ARC Finance</v>
      </c>
      <c r="C36">
        <v>64.622725000000003</v>
      </c>
      <c r="D36">
        <v>0.80755800008773804</v>
      </c>
      <c r="E36">
        <v>0.68148601055145264</v>
      </c>
      <c r="F36">
        <v>0.84388500452041626</v>
      </c>
      <c r="G36">
        <v>1.0499999523162842</v>
      </c>
      <c r="H36">
        <v>0.30000001192092896</v>
      </c>
      <c r="I36">
        <v>91.510002136230469</v>
      </c>
      <c r="J36">
        <v>1253</v>
      </c>
    </row>
    <row r="37" spans="1:10" x14ac:dyDescent="0.25">
      <c r="A37">
        <v>29368</v>
      </c>
      <c r="B37" t="str">
        <v>ARSS Infra</v>
      </c>
      <c r="C37">
        <v>17.488679999999999</v>
      </c>
      <c r="D37">
        <v>22.550703048706055</v>
      </c>
      <c r="E37">
        <v>6.8351497650146484</v>
      </c>
      <c r="F37">
        <v>0.30310100317001343</v>
      </c>
      <c r="G37">
        <v>54.560001373291016</v>
      </c>
      <c r="H37">
        <v>0</v>
      </c>
      <c r="I37">
        <v>124.05999755859375</v>
      </c>
      <c r="J37">
        <v>1156</v>
      </c>
    </row>
    <row r="38" spans="1:10" x14ac:dyDescent="0.25">
      <c r="A38">
        <v>3734</v>
      </c>
      <c r="B38" t="str">
        <v>ASM Technologies</v>
      </c>
      <c r="C38">
        <v>86.538184999999999</v>
      </c>
      <c r="D38">
        <v>583.09564208984375</v>
      </c>
      <c r="E38">
        <v>513.3695068359375</v>
      </c>
      <c r="F38">
        <v>0.880420982837677</v>
      </c>
      <c r="G38">
        <v>2502.66259765625</v>
      </c>
      <c r="H38">
        <v>0.37999999523162842</v>
      </c>
      <c r="I38">
        <v>2862.1298828125</v>
      </c>
      <c r="J38">
        <v>1342</v>
      </c>
    </row>
    <row r="39" spans="1:10" x14ac:dyDescent="0.25">
      <c r="A39">
        <v>3528</v>
      </c>
      <c r="B39" t="str">
        <v>ATN Intl.</v>
      </c>
      <c r="C39">
        <v>-9.9300200000000007</v>
      </c>
      <c r="D39">
        <v>0.22171899676322937</v>
      </c>
      <c r="E39">
        <v>2.5259999558329582E-2</v>
      </c>
      <c r="F39">
        <v>0.11392900347709656</v>
      </c>
      <c r="G39">
        <v>0.18999999761581421</v>
      </c>
      <c r="H39">
        <v>0</v>
      </c>
      <c r="I39">
        <v>0.75</v>
      </c>
      <c r="J39">
        <v>32</v>
      </c>
    </row>
    <row r="40" spans="1:10" x14ac:dyDescent="0.25">
      <c r="A40">
        <v>1044</v>
      </c>
      <c r="B40" t="str">
        <v>ATV Projects</v>
      </c>
      <c r="C40">
        <v>46.007269000000001</v>
      </c>
      <c r="D40">
        <v>14.382786750793457</v>
      </c>
      <c r="E40">
        <v>11.155118942260742</v>
      </c>
      <c r="F40">
        <v>0.77558797597885132</v>
      </c>
      <c r="G40">
        <v>37.700000762939453</v>
      </c>
      <c r="H40">
        <v>0.27000001072883606</v>
      </c>
      <c r="I40">
        <v>195.94999694824219</v>
      </c>
      <c r="J40">
        <v>1356</v>
      </c>
    </row>
    <row r="41" spans="1:10" x14ac:dyDescent="0.25">
      <c r="A41">
        <v>34695</v>
      </c>
      <c r="B41" t="str">
        <v>AU Small Finance</v>
      </c>
      <c r="C41">
        <v>12.75238</v>
      </c>
      <c r="D41">
        <v>581.240478515625</v>
      </c>
      <c r="E41">
        <v>129.50205993652344</v>
      </c>
      <c r="F41">
        <v>0.22280299663543701</v>
      </c>
      <c r="G41">
        <v>796.1875</v>
      </c>
      <c r="H41">
        <v>0</v>
      </c>
      <c r="I41">
        <v>58825.171875</v>
      </c>
      <c r="J41">
        <v>1359</v>
      </c>
    </row>
    <row r="42" spans="1:10" x14ac:dyDescent="0.25">
      <c r="A42">
        <v>1840</v>
      </c>
      <c r="B42" t="str">
        <v>AVT Natural Prod</v>
      </c>
      <c r="C42">
        <v>13.26695</v>
      </c>
      <c r="D42">
        <v>75.840187072753906</v>
      </c>
      <c r="E42">
        <v>23.681968688964844</v>
      </c>
      <c r="F42">
        <v>0.31226098537445068</v>
      </c>
      <c r="G42">
        <v>64.180000305175781</v>
      </c>
      <c r="H42">
        <v>2.9999999329447746E-2</v>
      </c>
      <c r="I42">
        <v>978.67999267578125</v>
      </c>
      <c r="J42">
        <v>1359</v>
      </c>
    </row>
    <row r="43" spans="1:10" x14ac:dyDescent="0.25">
      <c r="A43">
        <v>2006</v>
      </c>
      <c r="B43" t="str">
        <v>AYM Syntex</v>
      </c>
      <c r="C43">
        <v>40.059669999999997</v>
      </c>
      <c r="D43">
        <v>94.753204345703125</v>
      </c>
      <c r="E43">
        <v>62.645473480224609</v>
      </c>
      <c r="F43">
        <v>0.66114401817321777</v>
      </c>
      <c r="G43">
        <v>242.26249694824219</v>
      </c>
      <c r="H43">
        <v>0.70999997854232788</v>
      </c>
      <c r="I43">
        <v>1395.4000244140625</v>
      </c>
      <c r="J43">
        <v>1351</v>
      </c>
    </row>
    <row r="44" spans="1:10" x14ac:dyDescent="0.25">
      <c r="A44">
        <v>43999</v>
      </c>
      <c r="B44" t="str">
        <v>Aananda Lakshmi</v>
      </c>
      <c r="C44">
        <v>47.521056999999999</v>
      </c>
      <c r="D44">
        <v>11.981834411621094</v>
      </c>
      <c r="E44">
        <v>5.4321579933166504</v>
      </c>
      <c r="F44">
        <v>0.45336601138114929</v>
      </c>
      <c r="G44">
        <v>21.850000381469727</v>
      </c>
      <c r="H44">
        <v>0</v>
      </c>
      <c r="I44">
        <v>7.6500000953674316</v>
      </c>
      <c r="J44">
        <v>987</v>
      </c>
    </row>
    <row r="45" spans="1:10" x14ac:dyDescent="0.25">
      <c r="A45">
        <v>3360</v>
      </c>
      <c r="B45" t="str">
        <v>Aarey Drugs</v>
      </c>
      <c r="C45">
        <v>16.348400999999999</v>
      </c>
      <c r="D45">
        <v>38.760822296142578</v>
      </c>
      <c r="E45">
        <v>12.522732734680176</v>
      </c>
      <c r="F45">
        <v>0.323076993227005</v>
      </c>
      <c r="G45">
        <v>54.424999237060547</v>
      </c>
      <c r="H45">
        <v>0.2800000011920929</v>
      </c>
      <c r="I45">
        <v>154.52999877929688</v>
      </c>
      <c r="J45">
        <v>1357</v>
      </c>
    </row>
    <row r="46" spans="1:10" x14ac:dyDescent="0.25">
      <c r="A46">
        <v>67535</v>
      </c>
      <c r="B46" t="str">
        <v>Aarnav Fashions</v>
      </c>
      <c r="C46">
        <v>3.643926</v>
      </c>
      <c r="D46">
        <v>52.257427215576172</v>
      </c>
      <c r="E46">
        <v>21.08381462097168</v>
      </c>
      <c r="F46">
        <v>0.40346100926399231</v>
      </c>
      <c r="G46">
        <v>51.830001831054688</v>
      </c>
      <c r="H46">
        <v>0.67000001668930054</v>
      </c>
      <c r="I46">
        <v>206.6300048828125</v>
      </c>
      <c r="J46">
        <v>1313</v>
      </c>
    </row>
    <row r="47" spans="1:10" x14ac:dyDescent="0.25">
      <c r="A47">
        <v>73294</v>
      </c>
      <c r="B47" t="str">
        <v>Aartech Solonics</v>
      </c>
      <c r="C47">
        <v>40.545977999999998</v>
      </c>
      <c r="D47">
        <v>47.200527191162109</v>
      </c>
      <c r="E47">
        <v>23.24809455871582</v>
      </c>
      <c r="F47">
        <v>0.49253898859024048</v>
      </c>
      <c r="G47">
        <v>65.482498168945313</v>
      </c>
      <c r="H47">
        <v>0.10999999940395355</v>
      </c>
      <c r="I47">
        <v>206.35000610351563</v>
      </c>
      <c r="J47">
        <v>708</v>
      </c>
    </row>
    <row r="48" spans="1:10" x14ac:dyDescent="0.25">
      <c r="A48">
        <v>2975</v>
      </c>
      <c r="B48" t="str">
        <v>Aarti Drugs</v>
      </c>
      <c r="C48">
        <v>20.838062000000001</v>
      </c>
      <c r="D48">
        <v>494.09170532226563</v>
      </c>
      <c r="E48">
        <v>149.91690063476563</v>
      </c>
      <c r="F48">
        <v>0.30341899394989014</v>
      </c>
      <c r="G48">
        <v>445.23748779296875</v>
      </c>
      <c r="H48">
        <v>0.43999999761581421</v>
      </c>
      <c r="I48">
        <v>4041</v>
      </c>
      <c r="J48">
        <v>1359</v>
      </c>
    </row>
    <row r="49" spans="1:10" x14ac:dyDescent="0.25">
      <c r="A49">
        <v>2378</v>
      </c>
      <c r="B49" t="str">
        <v>Aarti Industries</v>
      </c>
      <c r="C49">
        <v>3.593836</v>
      </c>
      <c r="D49">
        <v>590.28662109375</v>
      </c>
      <c r="E49">
        <v>146.94291687011719</v>
      </c>
      <c r="F49">
        <v>0.24893499910831451</v>
      </c>
      <c r="G49">
        <v>444.11248779296875</v>
      </c>
      <c r="H49">
        <v>0.60000002384185791</v>
      </c>
      <c r="I49">
        <v>15858.4404296875</v>
      </c>
      <c r="J49">
        <v>1359</v>
      </c>
    </row>
    <row r="50" spans="1:10" x14ac:dyDescent="0.25">
      <c r="A50">
        <v>51492</v>
      </c>
      <c r="B50" t="str">
        <v>Aayush Wellness</v>
      </c>
      <c r="C50">
        <v>99.797854000000001</v>
      </c>
      <c r="D50">
        <v>15.760287284851074</v>
      </c>
      <c r="E50">
        <v>31.726274490356445</v>
      </c>
      <c r="F50">
        <v>2.0130519866943359</v>
      </c>
      <c r="G50">
        <v>176.75</v>
      </c>
      <c r="H50">
        <v>0</v>
      </c>
      <c r="I50">
        <v>860.33001708984375</v>
      </c>
      <c r="J50">
        <v>1307</v>
      </c>
    </row>
    <row r="51" spans="1:10" x14ac:dyDescent="0.25">
      <c r="A51">
        <v>1093</v>
      </c>
      <c r="B51" t="str">
        <v>Aban Offshore</v>
      </c>
      <c r="C51">
        <v>15.109162</v>
      </c>
      <c r="D51">
        <v>45.383438110351563</v>
      </c>
      <c r="E51">
        <v>15.17154598236084</v>
      </c>
      <c r="F51">
        <v>0.33429700136184692</v>
      </c>
      <c r="G51">
        <v>59.119998931884766</v>
      </c>
      <c r="H51">
        <v>0</v>
      </c>
      <c r="I51">
        <v>348.08999633789063</v>
      </c>
      <c r="J51">
        <v>1359</v>
      </c>
    </row>
    <row r="52" spans="1:10" x14ac:dyDescent="0.25">
      <c r="A52">
        <v>7029</v>
      </c>
      <c r="B52" t="str">
        <v>Abate As Indust</v>
      </c>
      <c r="C52">
        <v>40.511287000000003</v>
      </c>
      <c r="D52">
        <v>11.06748104095459</v>
      </c>
      <c r="E52">
        <v>7.2402858734130859</v>
      </c>
      <c r="F52">
        <v>0.65419501066207886</v>
      </c>
      <c r="G52">
        <v>21.209999084472656</v>
      </c>
      <c r="H52">
        <v>0</v>
      </c>
      <c r="I52">
        <v>167.13999938964844</v>
      </c>
      <c r="J52">
        <v>423</v>
      </c>
    </row>
    <row r="53" spans="1:10" x14ac:dyDescent="0.25">
      <c r="A53">
        <v>90</v>
      </c>
      <c r="B53" t="str">
        <v>Abbott India</v>
      </c>
      <c r="C53">
        <v>16.150834</v>
      </c>
      <c r="D53">
        <v>21091.208984375</v>
      </c>
      <c r="E53">
        <v>5138.0458984375</v>
      </c>
      <c r="F53">
        <v>0.24361099302768707</v>
      </c>
      <c r="G53">
        <v>31403.763671875</v>
      </c>
      <c r="H53">
        <v>2.9999999329447746E-2</v>
      </c>
      <c r="I53">
        <v>65900.7109375</v>
      </c>
      <c r="J53">
        <v>1359</v>
      </c>
    </row>
    <row r="54" spans="1:10" x14ac:dyDescent="0.25">
      <c r="A54">
        <v>5990</v>
      </c>
      <c r="B54" t="str">
        <v>Abhinav Capital</v>
      </c>
      <c r="C54">
        <v>11.007588999999999</v>
      </c>
      <c r="D54">
        <v>107.26914978027344</v>
      </c>
      <c r="E54">
        <v>53.114116668701172</v>
      </c>
      <c r="F54">
        <v>0.49514800310134888</v>
      </c>
      <c r="G54">
        <v>120.82499694824219</v>
      </c>
      <c r="H54">
        <v>0.27000001072883606</v>
      </c>
      <c r="I54">
        <v>83.610000610351563</v>
      </c>
      <c r="J54">
        <v>1065</v>
      </c>
    </row>
    <row r="55" spans="1:10" x14ac:dyDescent="0.25">
      <c r="A55">
        <v>24399</v>
      </c>
      <c r="B55" t="str">
        <v>Abhinav Leasing</v>
      </c>
      <c r="C55">
        <v>3.975762</v>
      </c>
      <c r="D55">
        <v>1.8354549407958984</v>
      </c>
      <c r="E55">
        <v>0.69977498054504395</v>
      </c>
      <c r="F55">
        <v>0.38125398755073547</v>
      </c>
      <c r="G55">
        <v>1.4650000333786011</v>
      </c>
      <c r="H55">
        <v>0</v>
      </c>
      <c r="I55">
        <v>7.0999999046325684</v>
      </c>
      <c r="J55">
        <v>1198</v>
      </c>
    </row>
    <row r="56" spans="1:10" x14ac:dyDescent="0.25">
      <c r="A56">
        <v>6907</v>
      </c>
      <c r="B56" t="str">
        <v>Abhishek Finle.</v>
      </c>
      <c r="C56">
        <v>43.349136000000001</v>
      </c>
      <c r="D56">
        <v>37.786724090576172</v>
      </c>
      <c r="E56">
        <v>16.049638748168945</v>
      </c>
      <c r="F56">
        <v>0.42474299669265747</v>
      </c>
      <c r="G56">
        <v>71.474998474121094</v>
      </c>
      <c r="H56">
        <v>9.9999997764825821E-3</v>
      </c>
      <c r="I56">
        <v>32.290000915527344</v>
      </c>
      <c r="J56">
        <v>497</v>
      </c>
    </row>
    <row r="57" spans="1:10" x14ac:dyDescent="0.25">
      <c r="A57">
        <v>31998</v>
      </c>
      <c r="B57" t="str">
        <v>Abhishek Infra.</v>
      </c>
      <c r="C57">
        <v>14.184533999999999</v>
      </c>
      <c r="D57">
        <v>4.8551030158996582</v>
      </c>
      <c r="E57">
        <v>1.9579830169677734</v>
      </c>
      <c r="F57">
        <v>0.40328401327133179</v>
      </c>
      <c r="G57">
        <v>6.7624998092651367</v>
      </c>
      <c r="H57">
        <v>9.9999997764825821E-3</v>
      </c>
      <c r="I57">
        <v>3.4200000762939453</v>
      </c>
      <c r="J57">
        <v>1038</v>
      </c>
    </row>
    <row r="58" spans="1:10" x14ac:dyDescent="0.25">
      <c r="A58">
        <v>12311</v>
      </c>
      <c r="B58" t="str">
        <v>Accedere</v>
      </c>
      <c r="C58">
        <v>62.660525</v>
      </c>
      <c r="D58">
        <v>47.324905395507813</v>
      </c>
      <c r="E58">
        <v>27.886175155639648</v>
      </c>
      <c r="F58">
        <v>0.58925002813339233</v>
      </c>
      <c r="G58">
        <v>88.474998474121094</v>
      </c>
      <c r="H58">
        <v>0</v>
      </c>
      <c r="I58">
        <v>44.459999084472656</v>
      </c>
      <c r="J58">
        <v>978</v>
      </c>
    </row>
    <row r="59" spans="1:10" x14ac:dyDescent="0.25">
      <c r="A59">
        <v>14927</v>
      </c>
      <c r="B59" t="str">
        <v>Accelya Solution</v>
      </c>
      <c r="C59">
        <v>5.1135739999999998</v>
      </c>
      <c r="D59">
        <v>1266.11181640625</v>
      </c>
      <c r="E59">
        <v>300.78195190429688</v>
      </c>
      <c r="F59">
        <v>0.23756299912929535</v>
      </c>
      <c r="G59">
        <v>1396.91259765625</v>
      </c>
      <c r="H59">
        <v>9.0000003576278687E-2</v>
      </c>
      <c r="I59">
        <v>2062.139892578125</v>
      </c>
      <c r="J59">
        <v>1357</v>
      </c>
    </row>
    <row r="60" spans="1:10" x14ac:dyDescent="0.25">
      <c r="A60">
        <v>14129</v>
      </c>
      <c r="B60" t="str">
        <v>Ace Soft. Exp.</v>
      </c>
      <c r="C60">
        <v>59.624670000000002</v>
      </c>
      <c r="D60">
        <v>63.998985290527344</v>
      </c>
      <c r="E60">
        <v>99.685775756835938</v>
      </c>
      <c r="F60">
        <v>1.5576150417327881</v>
      </c>
      <c r="G60">
        <v>243.6875</v>
      </c>
      <c r="H60">
        <v>0</v>
      </c>
      <c r="I60">
        <v>310.25</v>
      </c>
      <c r="J60">
        <v>1279</v>
      </c>
    </row>
    <row r="61" spans="1:10" x14ac:dyDescent="0.25">
      <c r="A61">
        <v>45829</v>
      </c>
      <c r="B61" t="str">
        <v>Achal Investment</v>
      </c>
      <c r="C61">
        <v>-283.13308899999998</v>
      </c>
      <c r="D61">
        <v>0.36733299493789673</v>
      </c>
      <c r="E61">
        <v>5.7599000632762909E-2</v>
      </c>
      <c r="F61">
        <v>0.15680299699306488</v>
      </c>
      <c r="G61">
        <v>0.2800000011920929</v>
      </c>
      <c r="H61">
        <v>0.5</v>
      </c>
      <c r="I61">
        <v>1.7699999809265137</v>
      </c>
      <c r="J61">
        <v>30</v>
      </c>
    </row>
    <row r="62" spans="1:10" x14ac:dyDescent="0.25">
      <c r="A62">
        <v>4826</v>
      </c>
      <c r="B62" t="str">
        <v>Acknit Indus.</v>
      </c>
      <c r="C62">
        <v>28.875278999999999</v>
      </c>
      <c r="D62">
        <v>169.97946166992188</v>
      </c>
      <c r="E62">
        <v>84.640785217285156</v>
      </c>
      <c r="F62">
        <v>0.49794700741767883</v>
      </c>
      <c r="G62">
        <v>268.8125</v>
      </c>
      <c r="H62">
        <v>0.68000000715255737</v>
      </c>
      <c r="I62">
        <v>81.239997863769531</v>
      </c>
      <c r="J62">
        <v>1340</v>
      </c>
    </row>
    <row r="63" spans="1:10" x14ac:dyDescent="0.25">
      <c r="A63">
        <v>23248</v>
      </c>
      <c r="B63" t="str">
        <v>Acme Resources</v>
      </c>
      <c r="C63">
        <v>37.519005999999997</v>
      </c>
      <c r="D63">
        <v>24.839931488037109</v>
      </c>
      <c r="E63">
        <v>14.296731948852539</v>
      </c>
      <c r="F63">
        <v>0.5755540132522583</v>
      </c>
      <c r="G63">
        <v>39.057498931884766</v>
      </c>
      <c r="H63">
        <v>5.000000074505806E-2</v>
      </c>
      <c r="I63">
        <v>101.37999725341797</v>
      </c>
      <c r="J63">
        <v>1228</v>
      </c>
    </row>
    <row r="64" spans="1:10" x14ac:dyDescent="0.25">
      <c r="A64">
        <v>819</v>
      </c>
      <c r="B64" t="str">
        <v>Acrow India</v>
      </c>
      <c r="C64">
        <v>34.973725999999999</v>
      </c>
      <c r="D64">
        <v>544.83441162109375</v>
      </c>
      <c r="E64">
        <v>328.02700805664063</v>
      </c>
      <c r="F64">
        <v>0.60206699371337891</v>
      </c>
      <c r="G64">
        <v>711.875</v>
      </c>
      <c r="H64">
        <v>0</v>
      </c>
      <c r="I64">
        <v>46.200000762939453</v>
      </c>
      <c r="J64">
        <v>1026</v>
      </c>
    </row>
    <row r="65" spans="1:10" x14ac:dyDescent="0.25">
      <c r="A65">
        <v>27338</v>
      </c>
      <c r="B65" t="str">
        <v>Action Const.Eq.</v>
      </c>
      <c r="C65">
        <v>54.291943000000003</v>
      </c>
      <c r="D65">
        <v>547.09393310546875</v>
      </c>
      <c r="E65">
        <v>495.05148315429688</v>
      </c>
      <c r="F65">
        <v>0.90487498044967651</v>
      </c>
      <c r="G65">
        <v>1187.737548828125</v>
      </c>
      <c r="H65">
        <v>9.9999997764825821E-3</v>
      </c>
      <c r="I65">
        <v>13909.509765625</v>
      </c>
      <c r="J65">
        <v>1359</v>
      </c>
    </row>
    <row r="66" spans="1:10" x14ac:dyDescent="0.25">
      <c r="A66">
        <v>66273</v>
      </c>
      <c r="B66" t="str">
        <v>Adani Energy Sol</v>
      </c>
      <c r="C66">
        <v>17.135529999999999</v>
      </c>
      <c r="D66">
        <v>1212.804443359375</v>
      </c>
      <c r="E66">
        <v>871.88031005859375</v>
      </c>
      <c r="F66">
        <v>0.71889597177505493</v>
      </c>
      <c r="G66">
        <v>834.79998779296875</v>
      </c>
      <c r="H66">
        <v>0.43000000715255737</v>
      </c>
      <c r="I66">
        <v>98961.65625</v>
      </c>
      <c r="J66">
        <v>1359</v>
      </c>
    </row>
    <row r="67" spans="1:10" x14ac:dyDescent="0.25">
      <c r="A67">
        <v>4244</v>
      </c>
      <c r="B67" t="str">
        <v>Adani Enterp.</v>
      </c>
      <c r="C67">
        <v>47.599896000000001</v>
      </c>
      <c r="D67">
        <v>1950.28271484375</v>
      </c>
      <c r="E67">
        <v>1084.3990478515625</v>
      </c>
      <c r="F67">
        <v>0.55602097511291504</v>
      </c>
      <c r="G67">
        <v>2441.275146484375</v>
      </c>
      <c r="H67">
        <v>0.43000000715255737</v>
      </c>
      <c r="I67">
        <v>279219.40625</v>
      </c>
      <c r="J67">
        <v>1359</v>
      </c>
    </row>
    <row r="68" spans="1:10" x14ac:dyDescent="0.25">
      <c r="A68">
        <v>17808</v>
      </c>
      <c r="B68" t="str">
        <v>Adani Power</v>
      </c>
      <c r="C68">
        <v>41.457309000000002</v>
      </c>
      <c r="D68">
        <v>284.3009033203125</v>
      </c>
      <c r="E68">
        <v>217.98577880859375</v>
      </c>
      <c r="F68">
        <v>0.766743004322052</v>
      </c>
      <c r="G68">
        <v>544.01251220703125</v>
      </c>
      <c r="H68">
        <v>0.81000000238418579</v>
      </c>
      <c r="I68">
        <v>206847.640625</v>
      </c>
      <c r="J68">
        <v>1359</v>
      </c>
    </row>
    <row r="69" spans="1:10" x14ac:dyDescent="0.25">
      <c r="A69">
        <v>39108</v>
      </c>
      <c r="B69" t="str">
        <v>Adani Total Gas</v>
      </c>
      <c r="C69">
        <v>24.901864</v>
      </c>
      <c r="D69">
        <v>1137.5614013671875</v>
      </c>
      <c r="E69">
        <v>963.6326904296875</v>
      </c>
      <c r="F69">
        <v>0.84710401296615601</v>
      </c>
      <c r="G69">
        <v>638.36248779296875</v>
      </c>
      <c r="H69">
        <v>0.43999999761581421</v>
      </c>
      <c r="I69">
        <v>68468.6796875</v>
      </c>
      <c r="J69">
        <v>1359</v>
      </c>
    </row>
    <row r="70" spans="1:10" x14ac:dyDescent="0.25">
      <c r="A70">
        <v>996</v>
      </c>
      <c r="B70" t="str">
        <v>Addi Industries</v>
      </c>
      <c r="C70">
        <v>50.351213000000001</v>
      </c>
      <c r="D70">
        <v>36.056098937988281</v>
      </c>
      <c r="E70">
        <v>18.037429809570313</v>
      </c>
      <c r="F70">
        <v>0.50025999546051025</v>
      </c>
      <c r="G70">
        <v>105.90000152587891</v>
      </c>
      <c r="H70">
        <v>0</v>
      </c>
      <c r="I70">
        <v>114.33999633789063</v>
      </c>
      <c r="J70">
        <v>1107</v>
      </c>
    </row>
    <row r="71" spans="1:10" x14ac:dyDescent="0.25">
      <c r="A71">
        <v>6860</v>
      </c>
      <c r="B71" t="str">
        <v>Adinath Exim Res</v>
      </c>
      <c r="C71">
        <v>34.795371000000003</v>
      </c>
      <c r="D71">
        <v>22.220781326293945</v>
      </c>
      <c r="E71">
        <v>13.82387638092041</v>
      </c>
      <c r="F71">
        <v>0.62211501598358154</v>
      </c>
      <c r="G71">
        <v>58.845001220703125</v>
      </c>
      <c r="H71">
        <v>0</v>
      </c>
      <c r="I71">
        <v>28.489999771118164</v>
      </c>
      <c r="J71">
        <v>1224</v>
      </c>
    </row>
    <row r="72" spans="1:10" x14ac:dyDescent="0.25">
      <c r="A72">
        <v>1154</v>
      </c>
      <c r="B72" t="str">
        <v>Adinath Textiles</v>
      </c>
      <c r="C72">
        <v>51.125169999999997</v>
      </c>
      <c r="D72">
        <v>27.852930068969727</v>
      </c>
      <c r="E72">
        <v>16.975744247436523</v>
      </c>
      <c r="F72">
        <v>0.60947799682617188</v>
      </c>
      <c r="G72">
        <v>25.170000076293945</v>
      </c>
      <c r="H72">
        <v>0</v>
      </c>
      <c r="I72">
        <v>16.770000457763672</v>
      </c>
      <c r="J72">
        <v>1199</v>
      </c>
    </row>
    <row r="73" spans="1:10" x14ac:dyDescent="0.25">
      <c r="A73">
        <v>40903</v>
      </c>
      <c r="B73" t="str">
        <v>Aditya Birla Cap</v>
      </c>
      <c r="C73">
        <v>17.071294000000002</v>
      </c>
      <c r="D73">
        <v>138.80540466308594</v>
      </c>
      <c r="E73">
        <v>51.729480743408203</v>
      </c>
      <c r="F73">
        <v>0.37267601490020752</v>
      </c>
      <c r="G73">
        <v>255.51249694824219</v>
      </c>
      <c r="H73">
        <v>0</v>
      </c>
      <c r="I73">
        <v>66685.5234375</v>
      </c>
      <c r="J73">
        <v>1359</v>
      </c>
    </row>
    <row r="74" spans="1:10" x14ac:dyDescent="0.25">
      <c r="A74">
        <v>3629</v>
      </c>
      <c r="B74" t="str">
        <v>Aditya Spinners</v>
      </c>
      <c r="C74">
        <v>35.135126999999997</v>
      </c>
      <c r="D74">
        <v>17.302585601806641</v>
      </c>
      <c r="E74">
        <v>7.8840241432189941</v>
      </c>
      <c r="F74">
        <v>0.45565599203109741</v>
      </c>
      <c r="G74">
        <v>21.127500534057617</v>
      </c>
      <c r="H74">
        <v>0.37999999523162842</v>
      </c>
      <c r="I74">
        <v>35.569999694824219</v>
      </c>
      <c r="J74">
        <v>1328</v>
      </c>
    </row>
    <row r="75" spans="1:10" x14ac:dyDescent="0.25">
      <c r="A75">
        <v>1390</v>
      </c>
      <c r="B75" t="str">
        <v>Ador Multi Prod.</v>
      </c>
      <c r="C75">
        <v>14.327286000000001</v>
      </c>
      <c r="D75">
        <v>59.990650177001953</v>
      </c>
      <c r="E75">
        <v>26.128095626831055</v>
      </c>
      <c r="F75">
        <v>0.43553599715232849</v>
      </c>
      <c r="G75">
        <v>98.209999084472656</v>
      </c>
      <c r="H75">
        <v>0.12999999523162842</v>
      </c>
      <c r="I75">
        <v>45.900001525878906</v>
      </c>
      <c r="J75">
        <v>1256</v>
      </c>
    </row>
    <row r="76" spans="1:10" x14ac:dyDescent="0.25">
      <c r="A76">
        <v>799</v>
      </c>
      <c r="B76" t="str">
        <v>Ador Welding</v>
      </c>
      <c r="C76">
        <v>22.898548999999999</v>
      </c>
      <c r="D76">
        <v>821.25921630859375</v>
      </c>
      <c r="E76">
        <v>404.9234619140625</v>
      </c>
      <c r="F76">
        <v>0.49305200576782227</v>
      </c>
      <c r="G76">
        <v>1001.3125</v>
      </c>
      <c r="H76">
        <v>9.0000003576278687E-2</v>
      </c>
      <c r="I76">
        <v>1710.0899658203125</v>
      </c>
      <c r="J76">
        <v>1357</v>
      </c>
    </row>
    <row r="77" spans="1:10" x14ac:dyDescent="0.25">
      <c r="A77">
        <v>5571</v>
      </c>
      <c r="B77" t="str">
        <v>Adroit Info.</v>
      </c>
      <c r="C77">
        <v>11.789996</v>
      </c>
      <c r="D77">
        <v>12.164116859436035</v>
      </c>
      <c r="E77">
        <v>5.3655858039855957</v>
      </c>
      <c r="F77">
        <v>0.44110000133514404</v>
      </c>
      <c r="G77">
        <v>10.914999961853027</v>
      </c>
      <c r="H77">
        <v>7.0000000298023224E-2</v>
      </c>
      <c r="I77">
        <v>58.569999694824219</v>
      </c>
      <c r="J77">
        <v>1245</v>
      </c>
    </row>
    <row r="78" spans="1:10" x14ac:dyDescent="0.25">
      <c r="A78">
        <v>42260</v>
      </c>
      <c r="B78" t="str">
        <v>Advance Meter.</v>
      </c>
      <c r="C78">
        <v>12.706283000000001</v>
      </c>
      <c r="D78">
        <v>22.840375900268555</v>
      </c>
      <c r="E78">
        <v>12.592367172241211</v>
      </c>
      <c r="F78">
        <v>0.55132001638412476</v>
      </c>
      <c r="G78">
        <v>26.962499618530273</v>
      </c>
      <c r="H78">
        <v>0.10000000149011612</v>
      </c>
      <c r="I78">
        <v>43.060001373291016</v>
      </c>
      <c r="J78">
        <v>1351</v>
      </c>
    </row>
    <row r="79" spans="1:10" x14ac:dyDescent="0.25">
      <c r="A79">
        <v>19816</v>
      </c>
      <c r="B79" t="str">
        <v>Advanced Enzyme</v>
      </c>
      <c r="C79">
        <v>12.992575</v>
      </c>
      <c r="D79">
        <v>316.22994995117188</v>
      </c>
      <c r="E79">
        <v>79.942733764648438</v>
      </c>
      <c r="F79">
        <v>0.25279900431632996</v>
      </c>
      <c r="G79">
        <v>332.77499389648438</v>
      </c>
      <c r="H79">
        <v>0</v>
      </c>
      <c r="I79">
        <v>3688.159912109375</v>
      </c>
      <c r="J79">
        <v>1359</v>
      </c>
    </row>
    <row r="80" spans="1:10" x14ac:dyDescent="0.25">
      <c r="A80">
        <v>1467</v>
      </c>
      <c r="B80" t="str">
        <v>Advani Hotels.</v>
      </c>
      <c r="C80">
        <v>15.554065</v>
      </c>
      <c r="D80">
        <v>44.572303771972656</v>
      </c>
      <c r="E80">
        <v>17.844934463500977</v>
      </c>
      <c r="F80">
        <v>0.40035900473594666</v>
      </c>
      <c r="G80">
        <v>61.375</v>
      </c>
      <c r="H80">
        <v>2.9999999329447746E-2</v>
      </c>
      <c r="I80">
        <v>556.94000244140625</v>
      </c>
      <c r="J80">
        <v>1347</v>
      </c>
    </row>
    <row r="81" spans="1:10" x14ac:dyDescent="0.25">
      <c r="A81">
        <v>67920</v>
      </c>
      <c r="B81" t="str">
        <v>Advik Capital</v>
      </c>
      <c r="C81">
        <v>4.3383909999999997</v>
      </c>
      <c r="D81">
        <v>2.3241500854492188</v>
      </c>
      <c r="E81">
        <v>0.96346199512481689</v>
      </c>
      <c r="F81">
        <v>0.41454398632049561</v>
      </c>
      <c r="G81">
        <v>1.6449999809265137</v>
      </c>
      <c r="H81">
        <v>0.88999998569488525</v>
      </c>
      <c r="I81">
        <v>99.800003051757813</v>
      </c>
      <c r="J81">
        <v>1206</v>
      </c>
    </row>
    <row r="82" spans="1:10" x14ac:dyDescent="0.25">
      <c r="A82">
        <v>9</v>
      </c>
      <c r="B82" t="str">
        <v>Aegis Logistics</v>
      </c>
      <c r="C82">
        <v>26.372796000000001</v>
      </c>
      <c r="D82">
        <v>386.92007446289063</v>
      </c>
      <c r="E82">
        <v>216.12678527832031</v>
      </c>
      <c r="F82">
        <v>0.55858200788497925</v>
      </c>
      <c r="G82">
        <v>790.6875</v>
      </c>
      <c r="H82">
        <v>7.0000000298023224E-2</v>
      </c>
      <c r="I82">
        <v>28111.58984375</v>
      </c>
      <c r="J82">
        <v>1359</v>
      </c>
    </row>
    <row r="83" spans="1:10" x14ac:dyDescent="0.25">
      <c r="A83">
        <v>3937</v>
      </c>
      <c r="B83" t="str">
        <v>Aeonx Digital</v>
      </c>
      <c r="C83">
        <v>38.128373000000003</v>
      </c>
      <c r="D83">
        <v>98.128814697265625</v>
      </c>
      <c r="E83">
        <v>48.6669921875</v>
      </c>
      <c r="F83">
        <v>0.49595001339912415</v>
      </c>
      <c r="G83">
        <v>183.72500610351563</v>
      </c>
      <c r="H83">
        <v>0</v>
      </c>
      <c r="I83">
        <v>83.800003051757813</v>
      </c>
      <c r="J83">
        <v>1359</v>
      </c>
    </row>
    <row r="84" spans="1:10" x14ac:dyDescent="0.25">
      <c r="A84">
        <v>73060</v>
      </c>
      <c r="B84" t="str">
        <v>Affle 3i</v>
      </c>
      <c r="C84">
        <v>33.921678</v>
      </c>
      <c r="D84">
        <v>1054.4283447265625</v>
      </c>
      <c r="E84">
        <v>379.20071411132813</v>
      </c>
      <c r="F84">
        <v>0.35962700843811035</v>
      </c>
      <c r="G84">
        <v>1901.0125732421875</v>
      </c>
      <c r="H84">
        <v>0</v>
      </c>
      <c r="I84">
        <v>26678.5390625</v>
      </c>
      <c r="J84">
        <v>1359</v>
      </c>
    </row>
    <row r="85" spans="1:10" x14ac:dyDescent="0.25">
      <c r="A85">
        <v>72538</v>
      </c>
      <c r="B85" t="str">
        <v>Affordable Robo.</v>
      </c>
      <c r="C85">
        <v>35.092213000000001</v>
      </c>
      <c r="D85">
        <v>296.00091552734375</v>
      </c>
      <c r="E85">
        <v>223.27056884765625</v>
      </c>
      <c r="F85">
        <v>0.75428998470306396</v>
      </c>
      <c r="G85">
        <v>445.78750610351563</v>
      </c>
      <c r="H85">
        <v>0.54000002145767212</v>
      </c>
      <c r="I85">
        <v>499.3900146484375</v>
      </c>
      <c r="J85">
        <v>1298</v>
      </c>
    </row>
    <row r="86" spans="1:10" x14ac:dyDescent="0.25">
      <c r="A86">
        <v>5115</v>
      </c>
      <c r="B86" t="str">
        <v>Agarwal Fortune</v>
      </c>
      <c r="C86">
        <v>55.504406000000003</v>
      </c>
      <c r="D86">
        <v>17.871664047241211</v>
      </c>
      <c r="E86">
        <v>8.9984397888183594</v>
      </c>
      <c r="F86">
        <v>0.50350302457809448</v>
      </c>
      <c r="G86">
        <v>20.899999618530273</v>
      </c>
      <c r="H86">
        <v>0.28999999165534973</v>
      </c>
      <c r="I86">
        <v>7.3400001525878906</v>
      </c>
      <c r="J86">
        <v>640</v>
      </c>
    </row>
    <row r="87" spans="1:10" x14ac:dyDescent="0.25">
      <c r="A87">
        <v>7400</v>
      </c>
      <c r="B87" t="str">
        <v>Agarwal Indl.</v>
      </c>
      <c r="C87">
        <v>46.791781</v>
      </c>
      <c r="D87">
        <v>591.21026611328125</v>
      </c>
      <c r="E87">
        <v>376.95968627929688</v>
      </c>
      <c r="F87">
        <v>0.63760697841644287</v>
      </c>
      <c r="G87">
        <v>962.8499755859375</v>
      </c>
      <c r="H87">
        <v>0.36000001430511475</v>
      </c>
      <c r="I87">
        <v>1433.1099853515625</v>
      </c>
      <c r="J87">
        <v>1356</v>
      </c>
    </row>
    <row r="88" spans="1:10" x14ac:dyDescent="0.25">
      <c r="A88">
        <v>1818</v>
      </c>
      <c r="B88" t="str">
        <v>Agio Paper</v>
      </c>
      <c r="C88">
        <v>22.056151</v>
      </c>
      <c r="D88">
        <v>3.920461893081665</v>
      </c>
      <c r="E88">
        <v>1.590459942817688</v>
      </c>
      <c r="F88">
        <v>0.40568199753761292</v>
      </c>
      <c r="G88">
        <v>7.9650001525878906</v>
      </c>
      <c r="H88">
        <v>0.28999999165534973</v>
      </c>
      <c r="I88">
        <v>12.789999961853027</v>
      </c>
      <c r="J88">
        <v>899</v>
      </c>
    </row>
    <row r="89" spans="1:10" x14ac:dyDescent="0.25">
      <c r="A89">
        <v>44042</v>
      </c>
      <c r="B89" t="str">
        <v>Agri-Tech India</v>
      </c>
      <c r="C89">
        <v>23.534665</v>
      </c>
      <c r="D89">
        <v>108.91991424560547</v>
      </c>
      <c r="E89">
        <v>66.489402770996094</v>
      </c>
      <c r="F89">
        <v>0.61044299602508545</v>
      </c>
      <c r="G89">
        <v>153.80000305175781</v>
      </c>
      <c r="H89">
        <v>3.9999999105930328E-2</v>
      </c>
      <c r="I89">
        <v>89.129997253417969</v>
      </c>
      <c r="J89">
        <v>1345</v>
      </c>
    </row>
    <row r="90" spans="1:10" x14ac:dyDescent="0.25">
      <c r="A90">
        <v>26060</v>
      </c>
      <c r="B90" t="str">
        <v>Agribio Spirits</v>
      </c>
      <c r="C90">
        <v>60.886726000000003</v>
      </c>
      <c r="D90">
        <v>51.037757873535156</v>
      </c>
      <c r="E90">
        <v>46.029373168945313</v>
      </c>
      <c r="F90">
        <v>0.90186899900436401</v>
      </c>
      <c r="G90">
        <v>198.64999389648438</v>
      </c>
      <c r="H90">
        <v>5.000000074505806E-2</v>
      </c>
      <c r="I90">
        <v>215.72999572753906</v>
      </c>
      <c r="J90">
        <v>1139</v>
      </c>
    </row>
    <row r="91" spans="1:10" x14ac:dyDescent="0.25">
      <c r="A91">
        <v>7310</v>
      </c>
      <c r="B91" t="str">
        <v>Ahluwalia Contr.</v>
      </c>
      <c r="C91">
        <v>21.470331000000002</v>
      </c>
      <c r="D91">
        <v>581.289794921875</v>
      </c>
      <c r="E91">
        <v>324.31597900390625</v>
      </c>
      <c r="F91">
        <v>0.55792498588562012</v>
      </c>
      <c r="G91">
        <v>914.54998779296875</v>
      </c>
      <c r="H91">
        <v>5.9999998658895493E-2</v>
      </c>
      <c r="I91">
        <v>5990.02978515625</v>
      </c>
      <c r="J91">
        <v>1348</v>
      </c>
    </row>
    <row r="92" spans="1:10" x14ac:dyDescent="0.25">
      <c r="A92">
        <v>4382</v>
      </c>
      <c r="B92" t="str">
        <v>Ahm. Steelcraft</v>
      </c>
      <c r="C92">
        <v>62.590384</v>
      </c>
      <c r="D92">
        <v>73.62567138671875</v>
      </c>
      <c r="E92">
        <v>100.75312805175781</v>
      </c>
      <c r="F92">
        <v>1.3684509992599487</v>
      </c>
      <c r="G92">
        <v>248.10000610351563</v>
      </c>
      <c r="H92">
        <v>0</v>
      </c>
      <c r="I92">
        <v>375.79000854492188</v>
      </c>
      <c r="J92">
        <v>1088</v>
      </c>
    </row>
    <row r="93" spans="1:10" x14ac:dyDescent="0.25">
      <c r="A93">
        <v>2764</v>
      </c>
      <c r="B93" t="str">
        <v>Aimco Pesticides</v>
      </c>
      <c r="C93">
        <v>-3.3349920000000002</v>
      </c>
      <c r="D93">
        <v>113.81769561767578</v>
      </c>
      <c r="E93">
        <v>31.949033737182617</v>
      </c>
      <c r="F93">
        <v>0.28070399165153503</v>
      </c>
      <c r="G93">
        <v>84.339996337890625</v>
      </c>
      <c r="H93">
        <v>0.40999999642372131</v>
      </c>
      <c r="I93">
        <v>81.75</v>
      </c>
      <c r="J93">
        <v>1359</v>
      </c>
    </row>
    <row r="94" spans="1:10" x14ac:dyDescent="0.25">
      <c r="A94">
        <v>13673</v>
      </c>
      <c r="B94" t="str">
        <v>Aion-Tech Soluti</v>
      </c>
      <c r="C94">
        <v>39.260463999999999</v>
      </c>
      <c r="D94">
        <v>60.211376190185547</v>
      </c>
      <c r="E94">
        <v>43.094013214111328</v>
      </c>
      <c r="F94">
        <v>0.71571201086044312</v>
      </c>
      <c r="G94">
        <v>64.87750244140625</v>
      </c>
      <c r="H94">
        <v>0.11999999731779099</v>
      </c>
      <c r="I94">
        <v>219.25</v>
      </c>
      <c r="J94">
        <v>1339</v>
      </c>
    </row>
    <row r="95" spans="1:10" x14ac:dyDescent="0.25">
      <c r="A95">
        <v>13504</v>
      </c>
      <c r="B95" t="str">
        <v>Ajanta Pharma</v>
      </c>
      <c r="C95">
        <v>25.820373</v>
      </c>
      <c r="D95">
        <v>1629.1622314453125</v>
      </c>
      <c r="E95">
        <v>661.0137939453125</v>
      </c>
      <c r="F95">
        <v>0.40573799610137939</v>
      </c>
      <c r="G95">
        <v>2561.0625</v>
      </c>
      <c r="H95">
        <v>9.9999997764825821E-3</v>
      </c>
      <c r="I95">
        <v>31779.509765625</v>
      </c>
      <c r="J95">
        <v>1359</v>
      </c>
    </row>
    <row r="96" spans="1:10" x14ac:dyDescent="0.25">
      <c r="A96">
        <v>3123</v>
      </c>
      <c r="B96" t="str">
        <v>Ajanta Soya</v>
      </c>
      <c r="C96">
        <v>32.366715999999997</v>
      </c>
      <c r="D96">
        <v>30.062700271606445</v>
      </c>
      <c r="E96">
        <v>14.624424934387207</v>
      </c>
      <c r="F96">
        <v>0.4864639937877655</v>
      </c>
      <c r="G96">
        <v>40.279998779296875</v>
      </c>
      <c r="H96">
        <v>9.9999997764825821E-3</v>
      </c>
      <c r="I96">
        <v>321.1300048828125</v>
      </c>
      <c r="J96">
        <v>1359</v>
      </c>
    </row>
    <row r="97" spans="1:10" x14ac:dyDescent="0.25">
      <c r="A97">
        <v>4589</v>
      </c>
      <c r="B97" t="str">
        <v>Ajcon Global</v>
      </c>
      <c r="C97">
        <v>30.318712999999999</v>
      </c>
      <c r="D97">
        <v>39.539279937744141</v>
      </c>
      <c r="E97">
        <v>15.922494888305664</v>
      </c>
      <c r="F97">
        <v>0.4027009904384613</v>
      </c>
      <c r="G97">
        <v>123.29000091552734</v>
      </c>
      <c r="H97">
        <v>0.15000000596046448</v>
      </c>
      <c r="I97">
        <v>74.959999084472656</v>
      </c>
      <c r="J97">
        <v>1070</v>
      </c>
    </row>
    <row r="98" spans="1:10" x14ac:dyDescent="0.25">
      <c r="A98">
        <v>5113</v>
      </c>
      <c r="B98" t="str">
        <v>Ajel</v>
      </c>
      <c r="C98">
        <v>5.0680490000000002</v>
      </c>
      <c r="D98">
        <v>9.8445701599121094</v>
      </c>
      <c r="E98">
        <v>5.3300080299377441</v>
      </c>
      <c r="F98">
        <v>0.5414159893989563</v>
      </c>
      <c r="G98">
        <v>6.3249998092651367</v>
      </c>
      <c r="H98">
        <v>0.40000000596046448</v>
      </c>
      <c r="I98">
        <v>7.4099998474121094</v>
      </c>
      <c r="J98">
        <v>1107</v>
      </c>
    </row>
    <row r="99" spans="1:10" x14ac:dyDescent="0.25">
      <c r="A99">
        <v>2404</v>
      </c>
      <c r="B99" t="str">
        <v>Ajmera Realty</v>
      </c>
      <c r="C99">
        <v>39.788792999999998</v>
      </c>
      <c r="D99">
        <v>393.28726196289063</v>
      </c>
      <c r="E99">
        <v>275.63067626953125</v>
      </c>
      <c r="F99">
        <v>0.70083802938461304</v>
      </c>
      <c r="G99">
        <v>960.1624755859375</v>
      </c>
      <c r="H99">
        <v>0.95999997854232788</v>
      </c>
      <c r="I99">
        <v>3736.360107421875</v>
      </c>
      <c r="J99">
        <v>1359</v>
      </c>
    </row>
    <row r="100" spans="1:10" x14ac:dyDescent="0.25">
      <c r="A100">
        <v>15046</v>
      </c>
      <c r="B100" t="str">
        <v>Aksh Optifibre</v>
      </c>
      <c r="C100">
        <v>5.1328440000000004</v>
      </c>
      <c r="D100">
        <v>9.0954780578613281</v>
      </c>
      <c r="E100">
        <v>2.2436420917510986</v>
      </c>
      <c r="F100">
        <v>0.24667699635028839</v>
      </c>
      <c r="G100">
        <v>8.932499885559082</v>
      </c>
      <c r="H100">
        <v>0.37999999523162842</v>
      </c>
      <c r="I100">
        <v>145.44999694824219</v>
      </c>
      <c r="J100">
        <v>1359</v>
      </c>
    </row>
    <row r="101" spans="1:10" x14ac:dyDescent="0.25">
      <c r="A101">
        <v>72537</v>
      </c>
      <c r="B101" t="str">
        <v>Akshar Spintex</v>
      </c>
      <c r="C101">
        <v>0.64221499999999998</v>
      </c>
      <c r="D101">
        <v>2.2203869819641113</v>
      </c>
      <c r="E101">
        <v>1.5509040355682373</v>
      </c>
      <c r="F101">
        <v>0.69848299026489258</v>
      </c>
      <c r="G101">
        <v>0.57999998331069946</v>
      </c>
      <c r="H101">
        <v>0.43000000715255737</v>
      </c>
      <c r="I101">
        <v>44.889999389648438</v>
      </c>
      <c r="J101">
        <v>1169</v>
      </c>
    </row>
    <row r="102" spans="1:10" x14ac:dyDescent="0.25">
      <c r="A102">
        <v>3971</v>
      </c>
      <c r="B102" t="str">
        <v>AksharChem (I)</v>
      </c>
      <c r="C102">
        <v>3.0099000000000001E-2</v>
      </c>
      <c r="D102">
        <v>290.40655517578125</v>
      </c>
      <c r="E102">
        <v>73.78277587890625</v>
      </c>
      <c r="F102">
        <v>0.25406700372695923</v>
      </c>
      <c r="G102">
        <v>243.10000610351563</v>
      </c>
      <c r="H102">
        <v>0.14000000059604645</v>
      </c>
      <c r="I102">
        <v>191.55000305175781</v>
      </c>
      <c r="J102">
        <v>1353</v>
      </c>
    </row>
    <row r="103" spans="1:10" x14ac:dyDescent="0.25">
      <c r="A103">
        <v>266</v>
      </c>
      <c r="B103" t="str">
        <v>Akzo Nobel</v>
      </c>
      <c r="C103">
        <v>8.7074090000000002</v>
      </c>
      <c r="D103">
        <v>2452.795166015625</v>
      </c>
      <c r="E103">
        <v>560.7469482421875</v>
      </c>
      <c r="F103">
        <v>0.22861500084400177</v>
      </c>
      <c r="G103">
        <v>3205.324951171875</v>
      </c>
      <c r="H103">
        <v>5.000000074505806E-2</v>
      </c>
      <c r="I103">
        <v>14505.9599609375</v>
      </c>
      <c r="J103">
        <v>1359</v>
      </c>
    </row>
    <row r="104" spans="1:10" x14ac:dyDescent="0.25">
      <c r="A104">
        <v>38490</v>
      </c>
      <c r="B104" t="str">
        <v>Alacrity Sec.</v>
      </c>
      <c r="C104">
        <v>46.166542</v>
      </c>
      <c r="D104">
        <v>71.802436828613281</v>
      </c>
      <c r="E104">
        <v>55.604728698730469</v>
      </c>
      <c r="F104">
        <v>0.77441298961639404</v>
      </c>
      <c r="G104">
        <v>66.705001831054688</v>
      </c>
      <c r="H104">
        <v>0.14000000059604645</v>
      </c>
      <c r="I104">
        <v>304.07998657226563</v>
      </c>
      <c r="J104">
        <v>540</v>
      </c>
    </row>
    <row r="105" spans="1:10" x14ac:dyDescent="0.25">
      <c r="A105">
        <v>4167</v>
      </c>
      <c r="B105" t="str">
        <v>Alan Scott Inds.</v>
      </c>
      <c r="C105">
        <v>45.321859000000003</v>
      </c>
      <c r="D105">
        <v>68.729080200195313</v>
      </c>
      <c r="E105">
        <v>38.450920104980469</v>
      </c>
      <c r="F105">
        <v>0.5594559907913208</v>
      </c>
      <c r="G105">
        <v>99.62249755859375</v>
      </c>
      <c r="H105">
        <v>0.23999999463558197</v>
      </c>
      <c r="I105">
        <v>52.610000610351563</v>
      </c>
      <c r="J105">
        <v>931</v>
      </c>
    </row>
    <row r="106" spans="1:10" x14ac:dyDescent="0.25">
      <c r="A106">
        <v>5553</v>
      </c>
      <c r="B106" t="str">
        <v>Alankit</v>
      </c>
      <c r="C106">
        <v>2.795353</v>
      </c>
      <c r="D106">
        <v>15.772123336791992</v>
      </c>
      <c r="E106">
        <v>4.3251352310180664</v>
      </c>
      <c r="F106">
        <v>0.27422699332237244</v>
      </c>
      <c r="G106">
        <v>14.649999618530273</v>
      </c>
      <c r="H106">
        <v>7.9999998211860657E-2</v>
      </c>
      <c r="I106">
        <v>393.989990234375</v>
      </c>
      <c r="J106">
        <v>1358</v>
      </c>
    </row>
    <row r="107" spans="1:10" x14ac:dyDescent="0.25">
      <c r="A107">
        <v>1254</v>
      </c>
      <c r="B107" t="str">
        <v>Albert David</v>
      </c>
      <c r="C107">
        <v>13.041</v>
      </c>
      <c r="D107">
        <v>724.77099609375</v>
      </c>
      <c r="E107">
        <v>322.74734497070313</v>
      </c>
      <c r="F107">
        <v>0.44530901312828064</v>
      </c>
      <c r="G107">
        <v>842.4749755859375</v>
      </c>
      <c r="H107">
        <v>9.9999997764825821E-3</v>
      </c>
      <c r="I107">
        <v>478.70001220703125</v>
      </c>
      <c r="J107">
        <v>1359</v>
      </c>
    </row>
    <row r="108" spans="1:10" x14ac:dyDescent="0.25">
      <c r="A108">
        <v>4502</v>
      </c>
      <c r="B108" t="str">
        <v>Alchemist</v>
      </c>
      <c r="C108">
        <v>87.822316999999998</v>
      </c>
      <c r="D108">
        <v>4.0965499877929688</v>
      </c>
      <c r="E108">
        <v>2.12860107421875</v>
      </c>
      <c r="F108">
        <v>0.5196080207824707</v>
      </c>
      <c r="G108">
        <v>3.005000114440918</v>
      </c>
      <c r="H108">
        <v>0</v>
      </c>
      <c r="I108">
        <v>4.0799999237060547</v>
      </c>
      <c r="J108">
        <v>284</v>
      </c>
    </row>
    <row r="109" spans="1:10" x14ac:dyDescent="0.25">
      <c r="A109">
        <v>6610</v>
      </c>
      <c r="B109" t="str">
        <v>Alchemist Corp.</v>
      </c>
      <c r="C109">
        <v>9.844792</v>
      </c>
      <c r="D109">
        <v>12.562158584594727</v>
      </c>
      <c r="E109">
        <v>4.1293439865112305</v>
      </c>
      <c r="F109">
        <v>0.32871299982070923</v>
      </c>
      <c r="G109">
        <v>21.649999618530273</v>
      </c>
      <c r="H109">
        <v>0.5899999737739563</v>
      </c>
      <c r="I109">
        <v>10.630000114440918</v>
      </c>
      <c r="J109">
        <v>821</v>
      </c>
    </row>
    <row r="110" spans="1:10" x14ac:dyDescent="0.25">
      <c r="A110">
        <v>632</v>
      </c>
      <c r="B110" t="str">
        <v>Alembic</v>
      </c>
      <c r="C110">
        <v>11.285308000000001</v>
      </c>
      <c r="D110">
        <v>92.691177368164063</v>
      </c>
      <c r="E110">
        <v>25.665483474731445</v>
      </c>
      <c r="F110">
        <v>0.27689200639724731</v>
      </c>
      <c r="G110">
        <v>112.625</v>
      </c>
      <c r="H110">
        <v>9.9999997764825821E-3</v>
      </c>
      <c r="I110">
        <v>2837.43994140625</v>
      </c>
      <c r="J110">
        <v>1359</v>
      </c>
    </row>
    <row r="111" spans="1:10" x14ac:dyDescent="0.25">
      <c r="A111">
        <v>40294</v>
      </c>
      <c r="B111" t="str">
        <v>Alembic Pharma</v>
      </c>
      <c r="C111">
        <v>9.8270769999999992</v>
      </c>
      <c r="D111">
        <v>828.28936767578125</v>
      </c>
      <c r="E111">
        <v>177.55364990234375</v>
      </c>
      <c r="F111">
        <v>0.21436199545860291</v>
      </c>
      <c r="G111">
        <v>952.42498779296875</v>
      </c>
      <c r="H111">
        <v>0.17000000178813934</v>
      </c>
      <c r="I111">
        <v>18315.75</v>
      </c>
      <c r="J111">
        <v>1359</v>
      </c>
    </row>
    <row r="112" spans="1:10" x14ac:dyDescent="0.25">
      <c r="A112">
        <v>3702</v>
      </c>
      <c r="B112" t="str">
        <v>Alexander Stamps</v>
      </c>
      <c r="C112">
        <v>-2.3778890000000001</v>
      </c>
      <c r="D112">
        <v>16.866064071655273</v>
      </c>
      <c r="E112">
        <v>3.9208440780639648</v>
      </c>
      <c r="F112">
        <v>0.23246900737285614</v>
      </c>
      <c r="G112">
        <v>12.752499580383301</v>
      </c>
      <c r="H112">
        <v>0</v>
      </c>
      <c r="I112">
        <v>11.869999885559082</v>
      </c>
      <c r="J112">
        <v>1359</v>
      </c>
    </row>
    <row r="113" spans="1:10" x14ac:dyDescent="0.25">
      <c r="A113">
        <v>5730</v>
      </c>
      <c r="B113" t="str">
        <v>Alfa Ica (I)</v>
      </c>
      <c r="C113">
        <v>22.592199999999998</v>
      </c>
      <c r="D113">
        <v>51.185981750488281</v>
      </c>
      <c r="E113">
        <v>21.58494758605957</v>
      </c>
      <c r="F113">
        <v>0.4216960072517395</v>
      </c>
      <c r="G113">
        <v>90.75</v>
      </c>
      <c r="H113">
        <v>0.68999999761581421</v>
      </c>
      <c r="I113">
        <v>36.560001373291016</v>
      </c>
      <c r="J113">
        <v>1159</v>
      </c>
    </row>
    <row r="114" spans="1:10" x14ac:dyDescent="0.25">
      <c r="A114">
        <v>11</v>
      </c>
      <c r="B114" t="str">
        <v>Alfred Herbert</v>
      </c>
      <c r="C114">
        <v>31.869332</v>
      </c>
      <c r="D114">
        <v>995.3526611328125</v>
      </c>
      <c r="E114">
        <v>561.0902099609375</v>
      </c>
      <c r="F114">
        <v>0.56370997428894043</v>
      </c>
      <c r="G114">
        <v>3040.800048828125</v>
      </c>
      <c r="H114">
        <v>0</v>
      </c>
      <c r="I114">
        <v>230.30999755859375</v>
      </c>
      <c r="J114">
        <v>1241</v>
      </c>
    </row>
    <row r="115" spans="1:10" x14ac:dyDescent="0.25">
      <c r="A115">
        <v>906</v>
      </c>
      <c r="B115" t="str">
        <v>Algoquant Fin</v>
      </c>
      <c r="C115">
        <v>112.76906</v>
      </c>
      <c r="D115">
        <v>399.544677734375</v>
      </c>
      <c r="E115">
        <v>337.59786987304688</v>
      </c>
      <c r="F115">
        <v>0.84495598077774048</v>
      </c>
      <c r="G115">
        <v>1004.2249755859375</v>
      </c>
      <c r="H115">
        <v>0.68999999761581421</v>
      </c>
      <c r="I115">
        <v>1569.449951171875</v>
      </c>
      <c r="J115">
        <v>1287</v>
      </c>
    </row>
    <row r="116" spans="1:10" x14ac:dyDescent="0.25">
      <c r="A116">
        <v>5951</v>
      </c>
      <c r="B116" t="str">
        <v>Alicon Cast.</v>
      </c>
      <c r="C116">
        <v>14.914974000000001</v>
      </c>
      <c r="D116">
        <v>743.91058349609375</v>
      </c>
      <c r="E116">
        <v>289.29391479492188</v>
      </c>
      <c r="F116">
        <v>0.38888299465179443</v>
      </c>
      <c r="G116">
        <v>873.5875244140625</v>
      </c>
      <c r="H116">
        <v>0.57999998331069946</v>
      </c>
      <c r="I116">
        <v>1399.989990234375</v>
      </c>
      <c r="J116">
        <v>1353</v>
      </c>
    </row>
    <row r="117" spans="1:10" x14ac:dyDescent="0.25">
      <c r="A117">
        <v>5279</v>
      </c>
      <c r="B117" t="str">
        <v>Alka India</v>
      </c>
      <c r="C117">
        <v>132.21598399999999</v>
      </c>
      <c r="D117">
        <v>0.86374300718307495</v>
      </c>
      <c r="E117">
        <v>1.0907269716262817</v>
      </c>
      <c r="F117">
        <v>1.2627910375595093</v>
      </c>
      <c r="G117">
        <v>2.7000000476837158</v>
      </c>
      <c r="H117">
        <v>0</v>
      </c>
      <c r="I117">
        <v>135</v>
      </c>
      <c r="J117">
        <v>533</v>
      </c>
    </row>
    <row r="118" spans="1:10" x14ac:dyDescent="0.25">
      <c r="A118">
        <v>25502</v>
      </c>
      <c r="B118" t="str">
        <v>Alkali Metals</v>
      </c>
      <c r="C118">
        <v>16.039515999999999</v>
      </c>
      <c r="D118">
        <v>91.1126708984375</v>
      </c>
      <c r="E118">
        <v>31.360673904418945</v>
      </c>
      <c r="F118">
        <v>0.34419700503349304</v>
      </c>
      <c r="G118">
        <v>98.112503051757813</v>
      </c>
      <c r="H118">
        <v>0.46000000834465027</v>
      </c>
      <c r="I118">
        <v>99.080001831054688</v>
      </c>
      <c r="J118">
        <v>1357</v>
      </c>
    </row>
    <row r="119" spans="1:10" x14ac:dyDescent="0.25">
      <c r="A119">
        <v>19299</v>
      </c>
      <c r="B119" t="str">
        <v>Alkem Lab</v>
      </c>
      <c r="C119">
        <v>15.768255999999999</v>
      </c>
      <c r="D119">
        <v>3736.88818359375</v>
      </c>
      <c r="E119">
        <v>1051.322509765625</v>
      </c>
      <c r="F119">
        <v>0.28133600950241089</v>
      </c>
      <c r="G119">
        <v>4786.3125</v>
      </c>
      <c r="H119">
        <v>0.10999999940395355</v>
      </c>
      <c r="I119">
        <v>57123.37109375</v>
      </c>
      <c r="J119">
        <v>1359</v>
      </c>
    </row>
    <row r="120" spans="1:10" x14ac:dyDescent="0.25">
      <c r="A120">
        <v>633</v>
      </c>
      <c r="B120" t="str">
        <v>Alkyl Amines</v>
      </c>
      <c r="C120">
        <v>28.030829000000001</v>
      </c>
      <c r="D120">
        <v>2279.077880859375</v>
      </c>
      <c r="E120">
        <v>875.8802490234375</v>
      </c>
      <c r="F120">
        <v>0.38431298732757568</v>
      </c>
      <c r="G120">
        <v>1949.925048828125</v>
      </c>
      <c r="H120">
        <v>0</v>
      </c>
      <c r="I120">
        <v>10051.8896484375</v>
      </c>
      <c r="J120">
        <v>1359</v>
      </c>
    </row>
    <row r="121" spans="1:10" x14ac:dyDescent="0.25">
      <c r="A121">
        <v>14222</v>
      </c>
      <c r="B121" t="str">
        <v>Allcargo Gati</v>
      </c>
      <c r="C121">
        <v>2.416385</v>
      </c>
      <c r="D121">
        <v>113.67633819580078</v>
      </c>
      <c r="E121">
        <v>41.408615112304688</v>
      </c>
      <c r="F121">
        <v>0.36426800489425659</v>
      </c>
      <c r="G121">
        <v>66.68499755859375</v>
      </c>
      <c r="H121">
        <v>0</v>
      </c>
      <c r="I121">
        <v>953.20001220703125</v>
      </c>
      <c r="J121">
        <v>1359</v>
      </c>
    </row>
    <row r="122" spans="1:10" x14ac:dyDescent="0.25">
      <c r="A122">
        <v>27333</v>
      </c>
      <c r="B122" t="str">
        <v>Allcargo Logist.</v>
      </c>
      <c r="C122">
        <v>11.6515</v>
      </c>
      <c r="D122">
        <v>50.834587097167969</v>
      </c>
      <c r="E122">
        <v>22.396188735961914</v>
      </c>
      <c r="F122">
        <v>0.44056999683380127</v>
      </c>
      <c r="G122">
        <v>34.407501220703125</v>
      </c>
      <c r="H122">
        <v>0.36000001430511475</v>
      </c>
      <c r="I122">
        <v>3354.239990234375</v>
      </c>
      <c r="J122">
        <v>1359</v>
      </c>
    </row>
    <row r="123" spans="1:10" x14ac:dyDescent="0.25">
      <c r="A123">
        <v>24853</v>
      </c>
      <c r="B123" t="str">
        <v>Alldigi Tech</v>
      </c>
      <c r="C123">
        <v>21.468938000000001</v>
      </c>
      <c r="D123">
        <v>571.06793212890625</v>
      </c>
      <c r="E123">
        <v>269.08157348632813</v>
      </c>
      <c r="F123">
        <v>0.47119000554084778</v>
      </c>
      <c r="G123">
        <v>905.0250244140625</v>
      </c>
      <c r="H123">
        <v>0.15999999642372131</v>
      </c>
      <c r="I123">
        <v>1374.1199951171875</v>
      </c>
      <c r="J123">
        <v>1336</v>
      </c>
    </row>
    <row r="124" spans="1:10" x14ac:dyDescent="0.25">
      <c r="A124">
        <v>7708</v>
      </c>
      <c r="B124" t="str">
        <v>Alliance Integ.</v>
      </c>
      <c r="C124">
        <v>37.578265000000002</v>
      </c>
      <c r="D124">
        <v>10.551170349121094</v>
      </c>
      <c r="E124">
        <v>6.9740362167358398</v>
      </c>
      <c r="F124">
        <v>0.66097301244735718</v>
      </c>
      <c r="G124">
        <v>3.4249999523162842</v>
      </c>
      <c r="H124">
        <v>0</v>
      </c>
      <c r="I124">
        <v>131.91000366210938</v>
      </c>
      <c r="J124">
        <v>963</v>
      </c>
    </row>
    <row r="125" spans="1:10" x14ac:dyDescent="0.25">
      <c r="A125">
        <v>18410</v>
      </c>
      <c r="B125" t="str">
        <v>Allied Digital</v>
      </c>
      <c r="C125">
        <v>41.911605000000002</v>
      </c>
      <c r="D125">
        <v>113.52899932861328</v>
      </c>
      <c r="E125">
        <v>72.289108276367188</v>
      </c>
      <c r="F125">
        <v>0.63674598932266235</v>
      </c>
      <c r="G125">
        <v>177.38749694824219</v>
      </c>
      <c r="H125">
        <v>0.10999999940395355</v>
      </c>
      <c r="I125">
        <v>990.07000732421875</v>
      </c>
      <c r="J125">
        <v>1359</v>
      </c>
    </row>
    <row r="126" spans="1:10" x14ac:dyDescent="0.25">
      <c r="A126">
        <v>6570</v>
      </c>
      <c r="B126" t="str">
        <v>Almondz Global</v>
      </c>
      <c r="C126">
        <v>42.85819</v>
      </c>
      <c r="D126">
        <v>14.991530418395996</v>
      </c>
      <c r="E126">
        <v>8.5559530258178711</v>
      </c>
      <c r="F126">
        <v>0.57071900367736816</v>
      </c>
      <c r="G126">
        <v>19.829999923706055</v>
      </c>
      <c r="H126">
        <v>1.9999999552965164E-2</v>
      </c>
      <c r="I126">
        <v>337.6400146484375</v>
      </c>
      <c r="J126">
        <v>1275</v>
      </c>
    </row>
    <row r="127" spans="1:10" x14ac:dyDescent="0.25">
      <c r="A127">
        <v>3118</v>
      </c>
      <c r="B127" t="str">
        <v>Alok Industries</v>
      </c>
      <c r="C127">
        <v>35.089654000000003</v>
      </c>
      <c r="D127">
        <v>21.420587539672852</v>
      </c>
      <c r="E127">
        <v>7.0649251937866211</v>
      </c>
      <c r="F127">
        <v>0.32981899380683899</v>
      </c>
      <c r="G127">
        <v>19.225000381469727</v>
      </c>
      <c r="H127">
        <v>0</v>
      </c>
      <c r="I127">
        <v>9369.41015625</v>
      </c>
      <c r="J127">
        <v>1345</v>
      </c>
    </row>
    <row r="128" spans="1:10" x14ac:dyDescent="0.25">
      <c r="A128">
        <v>27710</v>
      </c>
      <c r="B128" t="str">
        <v>Alpa Laboratorie</v>
      </c>
      <c r="C128">
        <v>33.614162</v>
      </c>
      <c r="D128">
        <v>67.536430358886719</v>
      </c>
      <c r="E128">
        <v>29.576568603515625</v>
      </c>
      <c r="F128">
        <v>0.4379349946975708</v>
      </c>
      <c r="G128">
        <v>98.227500915527344</v>
      </c>
      <c r="H128">
        <v>2.9999999329447746E-2</v>
      </c>
      <c r="I128">
        <v>204.78999328613281</v>
      </c>
      <c r="J128">
        <v>1358</v>
      </c>
    </row>
    <row r="129" spans="1:10" x14ac:dyDescent="0.25">
      <c r="A129">
        <v>3559</v>
      </c>
      <c r="B129" t="str">
        <v>Alphageo (India)</v>
      </c>
      <c r="C129">
        <v>8.0249100000000002</v>
      </c>
      <c r="D129">
        <v>288.09109497070313</v>
      </c>
      <c r="E129">
        <v>83.451911926269531</v>
      </c>
      <c r="F129">
        <v>0.28967198729515076</v>
      </c>
      <c r="G129">
        <v>269.5</v>
      </c>
      <c r="H129">
        <v>0</v>
      </c>
      <c r="I129">
        <v>170.3800048828125</v>
      </c>
      <c r="J129">
        <v>1359</v>
      </c>
    </row>
    <row r="130" spans="1:10" x14ac:dyDescent="0.25">
      <c r="A130">
        <v>3976</v>
      </c>
      <c r="B130" t="str">
        <v>Alpine Housing</v>
      </c>
      <c r="C130">
        <v>42.060102999999998</v>
      </c>
      <c r="D130">
        <v>75.178352355957031</v>
      </c>
      <c r="E130">
        <v>55.059825897216797</v>
      </c>
      <c r="F130">
        <v>0.73238897323608398</v>
      </c>
      <c r="G130">
        <v>108.08750152587891</v>
      </c>
      <c r="H130">
        <v>0.25</v>
      </c>
      <c r="I130">
        <v>186.99000549316406</v>
      </c>
      <c r="J130">
        <v>1341</v>
      </c>
    </row>
    <row r="131" spans="1:10" x14ac:dyDescent="0.25">
      <c r="A131">
        <v>5135</v>
      </c>
      <c r="B131" t="str">
        <v>Alps Industries</v>
      </c>
      <c r="C131">
        <v>3.7608679999999999</v>
      </c>
      <c r="D131">
        <v>2.3499729633331299</v>
      </c>
      <c r="E131">
        <v>0.91381901502609253</v>
      </c>
      <c r="F131">
        <v>0.38886299729347229</v>
      </c>
      <c r="G131">
        <v>3.0550000667572021</v>
      </c>
      <c r="H131">
        <v>0</v>
      </c>
      <c r="I131">
        <v>11.539999961853027</v>
      </c>
      <c r="J131">
        <v>1204</v>
      </c>
    </row>
    <row r="132" spans="1:10" x14ac:dyDescent="0.25">
      <c r="A132">
        <v>4079</v>
      </c>
      <c r="B132" t="str">
        <v>Alufluoride</v>
      </c>
      <c r="C132">
        <v>26.337116000000002</v>
      </c>
      <c r="D132">
        <v>326.07272338867188</v>
      </c>
      <c r="E132">
        <v>124.57853698730469</v>
      </c>
      <c r="F132">
        <v>0.38205799460411072</v>
      </c>
      <c r="G132">
        <v>395.125</v>
      </c>
      <c r="H132">
        <v>0.28999999165534973</v>
      </c>
      <c r="I132">
        <v>306.79998779296875</v>
      </c>
      <c r="J132">
        <v>1359</v>
      </c>
    </row>
    <row r="133" spans="1:10" x14ac:dyDescent="0.25">
      <c r="A133">
        <v>439</v>
      </c>
      <c r="B133" t="str">
        <v>Amal</v>
      </c>
      <c r="C133">
        <v>32.516495999999997</v>
      </c>
      <c r="D133">
        <v>316.28762817382813</v>
      </c>
      <c r="E133">
        <v>132.84762573242188</v>
      </c>
      <c r="F133">
        <v>0.42002201080322266</v>
      </c>
      <c r="G133">
        <v>585.92498779296875</v>
      </c>
      <c r="H133">
        <v>0</v>
      </c>
      <c r="I133">
        <v>713.20001220703125</v>
      </c>
      <c r="J133">
        <v>1359</v>
      </c>
    </row>
    <row r="134" spans="1:10" x14ac:dyDescent="0.25">
      <c r="A134">
        <v>2110</v>
      </c>
      <c r="B134" t="str">
        <v>Amara Raja Ener.</v>
      </c>
      <c r="C134">
        <v>5.7346000000000004</v>
      </c>
      <c r="D134">
        <v>797.25616455078125</v>
      </c>
      <c r="E134">
        <v>272.22836303710938</v>
      </c>
      <c r="F134">
        <v>0.34145700931549072</v>
      </c>
      <c r="G134">
        <v>989.7874755859375</v>
      </c>
      <c r="H134">
        <v>2.9999999329447746E-2</v>
      </c>
      <c r="I134">
        <v>18030.740234375</v>
      </c>
      <c r="J134">
        <v>1359</v>
      </c>
    </row>
    <row r="135" spans="1:10" x14ac:dyDescent="0.25">
      <c r="A135">
        <v>3374</v>
      </c>
      <c r="B135" t="str">
        <v>Amarjothi Spg.</v>
      </c>
      <c r="C135">
        <v>19.742906999999999</v>
      </c>
      <c r="D135">
        <v>151.82992553710938</v>
      </c>
      <c r="E135">
        <v>50.708877563476563</v>
      </c>
      <c r="F135">
        <v>0.33398500084877014</v>
      </c>
      <c r="G135">
        <v>179.88749694824219</v>
      </c>
      <c r="H135">
        <v>0.34999999403953552</v>
      </c>
      <c r="I135">
        <v>121.5</v>
      </c>
      <c r="J135">
        <v>1359</v>
      </c>
    </row>
    <row r="136" spans="1:10" x14ac:dyDescent="0.25">
      <c r="A136">
        <v>7349</v>
      </c>
      <c r="B136" t="str">
        <v>Amarnath Sec.</v>
      </c>
      <c r="C136">
        <v>-5.0441459999999996</v>
      </c>
      <c r="D136">
        <v>33.585689544677734</v>
      </c>
      <c r="E136">
        <v>16.032293319702148</v>
      </c>
      <c r="F136">
        <v>0.47735500335693359</v>
      </c>
      <c r="G136">
        <v>13.635000228881836</v>
      </c>
      <c r="H136">
        <v>0.18000000715255737</v>
      </c>
      <c r="I136">
        <v>3.940000057220459</v>
      </c>
      <c r="J136">
        <v>628</v>
      </c>
    </row>
    <row r="137" spans="1:10" x14ac:dyDescent="0.25">
      <c r="A137">
        <v>7637</v>
      </c>
      <c r="B137" t="str">
        <v>Amba Enterprises</v>
      </c>
      <c r="C137">
        <v>51.657015999999999</v>
      </c>
      <c r="D137">
        <v>81.472946166992188</v>
      </c>
      <c r="E137">
        <v>70.015106201171875</v>
      </c>
      <c r="F137">
        <v>0.85936599969863892</v>
      </c>
      <c r="G137">
        <v>156.96249389648438</v>
      </c>
      <c r="H137">
        <v>0.23999999463558197</v>
      </c>
      <c r="I137">
        <v>196.6199951171875</v>
      </c>
      <c r="J137">
        <v>1341</v>
      </c>
    </row>
    <row r="138" spans="1:10" x14ac:dyDescent="0.25">
      <c r="A138">
        <v>14</v>
      </c>
      <c r="B138" t="str">
        <v>Ambalal Sarabhai</v>
      </c>
      <c r="C138">
        <v>15.180315</v>
      </c>
      <c r="D138">
        <v>33.924606323242188</v>
      </c>
      <c r="E138">
        <v>13.453932762145996</v>
      </c>
      <c r="F138">
        <v>0.39658299088478088</v>
      </c>
      <c r="G138">
        <v>36.125</v>
      </c>
      <c r="H138">
        <v>0.2800000011920929</v>
      </c>
      <c r="I138">
        <v>276.64999389648438</v>
      </c>
      <c r="J138">
        <v>1359</v>
      </c>
    </row>
    <row r="139" spans="1:10" x14ac:dyDescent="0.25">
      <c r="A139">
        <v>45967</v>
      </c>
      <c r="B139" t="str">
        <v>Amber Enterp.</v>
      </c>
      <c r="C139">
        <v>33.428688999999999</v>
      </c>
      <c r="D139">
        <v>3185.672607421875</v>
      </c>
      <c r="E139">
        <v>1499.1953125</v>
      </c>
      <c r="F139">
        <v>0.4706059992313385</v>
      </c>
      <c r="G139">
        <v>6587.1748046875</v>
      </c>
      <c r="H139">
        <v>0.69999998807907104</v>
      </c>
      <c r="I139">
        <v>21763.849609375</v>
      </c>
      <c r="J139">
        <v>1359</v>
      </c>
    </row>
    <row r="140" spans="1:10" x14ac:dyDescent="0.25">
      <c r="A140">
        <v>16020</v>
      </c>
      <c r="B140" t="str">
        <v>Ambika Cotton</v>
      </c>
      <c r="C140">
        <v>10.363920999999999</v>
      </c>
      <c r="D140">
        <v>1440.1280517578125</v>
      </c>
      <c r="E140">
        <v>454.76226806640625</v>
      </c>
      <c r="F140">
        <v>0.31577900052070618</v>
      </c>
      <c r="G140">
        <v>1523.0625</v>
      </c>
      <c r="H140">
        <v>5.000000074505806E-2</v>
      </c>
      <c r="I140">
        <v>862.27001953125</v>
      </c>
      <c r="J140">
        <v>1358</v>
      </c>
    </row>
    <row r="141" spans="1:10" x14ac:dyDescent="0.25">
      <c r="A141">
        <v>65918</v>
      </c>
      <c r="B141" t="str">
        <v>Ambition Mica</v>
      </c>
      <c r="C141">
        <v>-16.581140999999999</v>
      </c>
      <c r="D141">
        <v>5.4187002182006836</v>
      </c>
      <c r="E141">
        <v>1.1312309503555298</v>
      </c>
      <c r="F141">
        <v>0.20876400172710419</v>
      </c>
      <c r="G141">
        <v>2.9600000381469727</v>
      </c>
      <c r="H141">
        <v>0</v>
      </c>
      <c r="I141">
        <v>4.4200000762939453</v>
      </c>
      <c r="J141">
        <v>783</v>
      </c>
    </row>
    <row r="142" spans="1:10" x14ac:dyDescent="0.25">
      <c r="A142">
        <v>218</v>
      </c>
      <c r="B142" t="str">
        <v>Ambuja Cements</v>
      </c>
      <c r="C142">
        <v>18.781483000000001</v>
      </c>
      <c r="D142">
        <v>412.08633422851563</v>
      </c>
      <c r="E142">
        <v>138.71231079101563</v>
      </c>
      <c r="F142">
        <v>0.33660998940467834</v>
      </c>
      <c r="G142">
        <v>537.7125244140625</v>
      </c>
      <c r="H142">
        <v>9.9999997764825821E-3</v>
      </c>
      <c r="I142">
        <v>131284.484375</v>
      </c>
      <c r="J142">
        <v>1359</v>
      </c>
    </row>
    <row r="143" spans="1:10" x14ac:dyDescent="0.25">
      <c r="A143">
        <v>4849</v>
      </c>
      <c r="B143" t="str">
        <v>Amco India</v>
      </c>
      <c r="C143">
        <v>25.445989999999998</v>
      </c>
      <c r="D143">
        <v>56.998359680175781</v>
      </c>
      <c r="E143">
        <v>21.442110061645508</v>
      </c>
      <c r="F143">
        <v>0.3761880099773407</v>
      </c>
      <c r="G143">
        <v>77.512496948242188</v>
      </c>
      <c r="H143">
        <v>0.36000001430511475</v>
      </c>
      <c r="I143">
        <v>30.75</v>
      </c>
      <c r="J143">
        <v>1305</v>
      </c>
    </row>
    <row r="144" spans="1:10" x14ac:dyDescent="0.25">
      <c r="A144">
        <v>638</v>
      </c>
      <c r="B144" t="str">
        <v>Amforge Inds.</v>
      </c>
      <c r="C144">
        <v>48.718536</v>
      </c>
      <c r="D144">
        <v>6.5859360694885254</v>
      </c>
      <c r="E144">
        <v>3.4663429260253906</v>
      </c>
      <c r="F144">
        <v>0.52632498741149902</v>
      </c>
      <c r="G144">
        <v>9.0299997329711914</v>
      </c>
      <c r="H144">
        <v>0.10000000149011612</v>
      </c>
      <c r="I144">
        <v>13.020000457763672</v>
      </c>
      <c r="J144">
        <v>1271</v>
      </c>
    </row>
    <row r="145" spans="1:10" x14ac:dyDescent="0.25">
      <c r="A145">
        <v>635</v>
      </c>
      <c r="B145" t="str">
        <v>Amines &amp; Plast.</v>
      </c>
      <c r="C145">
        <v>38.320664999999998</v>
      </c>
      <c r="D145">
        <v>130.47013854980469</v>
      </c>
      <c r="E145">
        <v>80.587806701660156</v>
      </c>
      <c r="F145">
        <v>0.61767202615737915</v>
      </c>
      <c r="G145">
        <v>239.46249389648438</v>
      </c>
      <c r="H145">
        <v>0.43000000715255737</v>
      </c>
      <c r="I145">
        <v>1313.8800048828125</v>
      </c>
      <c r="J145">
        <v>1357</v>
      </c>
    </row>
    <row r="146" spans="1:10" x14ac:dyDescent="0.25">
      <c r="A146">
        <v>13074</v>
      </c>
      <c r="B146" t="str">
        <v>Amit Internation</v>
      </c>
      <c r="C146">
        <v>11.622159999999999</v>
      </c>
      <c r="D146">
        <v>3.9374539852142334</v>
      </c>
      <c r="E146">
        <v>1.3167450428009033</v>
      </c>
      <c r="F146">
        <v>0.33441498875617981</v>
      </c>
      <c r="G146">
        <v>4.5199999809265137</v>
      </c>
      <c r="H146">
        <v>0</v>
      </c>
      <c r="I146">
        <v>8.5600004196166992</v>
      </c>
      <c r="J146">
        <v>1036</v>
      </c>
    </row>
    <row r="147" spans="1:10" x14ac:dyDescent="0.25">
      <c r="A147">
        <v>12258</v>
      </c>
      <c r="B147" t="str">
        <v>Amit Securities</v>
      </c>
      <c r="C147">
        <v>32.107436</v>
      </c>
      <c r="D147">
        <v>5.8728089332580566</v>
      </c>
      <c r="E147">
        <v>5.8727798461914063</v>
      </c>
      <c r="F147">
        <v>0.99999499320983887</v>
      </c>
      <c r="G147">
        <v>20.579999923706055</v>
      </c>
      <c r="H147">
        <v>0</v>
      </c>
      <c r="I147">
        <v>14.609999656677246</v>
      </c>
      <c r="J147">
        <v>89</v>
      </c>
    </row>
    <row r="148" spans="1:10" x14ac:dyDescent="0.25">
      <c r="A148">
        <v>28408</v>
      </c>
      <c r="B148" t="str">
        <v>Ampvolts</v>
      </c>
      <c r="C148">
        <v>61.687818999999998</v>
      </c>
      <c r="D148">
        <v>27.156061172485352</v>
      </c>
      <c r="E148">
        <v>18.516782760620117</v>
      </c>
      <c r="F148">
        <v>0.68186599016189575</v>
      </c>
      <c r="G148">
        <v>30</v>
      </c>
      <c r="H148">
        <v>0.20999999344348907</v>
      </c>
      <c r="I148">
        <v>77.889999389648438</v>
      </c>
      <c r="J148">
        <v>1015</v>
      </c>
    </row>
    <row r="149" spans="1:10" x14ac:dyDescent="0.25">
      <c r="A149">
        <v>23012</v>
      </c>
      <c r="B149" t="str">
        <v>Amraworld Agrico</v>
      </c>
      <c r="C149">
        <v>25.144749000000001</v>
      </c>
      <c r="D149">
        <v>0.92872202396392822</v>
      </c>
      <c r="E149">
        <v>0.42367199063301086</v>
      </c>
      <c r="F149">
        <v>0.45618799328804016</v>
      </c>
      <c r="G149">
        <v>1.0575000047683716</v>
      </c>
      <c r="H149">
        <v>0</v>
      </c>
      <c r="I149">
        <v>12.75</v>
      </c>
      <c r="J149">
        <v>1213</v>
      </c>
    </row>
    <row r="150" spans="1:10" x14ac:dyDescent="0.25">
      <c r="A150">
        <v>17</v>
      </c>
      <c r="B150" t="str">
        <v>Amrutanjan Healt</v>
      </c>
      <c r="C150">
        <v>9.1582899999999992</v>
      </c>
      <c r="D150">
        <v>655.7117919921875</v>
      </c>
      <c r="E150">
        <v>144.58125305175781</v>
      </c>
      <c r="F150">
        <v>0.22049500048160553</v>
      </c>
      <c r="G150">
        <v>718.79998779296875</v>
      </c>
      <c r="H150">
        <v>0</v>
      </c>
      <c r="I150">
        <v>2087.929931640625</v>
      </c>
      <c r="J150">
        <v>1359</v>
      </c>
    </row>
    <row r="151" spans="1:10" x14ac:dyDescent="0.25">
      <c r="A151">
        <v>74079</v>
      </c>
      <c r="B151" t="str">
        <v>Anand Rayons</v>
      </c>
      <c r="C151">
        <v>39.115912999999999</v>
      </c>
      <c r="D151">
        <v>71.190345764160156</v>
      </c>
      <c r="E151">
        <v>63.313400268554688</v>
      </c>
      <c r="F151">
        <v>0.88935399055480957</v>
      </c>
      <c r="G151">
        <v>284.78750610351563</v>
      </c>
      <c r="H151">
        <v>0.9100000262260437</v>
      </c>
      <c r="I151">
        <v>601.3699951171875</v>
      </c>
      <c r="J151">
        <v>1234</v>
      </c>
    </row>
    <row r="152" spans="1:10" x14ac:dyDescent="0.25">
      <c r="A152">
        <v>1538</v>
      </c>
      <c r="B152" t="str">
        <v>Anant Raj</v>
      </c>
      <c r="C152">
        <v>53.066850000000002</v>
      </c>
      <c r="D152">
        <v>203.63725280761719</v>
      </c>
      <c r="E152">
        <v>220.4964599609375</v>
      </c>
      <c r="F152">
        <v>1.0827900171279907</v>
      </c>
      <c r="G152">
        <v>523.4124755859375</v>
      </c>
      <c r="H152">
        <v>0.25999999046325684</v>
      </c>
      <c r="I152">
        <v>17677.919921875</v>
      </c>
      <c r="J152">
        <v>1359</v>
      </c>
    </row>
    <row r="153" spans="1:10" x14ac:dyDescent="0.25">
      <c r="A153">
        <v>20</v>
      </c>
      <c r="B153" t="str">
        <v>Andhra Paper</v>
      </c>
      <c r="C153">
        <v>5.5938689999999998</v>
      </c>
      <c r="D153">
        <v>73.182884216308594</v>
      </c>
      <c r="E153">
        <v>26.925651550292969</v>
      </c>
      <c r="F153">
        <v>0.36792299151420593</v>
      </c>
      <c r="G153">
        <v>78.112503051757813</v>
      </c>
      <c r="H153">
        <v>5.000000074505806E-2</v>
      </c>
      <c r="I153">
        <v>1549.239990234375</v>
      </c>
      <c r="J153">
        <v>1358</v>
      </c>
    </row>
    <row r="154" spans="1:10" x14ac:dyDescent="0.25">
      <c r="A154">
        <v>2242</v>
      </c>
      <c r="B154" t="str">
        <v>Andhra Petrochem</v>
      </c>
      <c r="C154">
        <v>7.4563689999999996</v>
      </c>
      <c r="D154">
        <v>77.026603698730469</v>
      </c>
      <c r="E154">
        <v>34.031917572021484</v>
      </c>
      <c r="F154">
        <v>0.44181999564170837</v>
      </c>
      <c r="G154">
        <v>54.287498474121094</v>
      </c>
      <c r="H154">
        <v>0.15999999642372131</v>
      </c>
      <c r="I154">
        <v>456.8900146484375</v>
      </c>
      <c r="J154">
        <v>1359</v>
      </c>
    </row>
    <row r="155" spans="1:10" x14ac:dyDescent="0.25">
      <c r="A155">
        <v>2259</v>
      </c>
      <c r="B155" t="str">
        <v>Andhra Sugars</v>
      </c>
      <c r="C155">
        <v>3.644863</v>
      </c>
      <c r="D155">
        <v>100.99254608154297</v>
      </c>
      <c r="E155">
        <v>31.147268295288086</v>
      </c>
      <c r="F155">
        <v>0.30841198563575745</v>
      </c>
      <c r="G155">
        <v>75.074996948242188</v>
      </c>
      <c r="H155">
        <v>1.9999999552965164E-2</v>
      </c>
      <c r="I155">
        <v>1011.6400146484375</v>
      </c>
      <c r="J155">
        <v>1359</v>
      </c>
    </row>
    <row r="156" spans="1:10" x14ac:dyDescent="0.25">
      <c r="A156">
        <v>726</v>
      </c>
      <c r="B156" t="str">
        <v>Andrew Yule &amp; Co</v>
      </c>
      <c r="C156">
        <v>14.370953999999999</v>
      </c>
      <c r="D156">
        <v>26.823282241821289</v>
      </c>
      <c r="E156">
        <v>11.064576148986816</v>
      </c>
      <c r="F156">
        <v>0.41249901056289673</v>
      </c>
      <c r="G156">
        <v>30.815000534057617</v>
      </c>
      <c r="H156">
        <v>0.68999999761581421</v>
      </c>
      <c r="I156">
        <v>1479.0799560546875</v>
      </c>
      <c r="J156">
        <v>1359</v>
      </c>
    </row>
    <row r="157" spans="1:10" x14ac:dyDescent="0.25">
      <c r="A157">
        <v>6189</v>
      </c>
      <c r="B157" t="str">
        <v>Aneri Fincap</v>
      </c>
      <c r="C157">
        <v>14.626353</v>
      </c>
      <c r="D157">
        <v>5.4106578826904297</v>
      </c>
      <c r="E157">
        <v>1.3787959814071655</v>
      </c>
      <c r="F157">
        <v>0.254830002784729</v>
      </c>
      <c r="G157">
        <v>8.0799999237060547</v>
      </c>
      <c r="H157">
        <v>0</v>
      </c>
      <c r="I157">
        <v>2.309999942779541</v>
      </c>
      <c r="J157">
        <v>581</v>
      </c>
    </row>
    <row r="158" spans="1:10" x14ac:dyDescent="0.25">
      <c r="A158">
        <v>3704</v>
      </c>
      <c r="B158" t="str">
        <v>Anik Industries</v>
      </c>
      <c r="C158">
        <v>49.757358000000004</v>
      </c>
      <c r="D158">
        <v>40.584194183349609</v>
      </c>
      <c r="E158">
        <v>29.124568939208984</v>
      </c>
      <c r="F158">
        <v>0.71763300895690918</v>
      </c>
      <c r="G158">
        <v>108.65000152587891</v>
      </c>
      <c r="H158">
        <v>7.0000000298023224E-2</v>
      </c>
      <c r="I158">
        <v>299.42001342773438</v>
      </c>
      <c r="J158">
        <v>1319</v>
      </c>
    </row>
    <row r="159" spans="1:10" x14ac:dyDescent="0.25">
      <c r="A159">
        <v>7150</v>
      </c>
      <c r="B159" t="str">
        <v>Anjani Finance</v>
      </c>
      <c r="C159">
        <v>47.578491999999997</v>
      </c>
      <c r="D159">
        <v>8.2386817932128906</v>
      </c>
      <c r="E159">
        <v>3.5405120849609375</v>
      </c>
      <c r="F159">
        <v>0.42974299192428589</v>
      </c>
      <c r="G159">
        <v>12.420000076293945</v>
      </c>
      <c r="H159">
        <v>0.23999999463558197</v>
      </c>
      <c r="I159">
        <v>12.579999923706055</v>
      </c>
      <c r="J159">
        <v>1139</v>
      </c>
    </row>
    <row r="160" spans="1:10" x14ac:dyDescent="0.25">
      <c r="A160">
        <v>6806</v>
      </c>
      <c r="B160" t="str">
        <v>Anjani Foods</v>
      </c>
      <c r="C160">
        <v>65.852962000000005</v>
      </c>
      <c r="D160">
        <v>29.371597290039063</v>
      </c>
      <c r="E160">
        <v>12.136623382568359</v>
      </c>
      <c r="F160">
        <v>0.41321000456809998</v>
      </c>
      <c r="G160">
        <v>28.825000762939453</v>
      </c>
      <c r="H160">
        <v>0.56999999284744263</v>
      </c>
      <c r="I160">
        <v>79.959999084472656</v>
      </c>
      <c r="J160">
        <v>1272</v>
      </c>
    </row>
    <row r="161" spans="1:10" x14ac:dyDescent="0.25">
      <c r="A161">
        <v>3364</v>
      </c>
      <c r="B161" t="str">
        <v>Anjani Portland</v>
      </c>
      <c r="C161">
        <v>-0.17360600000000001</v>
      </c>
      <c r="D161">
        <v>205.0985107421875</v>
      </c>
      <c r="E161">
        <v>70.050498962402344</v>
      </c>
      <c r="F161">
        <v>0.34154599905014038</v>
      </c>
      <c r="G161">
        <v>135.92500305175781</v>
      </c>
      <c r="H161">
        <v>0.87999999523162842</v>
      </c>
      <c r="I161">
        <v>396.1199951171875</v>
      </c>
      <c r="J161">
        <v>1345</v>
      </c>
    </row>
    <row r="162" spans="1:10" x14ac:dyDescent="0.25">
      <c r="A162">
        <v>6118</v>
      </c>
      <c r="B162" t="str">
        <v>Anjani Synth.</v>
      </c>
      <c r="C162">
        <v>26.886188000000001</v>
      </c>
      <c r="D162">
        <v>31.131248474121094</v>
      </c>
      <c r="E162">
        <v>11.050407409667969</v>
      </c>
      <c r="F162">
        <v>0.35496199131011963</v>
      </c>
      <c r="G162">
        <v>55.527500152587891</v>
      </c>
      <c r="H162">
        <v>0.57999998331069946</v>
      </c>
      <c r="I162">
        <v>82</v>
      </c>
      <c r="J162">
        <v>1306</v>
      </c>
    </row>
    <row r="163" spans="1:10" x14ac:dyDescent="0.25">
      <c r="A163">
        <v>6922</v>
      </c>
      <c r="B163" t="str">
        <v>Anka India</v>
      </c>
      <c r="C163">
        <v>8.2380499999999994</v>
      </c>
      <c r="D163">
        <v>15.761653900146484</v>
      </c>
      <c r="E163">
        <v>6.5005998611450195</v>
      </c>
      <c r="F163">
        <v>0.41243100166320801</v>
      </c>
      <c r="G163">
        <v>29.670000076293945</v>
      </c>
      <c r="H163">
        <v>0.75</v>
      </c>
      <c r="I163">
        <v>45.659999847412109</v>
      </c>
      <c r="J163">
        <v>940</v>
      </c>
    </row>
    <row r="164" spans="1:10" x14ac:dyDescent="0.25">
      <c r="A164">
        <v>27538</v>
      </c>
      <c r="B164" t="str">
        <v>Ankit Met.Power</v>
      </c>
      <c r="C164">
        <v>27.759913999999998</v>
      </c>
      <c r="D164">
        <v>4.1400918960571289</v>
      </c>
      <c r="E164">
        <v>3.0501298904418945</v>
      </c>
      <c r="F164">
        <v>0.73672997951507568</v>
      </c>
      <c r="G164">
        <v>1.997499942779541</v>
      </c>
      <c r="H164">
        <v>0</v>
      </c>
      <c r="I164">
        <v>28.5</v>
      </c>
      <c r="J164">
        <v>1139</v>
      </c>
    </row>
    <row r="165" spans="1:10" x14ac:dyDescent="0.25">
      <c r="A165">
        <v>5972</v>
      </c>
      <c r="B165" t="str">
        <v>Anna Infrastruct</v>
      </c>
      <c r="C165">
        <v>22.167393000000001</v>
      </c>
      <c r="D165">
        <v>24.15814208984375</v>
      </c>
      <c r="E165">
        <v>11.441494941711426</v>
      </c>
      <c r="F165">
        <v>0.47360798716545105</v>
      </c>
      <c r="G165">
        <v>25.950000762939453</v>
      </c>
      <c r="H165">
        <v>0</v>
      </c>
      <c r="I165">
        <v>10.109999656677246</v>
      </c>
      <c r="J165">
        <v>563</v>
      </c>
    </row>
    <row r="166" spans="1:10" x14ac:dyDescent="0.25">
      <c r="A166">
        <v>30388</v>
      </c>
      <c r="B166" t="str">
        <v>Annvrridhhi Ven</v>
      </c>
      <c r="C166">
        <v>86.433592000000004</v>
      </c>
      <c r="D166">
        <v>13.600172996520996</v>
      </c>
      <c r="E166">
        <v>15.13938045501709</v>
      </c>
      <c r="F166">
        <v>1.1131759881973267</v>
      </c>
      <c r="G166">
        <v>13.022500038146973</v>
      </c>
      <c r="H166">
        <v>0</v>
      </c>
      <c r="I166">
        <v>62.310001373291016</v>
      </c>
      <c r="J166">
        <v>1203</v>
      </c>
    </row>
    <row r="167" spans="1:10" x14ac:dyDescent="0.25">
      <c r="A167">
        <v>1353</v>
      </c>
      <c r="B167" t="str">
        <v>Ansal Buildwell</v>
      </c>
      <c r="C167">
        <v>27.490317999999998</v>
      </c>
      <c r="D167">
        <v>87.919059753417969</v>
      </c>
      <c r="E167">
        <v>45.913169860839844</v>
      </c>
      <c r="F167">
        <v>0.52222102880477905</v>
      </c>
      <c r="G167">
        <v>124.52500152587891</v>
      </c>
      <c r="H167">
        <v>0.27000001072883606</v>
      </c>
      <c r="I167">
        <v>90.919998168945313</v>
      </c>
      <c r="J167">
        <v>1355</v>
      </c>
    </row>
    <row r="168" spans="1:10" x14ac:dyDescent="0.25">
      <c r="A168">
        <v>2820</v>
      </c>
      <c r="B168" t="str">
        <v>Ansal Properties</v>
      </c>
      <c r="C168">
        <v>-2.579275</v>
      </c>
      <c r="D168">
        <v>9.9081859588623047</v>
      </c>
      <c r="E168">
        <v>4.9994401931762695</v>
      </c>
      <c r="F168">
        <v>0.50457698106765747</v>
      </c>
      <c r="G168">
        <v>4.372499942779541</v>
      </c>
      <c r="H168">
        <v>0</v>
      </c>
      <c r="I168">
        <v>68.470001220703125</v>
      </c>
      <c r="J168">
        <v>1137</v>
      </c>
    </row>
    <row r="169" spans="1:10" x14ac:dyDescent="0.25">
      <c r="A169">
        <v>2916</v>
      </c>
      <c r="B169" t="str">
        <v>Anuh Pharma</v>
      </c>
      <c r="C169">
        <v>22.663173</v>
      </c>
      <c r="D169">
        <v>137.158935546875</v>
      </c>
      <c r="E169">
        <v>50.556179046630859</v>
      </c>
      <c r="F169">
        <v>0.36859598755836487</v>
      </c>
      <c r="G169">
        <v>211.64999389648438</v>
      </c>
      <c r="H169">
        <v>9.9999997764825821E-3</v>
      </c>
      <c r="I169">
        <v>1040.8299560546875</v>
      </c>
      <c r="J169">
        <v>1359</v>
      </c>
    </row>
    <row r="170" spans="1:10" x14ac:dyDescent="0.25">
      <c r="A170">
        <v>4848</v>
      </c>
      <c r="B170" t="str">
        <v>Anupam Finserv</v>
      </c>
      <c r="C170">
        <v>0.82321200000000005</v>
      </c>
      <c r="D170">
        <v>1.6920390129089355</v>
      </c>
      <c r="E170">
        <v>0.64938497543334961</v>
      </c>
      <c r="F170">
        <v>0.38378798961639404</v>
      </c>
      <c r="G170">
        <v>2.7274999618530273</v>
      </c>
      <c r="H170">
        <v>0.20999999344348907</v>
      </c>
      <c r="I170">
        <v>50.860000610351563</v>
      </c>
      <c r="J170">
        <v>1344</v>
      </c>
    </row>
    <row r="171" spans="1:10" x14ac:dyDescent="0.25">
      <c r="A171">
        <v>74528</v>
      </c>
      <c r="B171" t="str">
        <v>Anuroop Packagin</v>
      </c>
      <c r="C171">
        <v>10.923031999999999</v>
      </c>
      <c r="D171">
        <v>22.073476791381836</v>
      </c>
      <c r="E171">
        <v>8.5248756408691406</v>
      </c>
      <c r="F171">
        <v>0.38620400428771973</v>
      </c>
      <c r="G171">
        <v>21.405000686645508</v>
      </c>
      <c r="H171">
        <v>0.25</v>
      </c>
      <c r="I171">
        <v>23.590000152587891</v>
      </c>
      <c r="J171">
        <v>957</v>
      </c>
    </row>
    <row r="172" spans="1:10" x14ac:dyDescent="0.25">
      <c r="A172">
        <v>2035</v>
      </c>
      <c r="B172" t="str">
        <v>Apar Inds.</v>
      </c>
      <c r="C172">
        <v>58.766060000000003</v>
      </c>
      <c r="D172">
        <v>3120.998046875</v>
      </c>
      <c r="E172">
        <v>3243.602294921875</v>
      </c>
      <c r="F172">
        <v>1.0392839908599854</v>
      </c>
      <c r="G172">
        <v>7828.025390625</v>
      </c>
      <c r="H172">
        <v>0.12999999523162842</v>
      </c>
      <c r="I172">
        <v>31202.55078125</v>
      </c>
      <c r="J172">
        <v>1359</v>
      </c>
    </row>
    <row r="173" spans="1:10" x14ac:dyDescent="0.25">
      <c r="A173">
        <v>2706</v>
      </c>
      <c r="B173" t="str">
        <v>Apcotex Industri</v>
      </c>
      <c r="C173">
        <v>16.672477000000001</v>
      </c>
      <c r="D173">
        <v>369.75149536132813</v>
      </c>
      <c r="E173">
        <v>148.34333801269531</v>
      </c>
      <c r="F173">
        <v>0.40119698643684387</v>
      </c>
      <c r="G173">
        <v>385.28750610351563</v>
      </c>
      <c r="H173">
        <v>0.34999999403953552</v>
      </c>
      <c r="I173">
        <v>1990.0699462890625</v>
      </c>
      <c r="J173">
        <v>1359</v>
      </c>
    </row>
    <row r="174" spans="1:10" x14ac:dyDescent="0.25">
      <c r="A174">
        <v>70330</v>
      </c>
      <c r="B174" t="str">
        <v>Apex Frozen Food</v>
      </c>
      <c r="C174">
        <v>-8.9199079999999995</v>
      </c>
      <c r="D174">
        <v>257.3846435546875</v>
      </c>
      <c r="E174">
        <v>46.283237457275391</v>
      </c>
      <c r="F174">
        <v>0.17982099950313568</v>
      </c>
      <c r="G174">
        <v>231.53750610351563</v>
      </c>
      <c r="H174">
        <v>0.20000000298023224</v>
      </c>
      <c r="I174">
        <v>716.40997314453125</v>
      </c>
      <c r="J174">
        <v>1359</v>
      </c>
    </row>
    <row r="175" spans="1:10" x14ac:dyDescent="0.25">
      <c r="A175">
        <v>2981</v>
      </c>
      <c r="B175" t="str">
        <v>Apis India</v>
      </c>
      <c r="C175">
        <v>56.182274</v>
      </c>
      <c r="D175">
        <v>102.72884368896484</v>
      </c>
      <c r="E175">
        <v>77.956855773925781</v>
      </c>
      <c r="F175">
        <v>0.75885999202728271</v>
      </c>
      <c r="G175">
        <v>294.39999389648438</v>
      </c>
      <c r="H175">
        <v>0.61000001430511475</v>
      </c>
      <c r="I175">
        <v>162.22000122070313</v>
      </c>
      <c r="J175">
        <v>60</v>
      </c>
    </row>
    <row r="176" spans="1:10" x14ac:dyDescent="0.25">
      <c r="A176">
        <v>1036</v>
      </c>
      <c r="B176" t="str">
        <v>Aplab</v>
      </c>
      <c r="C176">
        <v>55.746623</v>
      </c>
      <c r="D176">
        <v>26.390890121459961</v>
      </c>
      <c r="E176">
        <v>18.846290588378906</v>
      </c>
      <c r="F176">
        <v>0.71412098407745361</v>
      </c>
      <c r="G176">
        <v>42.047500610351563</v>
      </c>
      <c r="H176">
        <v>0</v>
      </c>
      <c r="I176">
        <v>104.91000366210938</v>
      </c>
      <c r="J176">
        <v>1193</v>
      </c>
    </row>
    <row r="177" spans="1:10" x14ac:dyDescent="0.25">
      <c r="A177">
        <v>1762</v>
      </c>
      <c r="B177" t="str">
        <v>Apollo Finvest</v>
      </c>
      <c r="C177">
        <v>23.084686000000001</v>
      </c>
      <c r="D177">
        <v>582.64727783203125</v>
      </c>
      <c r="E177">
        <v>216.21257019042969</v>
      </c>
      <c r="F177">
        <v>0.37108701467514038</v>
      </c>
      <c r="G177">
        <v>516.7249755859375</v>
      </c>
      <c r="H177">
        <v>0.15999999642372131</v>
      </c>
      <c r="I177">
        <v>195.00999450683594</v>
      </c>
      <c r="J177">
        <v>1355</v>
      </c>
    </row>
    <row r="178" spans="1:10" x14ac:dyDescent="0.25">
      <c r="A178">
        <v>636</v>
      </c>
      <c r="B178" t="str">
        <v>Apollo Hospitals</v>
      </c>
      <c r="C178">
        <v>29.949217000000001</v>
      </c>
      <c r="D178">
        <v>4459.24560546875</v>
      </c>
      <c r="E178">
        <v>1737.1417236328125</v>
      </c>
      <c r="F178">
        <v>0.38956001400947571</v>
      </c>
      <c r="G178">
        <v>6979.4248046875</v>
      </c>
      <c r="H178">
        <v>0.38999998569488525</v>
      </c>
      <c r="I178">
        <v>100772.203125</v>
      </c>
      <c r="J178">
        <v>1359</v>
      </c>
    </row>
    <row r="179" spans="1:10" x14ac:dyDescent="0.25">
      <c r="A179">
        <v>71623</v>
      </c>
      <c r="B179" t="str">
        <v>Apollo Micro Sys</v>
      </c>
      <c r="C179">
        <v>64.185766999999998</v>
      </c>
      <c r="D179">
        <v>48.591140747070313</v>
      </c>
      <c r="E179">
        <v>47.951850891113281</v>
      </c>
      <c r="F179">
        <v>0.98684298992156982</v>
      </c>
      <c r="G179">
        <v>193.53750610351563</v>
      </c>
      <c r="H179">
        <v>0.38999998569488525</v>
      </c>
      <c r="I179">
        <v>5807.97998046875</v>
      </c>
      <c r="J179">
        <v>1359</v>
      </c>
    </row>
    <row r="180" spans="1:10" x14ac:dyDescent="0.25">
      <c r="A180">
        <v>7159</v>
      </c>
      <c r="B180" t="str">
        <v>Apollo Pipes</v>
      </c>
      <c r="C180">
        <v>25.43835</v>
      </c>
      <c r="D180">
        <v>455.15032958984375</v>
      </c>
      <c r="E180">
        <v>192.26083374023438</v>
      </c>
      <c r="F180">
        <v>0.42241200804710388</v>
      </c>
      <c r="G180">
        <v>446.10000610351563</v>
      </c>
      <c r="H180">
        <v>0.10000000149011612</v>
      </c>
      <c r="I180">
        <v>2027.5</v>
      </c>
      <c r="J180">
        <v>1359</v>
      </c>
    </row>
    <row r="181" spans="1:10" x14ac:dyDescent="0.25">
      <c r="A181">
        <v>23</v>
      </c>
      <c r="B181" t="str">
        <v>Apollo Tyres</v>
      </c>
      <c r="C181">
        <v>18.667225999999999</v>
      </c>
      <c r="D181">
        <v>306.81805419921875</v>
      </c>
      <c r="E181">
        <v>137.05024719238281</v>
      </c>
      <c r="F181">
        <v>0.44668200612068176</v>
      </c>
      <c r="G181">
        <v>445.375</v>
      </c>
      <c r="H181">
        <v>0.40999999642372131</v>
      </c>
      <c r="I181">
        <v>28401.7109375</v>
      </c>
      <c r="J181">
        <v>1359</v>
      </c>
    </row>
    <row r="182" spans="1:10" x14ac:dyDescent="0.25">
      <c r="A182">
        <v>54748</v>
      </c>
      <c r="B182" t="str">
        <v>Apoorva Leasing</v>
      </c>
      <c r="C182">
        <v>11.836962</v>
      </c>
      <c r="D182">
        <v>29.806289672851563</v>
      </c>
      <c r="E182">
        <v>11.842853546142578</v>
      </c>
      <c r="F182">
        <v>0.3973270058631897</v>
      </c>
      <c r="G182">
        <v>32.505001068115234</v>
      </c>
      <c r="H182">
        <v>0</v>
      </c>
      <c r="I182">
        <v>65.959999084472656</v>
      </c>
      <c r="J182">
        <v>1087</v>
      </c>
    </row>
    <row r="183" spans="1:10" x14ac:dyDescent="0.25">
      <c r="A183">
        <v>8039</v>
      </c>
      <c r="B183" t="str">
        <v>Aptech</v>
      </c>
      <c r="C183">
        <v>4.5963149999999997</v>
      </c>
      <c r="D183">
        <v>195.526123046875</v>
      </c>
      <c r="E183">
        <v>75.256126403808594</v>
      </c>
      <c r="F183">
        <v>0.38488999009132385</v>
      </c>
      <c r="G183">
        <v>150.25</v>
      </c>
      <c r="H183">
        <v>9.9999997764825821E-3</v>
      </c>
      <c r="I183">
        <v>861.33001708984375</v>
      </c>
      <c r="J183">
        <v>1359</v>
      </c>
    </row>
    <row r="184" spans="1:10" x14ac:dyDescent="0.25">
      <c r="A184">
        <v>3705</v>
      </c>
      <c r="B184" t="str">
        <v>Arcee Industries</v>
      </c>
      <c r="C184">
        <v>24.959185000000002</v>
      </c>
      <c r="D184">
        <v>6.9029331207275391</v>
      </c>
      <c r="E184">
        <v>1.7717510461807251</v>
      </c>
      <c r="F184">
        <v>0.25666600465774536</v>
      </c>
      <c r="G184">
        <v>6.690000057220459</v>
      </c>
      <c r="H184">
        <v>7.0000000298023224E-2</v>
      </c>
      <c r="I184">
        <v>3.5099999904632568</v>
      </c>
      <c r="J184">
        <v>1165</v>
      </c>
    </row>
    <row r="185" spans="1:10" x14ac:dyDescent="0.25">
      <c r="A185">
        <v>28434</v>
      </c>
      <c r="B185" t="str">
        <v>Archidply Inds.</v>
      </c>
      <c r="C185">
        <v>30.677382000000001</v>
      </c>
      <c r="D185">
        <v>63.84527587890625</v>
      </c>
      <c r="E185">
        <v>32.767105102539063</v>
      </c>
      <c r="F185">
        <v>0.51322698593139648</v>
      </c>
      <c r="G185">
        <v>107.10250091552734</v>
      </c>
      <c r="H185">
        <v>0.62999999523162842</v>
      </c>
      <c r="I185">
        <v>204.6300048828125</v>
      </c>
      <c r="J185">
        <v>1347</v>
      </c>
    </row>
    <row r="186" spans="1:10" x14ac:dyDescent="0.25">
      <c r="A186">
        <v>13561</v>
      </c>
      <c r="B186" t="str">
        <v>Archies</v>
      </c>
      <c r="C186">
        <v>4.1375500000000001</v>
      </c>
      <c r="D186">
        <v>20.297391891479492</v>
      </c>
      <c r="E186">
        <v>6.3588590621948242</v>
      </c>
      <c r="F186">
        <v>0.31328499317169189</v>
      </c>
      <c r="G186">
        <v>22.985000610351563</v>
      </c>
      <c r="H186">
        <v>0.51999998092651367</v>
      </c>
      <c r="I186">
        <v>75.260002136230469</v>
      </c>
      <c r="J186">
        <v>1352</v>
      </c>
    </row>
    <row r="187" spans="1:10" x14ac:dyDescent="0.25">
      <c r="A187">
        <v>6043</v>
      </c>
      <c r="B187" t="str">
        <v>Archit Organosys</v>
      </c>
      <c r="C187">
        <v>26.438822999999999</v>
      </c>
      <c r="D187">
        <v>44.12640380859375</v>
      </c>
      <c r="E187">
        <v>18.957244873046875</v>
      </c>
      <c r="F187">
        <v>0.42961201071739197</v>
      </c>
      <c r="G187">
        <v>42.732498168945313</v>
      </c>
      <c r="H187">
        <v>0.46000000834465027</v>
      </c>
      <c r="I187">
        <v>86.720001220703125</v>
      </c>
      <c r="J187">
        <v>1309</v>
      </c>
    </row>
    <row r="188" spans="1:10" x14ac:dyDescent="0.25">
      <c r="A188">
        <v>4733</v>
      </c>
      <c r="B188" t="str">
        <v>Arex Industries</v>
      </c>
      <c r="C188">
        <v>24.289138000000001</v>
      </c>
      <c r="D188">
        <v>129.39689636230469</v>
      </c>
      <c r="E188">
        <v>49.091011047363281</v>
      </c>
      <c r="F188">
        <v>0.37938299775123596</v>
      </c>
      <c r="G188">
        <v>152.5</v>
      </c>
      <c r="H188">
        <v>0.4699999988079071</v>
      </c>
      <c r="I188">
        <v>60.590000152587891</v>
      </c>
      <c r="J188">
        <v>1021</v>
      </c>
    </row>
    <row r="189" spans="1:10" x14ac:dyDescent="0.25">
      <c r="A189">
        <v>12476</v>
      </c>
      <c r="B189" t="str">
        <v>Aries Agro</v>
      </c>
      <c r="C189">
        <v>29.682375</v>
      </c>
      <c r="D189">
        <v>167.60494995117188</v>
      </c>
      <c r="E189">
        <v>76.481613159179688</v>
      </c>
      <c r="F189">
        <v>0.45632100105285645</v>
      </c>
      <c r="G189">
        <v>313.57501220703125</v>
      </c>
      <c r="H189">
        <v>0.34000000357627869</v>
      </c>
      <c r="I189">
        <v>400.47000122070313</v>
      </c>
      <c r="J189">
        <v>1359</v>
      </c>
    </row>
    <row r="190" spans="1:10" x14ac:dyDescent="0.25">
      <c r="A190">
        <v>4949</v>
      </c>
      <c r="B190" t="str">
        <v>Arigato Universe</v>
      </c>
      <c r="C190">
        <v>23.262594</v>
      </c>
      <c r="D190">
        <v>40.231494903564453</v>
      </c>
      <c r="E190">
        <v>29.270647048950195</v>
      </c>
      <c r="F190">
        <v>0.72755599021911621</v>
      </c>
      <c r="G190">
        <v>59.400001525878906</v>
      </c>
      <c r="H190">
        <v>0</v>
      </c>
      <c r="I190">
        <v>36.209999084472656</v>
      </c>
      <c r="J190">
        <v>887</v>
      </c>
    </row>
    <row r="191" spans="1:10" x14ac:dyDescent="0.25">
      <c r="A191">
        <v>13410</v>
      </c>
      <c r="B191" t="str">
        <v>Arih.Found.Hsg.</v>
      </c>
      <c r="C191">
        <v>85.782078999999996</v>
      </c>
      <c r="D191">
        <v>168.724365234375</v>
      </c>
      <c r="E191">
        <v>281.3487548828125</v>
      </c>
      <c r="F191">
        <v>1.6675050258636475</v>
      </c>
      <c r="G191">
        <v>1468.3499755859375</v>
      </c>
      <c r="H191">
        <v>0.70999997854232788</v>
      </c>
      <c r="I191">
        <v>1463.300048828125</v>
      </c>
      <c r="J191">
        <v>1236</v>
      </c>
    </row>
    <row r="192" spans="1:10" x14ac:dyDescent="0.25">
      <c r="A192">
        <v>4388</v>
      </c>
      <c r="B192" t="str">
        <v>Arihant Capital</v>
      </c>
      <c r="C192">
        <v>41.217136000000004</v>
      </c>
      <c r="D192">
        <v>50.797683715820313</v>
      </c>
      <c r="E192">
        <v>30.249889373779297</v>
      </c>
      <c r="F192">
        <v>0.5954970121383667</v>
      </c>
      <c r="G192">
        <v>73.279998779296875</v>
      </c>
      <c r="H192">
        <v>0.27000001072883606</v>
      </c>
      <c r="I192">
        <v>749.6099853515625</v>
      </c>
      <c r="J192">
        <v>1359</v>
      </c>
    </row>
    <row r="193" spans="1:10" x14ac:dyDescent="0.25">
      <c r="A193">
        <v>7101</v>
      </c>
      <c r="B193" t="str">
        <v>Arihant Super.</v>
      </c>
      <c r="C193">
        <v>50.431784999999998</v>
      </c>
      <c r="D193">
        <v>197.91218566894531</v>
      </c>
      <c r="E193">
        <v>130.73731994628906</v>
      </c>
      <c r="F193">
        <v>0.66058200597763062</v>
      </c>
      <c r="G193">
        <v>359.33749389648438</v>
      </c>
      <c r="H193">
        <v>0.81000000238418579</v>
      </c>
      <c r="I193">
        <v>1459.1199951171875</v>
      </c>
      <c r="J193">
        <v>1317</v>
      </c>
    </row>
    <row r="194" spans="1:10" x14ac:dyDescent="0.25">
      <c r="A194">
        <v>5290</v>
      </c>
      <c r="B194" t="str">
        <v>Arihant's Secur.</v>
      </c>
      <c r="C194">
        <v>26.152673</v>
      </c>
      <c r="D194">
        <v>16.5718994140625</v>
      </c>
      <c r="E194">
        <v>8.4032363891601563</v>
      </c>
      <c r="F194">
        <v>0.50707697868347168</v>
      </c>
      <c r="G194">
        <v>26.375</v>
      </c>
      <c r="H194">
        <v>0</v>
      </c>
      <c r="I194">
        <v>12.829999923706055</v>
      </c>
      <c r="J194">
        <v>1024</v>
      </c>
    </row>
    <row r="195" spans="1:10" x14ac:dyDescent="0.25">
      <c r="A195">
        <v>26630</v>
      </c>
      <c r="B195" t="str">
        <v>Arman Holdings</v>
      </c>
      <c r="C195">
        <v>2.466799</v>
      </c>
      <c r="D195">
        <v>68.195907592773438</v>
      </c>
      <c r="E195">
        <v>18.332376480102539</v>
      </c>
      <c r="F195">
        <v>0.26881900429725647</v>
      </c>
      <c r="G195">
        <v>67.470001220703125</v>
      </c>
      <c r="H195">
        <v>0</v>
      </c>
      <c r="I195">
        <v>36.470001220703125</v>
      </c>
      <c r="J195">
        <v>372</v>
      </c>
    </row>
    <row r="196" spans="1:10" x14ac:dyDescent="0.25">
      <c r="A196">
        <v>3809</v>
      </c>
      <c r="B196" t="str">
        <v>Arrow Greentech</v>
      </c>
      <c r="C196">
        <v>51.855153000000001</v>
      </c>
      <c r="D196">
        <v>279.69668579101563</v>
      </c>
      <c r="E196">
        <v>253.73507690429688</v>
      </c>
      <c r="F196">
        <v>0.90717899799346924</v>
      </c>
      <c r="G196">
        <v>637.07501220703125</v>
      </c>
      <c r="H196">
        <v>9.9999997764825821E-3</v>
      </c>
      <c r="I196">
        <v>956.58001708984375</v>
      </c>
      <c r="J196">
        <v>1345</v>
      </c>
    </row>
    <row r="197" spans="1:10" x14ac:dyDescent="0.25">
      <c r="A197">
        <v>2004</v>
      </c>
      <c r="B197" t="str">
        <v>Arshiya</v>
      </c>
      <c r="C197">
        <v>-29.355073999999998</v>
      </c>
      <c r="D197">
        <v>12.954751968383789</v>
      </c>
      <c r="E197">
        <v>9.2744646072387695</v>
      </c>
      <c r="F197">
        <v>0.71591198444366455</v>
      </c>
      <c r="G197">
        <v>2.4674999713897705</v>
      </c>
      <c r="H197">
        <v>0.74000000953674316</v>
      </c>
      <c r="I197">
        <v>64.290000915527344</v>
      </c>
      <c r="J197">
        <v>1305</v>
      </c>
    </row>
    <row r="198" spans="1:10" x14ac:dyDescent="0.25">
      <c r="A198">
        <v>5779</v>
      </c>
      <c r="B198" t="str">
        <v>Artefact Project</v>
      </c>
      <c r="C198">
        <v>13.27904</v>
      </c>
      <c r="D198">
        <v>55.726119995117188</v>
      </c>
      <c r="E198">
        <v>18.986055374145508</v>
      </c>
      <c r="F198">
        <v>0.34070301055908203</v>
      </c>
      <c r="G198">
        <v>72.599998474121094</v>
      </c>
      <c r="H198">
        <v>0.18999999761581421</v>
      </c>
      <c r="I198">
        <v>52.330001831054688</v>
      </c>
      <c r="J198">
        <v>1344</v>
      </c>
    </row>
    <row r="199" spans="1:10" x14ac:dyDescent="0.25">
      <c r="A199">
        <v>68823</v>
      </c>
      <c r="B199" t="str">
        <v>Artemis Electri.</v>
      </c>
      <c r="C199">
        <v>9.4120480000000004</v>
      </c>
      <c r="D199">
        <v>15.065574645996094</v>
      </c>
      <c r="E199">
        <v>12.251787185668945</v>
      </c>
      <c r="F199">
        <v>0.81323099136352539</v>
      </c>
      <c r="G199">
        <v>23.777500152587891</v>
      </c>
      <c r="H199">
        <v>0.25999999046325684</v>
      </c>
      <c r="I199">
        <v>592.70001220703125</v>
      </c>
      <c r="J199">
        <v>1301</v>
      </c>
    </row>
    <row r="200" spans="1:10" x14ac:dyDescent="0.25">
      <c r="A200">
        <v>34503</v>
      </c>
      <c r="B200" t="str">
        <v>Artemis Medicare</v>
      </c>
      <c r="C200">
        <v>46.708692999999997</v>
      </c>
      <c r="D200">
        <v>105.95803070068359</v>
      </c>
      <c r="E200">
        <v>95.113304138183594</v>
      </c>
      <c r="F200">
        <v>0.89765101671218872</v>
      </c>
      <c r="G200">
        <v>246.22500610351563</v>
      </c>
      <c r="H200">
        <v>0.79000002145767212</v>
      </c>
      <c r="I200">
        <v>3392.030029296875</v>
      </c>
      <c r="J200">
        <v>1326</v>
      </c>
    </row>
    <row r="201" spans="1:10" x14ac:dyDescent="0.25">
      <c r="A201">
        <v>2662</v>
      </c>
      <c r="B201" t="str">
        <v>Artson</v>
      </c>
      <c r="C201">
        <v>32.605285000000002</v>
      </c>
      <c r="D201">
        <v>87.6015625</v>
      </c>
      <c r="E201">
        <v>53.288570404052734</v>
      </c>
      <c r="F201">
        <v>0.60830599069595337</v>
      </c>
      <c r="G201">
        <v>180.78750610351563</v>
      </c>
      <c r="H201">
        <v>0</v>
      </c>
      <c r="I201">
        <v>659.760009765625</v>
      </c>
      <c r="J201">
        <v>1171</v>
      </c>
    </row>
    <row r="202" spans="1:10" x14ac:dyDescent="0.25">
      <c r="A202">
        <v>28</v>
      </c>
      <c r="B202" t="str">
        <v>Aruna Hotels</v>
      </c>
      <c r="C202">
        <v>15.650577</v>
      </c>
      <c r="D202">
        <v>11.604915618896484</v>
      </c>
      <c r="E202">
        <v>4.9957389831542969</v>
      </c>
      <c r="F202">
        <v>0.43048501014709473</v>
      </c>
      <c r="G202">
        <v>9.619999885559082</v>
      </c>
      <c r="H202">
        <v>0</v>
      </c>
      <c r="I202">
        <v>31.799999237060547</v>
      </c>
      <c r="J202">
        <v>1251</v>
      </c>
    </row>
    <row r="203" spans="1:10" x14ac:dyDescent="0.25">
      <c r="A203">
        <v>4779</v>
      </c>
      <c r="B203" t="str">
        <v>Arunis Abode</v>
      </c>
      <c r="C203">
        <v>65.003082000000006</v>
      </c>
      <c r="D203">
        <v>50.979854583740234</v>
      </c>
      <c r="E203">
        <v>57.640415191650391</v>
      </c>
      <c r="F203">
        <v>1.1306509971618652</v>
      </c>
      <c r="G203">
        <v>289.04998779296875</v>
      </c>
      <c r="H203">
        <v>0.34000000357627869</v>
      </c>
      <c r="I203">
        <v>86.720001220703125</v>
      </c>
      <c r="J203">
        <v>1027</v>
      </c>
    </row>
    <row r="204" spans="1:10" x14ac:dyDescent="0.25">
      <c r="A204">
        <v>72051</v>
      </c>
      <c r="B204" t="str">
        <v>Arvind Fashions.</v>
      </c>
      <c r="C204">
        <v>8.9360339999999994</v>
      </c>
      <c r="D204">
        <v>312.535400390625</v>
      </c>
      <c r="E204">
        <v>130.83370971679688</v>
      </c>
      <c r="F204">
        <v>0.41861999034881592</v>
      </c>
      <c r="G204">
        <v>483.35000610351563</v>
      </c>
      <c r="H204">
        <v>5.9999998658895493E-2</v>
      </c>
      <c r="I204">
        <v>6334.81005859375</v>
      </c>
      <c r="J204">
        <v>1359</v>
      </c>
    </row>
    <row r="205" spans="1:10" x14ac:dyDescent="0.25">
      <c r="A205">
        <v>29</v>
      </c>
      <c r="B205" t="str">
        <v>Arvind Ltd</v>
      </c>
      <c r="C205">
        <v>40.966697000000003</v>
      </c>
      <c r="D205">
        <v>162.17926025390625</v>
      </c>
      <c r="E205">
        <v>124.06938934326172</v>
      </c>
      <c r="F205">
        <v>0.76501399278640747</v>
      </c>
      <c r="G205">
        <v>338.75</v>
      </c>
      <c r="H205">
        <v>0.40000000596046448</v>
      </c>
      <c r="I205">
        <v>8927.2998046875</v>
      </c>
      <c r="J205">
        <v>1359</v>
      </c>
    </row>
    <row r="206" spans="1:10" x14ac:dyDescent="0.25">
      <c r="A206">
        <v>40790</v>
      </c>
      <c r="B206" t="str">
        <v>Arvind SmartSp.</v>
      </c>
      <c r="C206">
        <v>39.365979000000003</v>
      </c>
      <c r="D206">
        <v>333.36898803710938</v>
      </c>
      <c r="E206">
        <v>255.51332092285156</v>
      </c>
      <c r="F206">
        <v>0.76645797491073608</v>
      </c>
      <c r="G206">
        <v>671.11248779296875</v>
      </c>
      <c r="H206">
        <v>0.10999999940395355</v>
      </c>
      <c r="I206">
        <v>3045.409912109375</v>
      </c>
      <c r="J206">
        <v>1359</v>
      </c>
    </row>
    <row r="207" spans="1:10" x14ac:dyDescent="0.25">
      <c r="A207">
        <v>4921</v>
      </c>
      <c r="B207" t="str">
        <v>Aryaman Fin.Serv</v>
      </c>
      <c r="C207">
        <v>52.038080999999998</v>
      </c>
      <c r="D207">
        <v>180.3712158203125</v>
      </c>
      <c r="E207">
        <v>159.10426330566406</v>
      </c>
      <c r="F207">
        <v>0.88209301233291626</v>
      </c>
      <c r="G207">
        <v>574.13751220703125</v>
      </c>
      <c r="H207">
        <v>0</v>
      </c>
      <c r="I207">
        <v>672.3599853515625</v>
      </c>
      <c r="J207">
        <v>1083</v>
      </c>
    </row>
    <row r="208" spans="1:10" x14ac:dyDescent="0.25">
      <c r="A208">
        <v>1024</v>
      </c>
      <c r="B208" t="str">
        <v>Asahi India Glas</v>
      </c>
      <c r="C208">
        <v>25.322372000000001</v>
      </c>
      <c r="D208">
        <v>471.27203369140625</v>
      </c>
      <c r="E208">
        <v>171.20321655273438</v>
      </c>
      <c r="F208">
        <v>0.36327901482582092</v>
      </c>
      <c r="G208">
        <v>766.1875</v>
      </c>
      <c r="H208">
        <v>0.72000002861022949</v>
      </c>
      <c r="I208">
        <v>17966.310546875</v>
      </c>
      <c r="J208">
        <v>1358</v>
      </c>
    </row>
    <row r="209" spans="1:10" x14ac:dyDescent="0.25">
      <c r="A209">
        <v>27740</v>
      </c>
      <c r="B209" t="str">
        <v>Asahi Songwon</v>
      </c>
      <c r="C209">
        <v>18.779558999999999</v>
      </c>
      <c r="D209">
        <v>288.91632080078125</v>
      </c>
      <c r="E209">
        <v>91.060409545898438</v>
      </c>
      <c r="F209">
        <v>0.31517899036407471</v>
      </c>
      <c r="G209">
        <v>422</v>
      </c>
      <c r="H209">
        <v>0.37999999523162842</v>
      </c>
      <c r="I209">
        <v>497.42001342773438</v>
      </c>
      <c r="J209">
        <v>1358</v>
      </c>
    </row>
    <row r="210" spans="1:10" x14ac:dyDescent="0.25">
      <c r="A210">
        <v>43397</v>
      </c>
      <c r="B210" t="str">
        <v>Ashapura Inti.</v>
      </c>
      <c r="C210">
        <v>157.49836199999999</v>
      </c>
      <c r="D210">
        <v>1.252500057220459</v>
      </c>
      <c r="E210">
        <v>4.9917001277208328E-2</v>
      </c>
      <c r="F210">
        <v>3.9854001253843307E-2</v>
      </c>
      <c r="G210">
        <v>1.2999999523162842</v>
      </c>
      <c r="H210">
        <v>0</v>
      </c>
      <c r="I210">
        <v>3.4000000953674316</v>
      </c>
      <c r="J210">
        <v>4</v>
      </c>
    </row>
    <row r="211" spans="1:10" x14ac:dyDescent="0.25">
      <c r="A211">
        <v>3111</v>
      </c>
      <c r="B211" t="str">
        <v>Ashapura Minech.</v>
      </c>
      <c r="C211">
        <v>51.292560999999999</v>
      </c>
      <c r="D211">
        <v>187.71453857421875</v>
      </c>
      <c r="E211">
        <v>132.21502685546875</v>
      </c>
      <c r="F211">
        <v>0.70434099435806274</v>
      </c>
      <c r="G211">
        <v>387.63751220703125</v>
      </c>
      <c r="H211">
        <v>0.41999998688697815</v>
      </c>
      <c r="I211">
        <v>3718.830078125</v>
      </c>
      <c r="J211">
        <v>1359</v>
      </c>
    </row>
    <row r="212" spans="1:10" x14ac:dyDescent="0.25">
      <c r="A212">
        <v>74017</v>
      </c>
      <c r="B212" t="str">
        <v>Ashapuri Gold</v>
      </c>
      <c r="C212">
        <v>14.947411000000001</v>
      </c>
      <c r="D212">
        <v>6.897305965423584</v>
      </c>
      <c r="E212">
        <v>2.4650380611419678</v>
      </c>
      <c r="F212">
        <v>0.35739099979400635</v>
      </c>
      <c r="G212">
        <v>6.630000114440918</v>
      </c>
      <c r="H212">
        <v>5.000000074505806E-2</v>
      </c>
      <c r="I212">
        <v>219.32000732421875</v>
      </c>
      <c r="J212">
        <v>1109</v>
      </c>
    </row>
    <row r="213" spans="1:10" x14ac:dyDescent="0.25">
      <c r="A213">
        <v>2352</v>
      </c>
      <c r="B213" t="str">
        <v>Ashiana Agro Ind</v>
      </c>
      <c r="C213">
        <v>69.454008000000002</v>
      </c>
      <c r="D213">
        <v>9.415623664855957</v>
      </c>
      <c r="E213">
        <v>4.1053380966186523</v>
      </c>
      <c r="F213">
        <v>0.43601301312446594</v>
      </c>
      <c r="G213">
        <v>9.4899997711181641</v>
      </c>
      <c r="H213">
        <v>0</v>
      </c>
      <c r="I213">
        <v>4.369999885559082</v>
      </c>
      <c r="J213">
        <v>1162</v>
      </c>
    </row>
    <row r="214" spans="1:10" x14ac:dyDescent="0.25">
      <c r="A214">
        <v>2769</v>
      </c>
      <c r="B214" t="str">
        <v>Ashiana Housing</v>
      </c>
      <c r="C214">
        <v>23.40513</v>
      </c>
      <c r="D214">
        <v>192.27915954589844</v>
      </c>
      <c r="E214">
        <v>96.676460266113281</v>
      </c>
      <c r="F214">
        <v>0.50279200077056885</v>
      </c>
      <c r="G214">
        <v>347.375</v>
      </c>
      <c r="H214">
        <v>0.2199999988079071</v>
      </c>
      <c r="I214">
        <v>3442.469970703125</v>
      </c>
      <c r="J214">
        <v>1359</v>
      </c>
    </row>
    <row r="215" spans="1:10" x14ac:dyDescent="0.25">
      <c r="A215">
        <v>20891</v>
      </c>
      <c r="B215" t="str">
        <v>Ashika Credit</v>
      </c>
      <c r="C215">
        <v>46.248080999999999</v>
      </c>
      <c r="D215">
        <v>120.09300994873047</v>
      </c>
      <c r="E215">
        <v>203.18238830566406</v>
      </c>
      <c r="F215">
        <v>1.6918749809265137</v>
      </c>
      <c r="G215">
        <v>397.375</v>
      </c>
      <c r="H215">
        <v>0.20000000298023224</v>
      </c>
      <c r="I215">
        <v>1411.6300048828125</v>
      </c>
      <c r="J215">
        <v>1358</v>
      </c>
    </row>
    <row r="216" spans="1:10" x14ac:dyDescent="0.25">
      <c r="A216">
        <v>3058</v>
      </c>
      <c r="B216" t="str">
        <v>Ashima</v>
      </c>
      <c r="C216">
        <v>27.155866</v>
      </c>
      <c r="D216">
        <v>17.734981536865234</v>
      </c>
      <c r="E216">
        <v>8.9248228073120117</v>
      </c>
      <c r="F216">
        <v>0.50323301553726196</v>
      </c>
      <c r="G216">
        <v>26.745000839233398</v>
      </c>
      <c r="H216">
        <v>0.25</v>
      </c>
      <c r="I216">
        <v>506.94000244140625</v>
      </c>
      <c r="J216">
        <v>1353</v>
      </c>
    </row>
    <row r="217" spans="1:10" x14ac:dyDescent="0.25">
      <c r="A217">
        <v>7651</v>
      </c>
      <c r="B217" t="str">
        <v>Ashirwad Cap.</v>
      </c>
      <c r="C217">
        <v>20.085909999999998</v>
      </c>
      <c r="D217">
        <v>2.7586159706115723</v>
      </c>
      <c r="E217">
        <v>1.3074460029602051</v>
      </c>
      <c r="F217">
        <v>0.47394999861717224</v>
      </c>
      <c r="G217">
        <v>3.9300000667572021</v>
      </c>
      <c r="H217">
        <v>0</v>
      </c>
      <c r="I217">
        <v>35.279998779296875</v>
      </c>
      <c r="J217">
        <v>1358</v>
      </c>
    </row>
    <row r="218" spans="1:10" x14ac:dyDescent="0.25">
      <c r="A218">
        <v>4845</v>
      </c>
      <c r="B218" t="str">
        <v>Ashirwad Steels</v>
      </c>
      <c r="C218">
        <v>33.657240999999999</v>
      </c>
      <c r="D218">
        <v>24.754974365234375</v>
      </c>
      <c r="E218">
        <v>13.278553009033203</v>
      </c>
      <c r="F218">
        <v>0.53639900684356689</v>
      </c>
      <c r="G218">
        <v>32.345001220703125</v>
      </c>
      <c r="H218">
        <v>0</v>
      </c>
      <c r="I218">
        <v>40.080001831054688</v>
      </c>
      <c r="J218">
        <v>1277</v>
      </c>
    </row>
    <row r="219" spans="1:10" x14ac:dyDescent="0.25">
      <c r="A219">
        <v>5028</v>
      </c>
      <c r="B219" t="str">
        <v>Ashish Polyplast</v>
      </c>
      <c r="C219">
        <v>46.340896000000001</v>
      </c>
      <c r="D219">
        <v>28.344459533691406</v>
      </c>
      <c r="E219">
        <v>18.230993270874023</v>
      </c>
      <c r="F219">
        <v>0.64319401979446411</v>
      </c>
      <c r="G219">
        <v>38.762500762939453</v>
      </c>
      <c r="H219">
        <v>0.15000000596046448</v>
      </c>
      <c r="I219">
        <v>12.600000381469727</v>
      </c>
      <c r="J219">
        <v>1112</v>
      </c>
    </row>
    <row r="220" spans="1:10" x14ac:dyDescent="0.25">
      <c r="A220">
        <v>68596</v>
      </c>
      <c r="B220" t="str">
        <v>Ashnisha Indus.</v>
      </c>
      <c r="C220">
        <v>37.700183000000003</v>
      </c>
      <c r="D220">
        <v>6.8164482116699219</v>
      </c>
      <c r="E220">
        <v>7.0406079292297363</v>
      </c>
      <c r="F220">
        <v>1.032884955406189</v>
      </c>
      <c r="G220">
        <v>3.3675000667572021</v>
      </c>
      <c r="H220">
        <v>0.10999999940395355</v>
      </c>
      <c r="I220">
        <v>34.139999389648438</v>
      </c>
      <c r="J220">
        <v>1096</v>
      </c>
    </row>
    <row r="221" spans="1:10" x14ac:dyDescent="0.25">
      <c r="A221">
        <v>31</v>
      </c>
      <c r="B221" t="str">
        <v>Ashok Leyland</v>
      </c>
      <c r="C221">
        <v>19.699663999999999</v>
      </c>
      <c r="D221">
        <v>147.64480590820313</v>
      </c>
      <c r="E221">
        <v>53.407695770263672</v>
      </c>
      <c r="F221">
        <v>0.36173099279403687</v>
      </c>
      <c r="G221">
        <v>233.21249389648438</v>
      </c>
      <c r="H221">
        <v>0.31999999284744263</v>
      </c>
      <c r="I221">
        <v>68347.671875</v>
      </c>
      <c r="J221">
        <v>1359</v>
      </c>
    </row>
    <row r="222" spans="1:10" x14ac:dyDescent="0.25">
      <c r="A222">
        <v>25513</v>
      </c>
      <c r="B222" t="str">
        <v>Ashoka Buildcon</v>
      </c>
      <c r="C222">
        <v>12.508084999999999</v>
      </c>
      <c r="D222">
        <v>122.58082580566406</v>
      </c>
      <c r="E222">
        <v>61.670276641845703</v>
      </c>
      <c r="F222">
        <v>0.50309902429580688</v>
      </c>
      <c r="G222">
        <v>202.23750305175781</v>
      </c>
      <c r="H222">
        <v>0.34999999403953552</v>
      </c>
      <c r="I222">
        <v>5582.18017578125</v>
      </c>
      <c r="J222">
        <v>1359</v>
      </c>
    </row>
    <row r="223" spans="1:10" x14ac:dyDescent="0.25">
      <c r="A223">
        <v>71813</v>
      </c>
      <c r="B223" t="str">
        <v>Ashoka Metcast</v>
      </c>
      <c r="C223">
        <v>34.558250999999998</v>
      </c>
      <c r="D223">
        <v>14.787245750427246</v>
      </c>
      <c r="E223">
        <v>8.0163736343383789</v>
      </c>
      <c r="F223">
        <v>0.5421140193939209</v>
      </c>
      <c r="G223">
        <v>17.215000152587891</v>
      </c>
      <c r="H223">
        <v>0</v>
      </c>
      <c r="I223">
        <v>43.139999389648438</v>
      </c>
      <c r="J223">
        <v>933</v>
      </c>
    </row>
    <row r="224" spans="1:10" x14ac:dyDescent="0.25">
      <c r="A224">
        <v>3199</v>
      </c>
      <c r="B224" t="str">
        <v>Ashram Online</v>
      </c>
      <c r="C224">
        <v>3.3598029999999999</v>
      </c>
      <c r="D224">
        <v>5.0471057891845703</v>
      </c>
      <c r="E224">
        <v>1.4102189540863037</v>
      </c>
      <c r="F224">
        <v>0.27941098809242249</v>
      </c>
      <c r="G224">
        <v>5.4000000953674316</v>
      </c>
      <c r="H224">
        <v>9.9999997764825821E-3</v>
      </c>
      <c r="I224">
        <v>6.4800000190734863</v>
      </c>
      <c r="J224">
        <v>1141</v>
      </c>
    </row>
    <row r="225" spans="1:10" x14ac:dyDescent="0.25">
      <c r="A225">
        <v>38</v>
      </c>
      <c r="B225" t="str">
        <v>Asi Industries</v>
      </c>
      <c r="C225">
        <v>19.817682000000001</v>
      </c>
      <c r="D225">
        <v>20.859687805175781</v>
      </c>
      <c r="E225">
        <v>11.047125816345215</v>
      </c>
      <c r="F225">
        <v>0.52959197759628296</v>
      </c>
      <c r="G225">
        <v>32.487499237060547</v>
      </c>
      <c r="H225">
        <v>0.12999999523162842</v>
      </c>
      <c r="I225">
        <v>290.85000610351563</v>
      </c>
      <c r="J225">
        <v>1359</v>
      </c>
    </row>
    <row r="226" spans="1:10" x14ac:dyDescent="0.25">
      <c r="A226">
        <v>5281</v>
      </c>
      <c r="B226" t="str">
        <v>Asia Pack</v>
      </c>
      <c r="C226">
        <v>27.230184999999999</v>
      </c>
      <c r="D226">
        <v>42.092521667480469</v>
      </c>
      <c r="E226">
        <v>26.969289779663086</v>
      </c>
      <c r="F226">
        <v>0.64071398973464966</v>
      </c>
      <c r="G226">
        <v>86.449996948242188</v>
      </c>
      <c r="H226">
        <v>0</v>
      </c>
      <c r="I226">
        <v>22.799999237060547</v>
      </c>
      <c r="J226">
        <v>764</v>
      </c>
    </row>
    <row r="227" spans="1:10" x14ac:dyDescent="0.25">
      <c r="A227">
        <v>4983</v>
      </c>
      <c r="B227" t="str">
        <v>Asian Energy</v>
      </c>
      <c r="C227">
        <v>20.311717999999999</v>
      </c>
      <c r="D227">
        <v>166.80203247070313</v>
      </c>
      <c r="E227">
        <v>99.007705688476563</v>
      </c>
      <c r="F227">
        <v>0.59356397390365601</v>
      </c>
      <c r="G227">
        <v>294.79998779296875</v>
      </c>
      <c r="H227">
        <v>0.10999999940395355</v>
      </c>
      <c r="I227">
        <v>1310.3199462890625</v>
      </c>
      <c r="J227">
        <v>1347</v>
      </c>
    </row>
    <row r="228" spans="1:10" x14ac:dyDescent="0.25">
      <c r="A228">
        <v>27798</v>
      </c>
      <c r="B228" t="str">
        <v>Asian Granito</v>
      </c>
      <c r="C228">
        <v>-12.988777000000001</v>
      </c>
      <c r="D228">
        <v>87.928932189941406</v>
      </c>
      <c r="E228">
        <v>40.976245880126953</v>
      </c>
      <c r="F228">
        <v>0.46601599454879761</v>
      </c>
      <c r="G228">
        <v>67.785003662109375</v>
      </c>
      <c r="H228">
        <v>5.9999998658895493E-2</v>
      </c>
      <c r="I228">
        <v>1005.9400024414063</v>
      </c>
      <c r="J228">
        <v>1359</v>
      </c>
    </row>
    <row r="229" spans="1:10" x14ac:dyDescent="0.25">
      <c r="A229">
        <v>32414</v>
      </c>
      <c r="B229" t="str">
        <v>Asian Hotels (E)</v>
      </c>
      <c r="C229">
        <v>4.2399709999999997</v>
      </c>
      <c r="D229">
        <v>129.76585388183594</v>
      </c>
      <c r="E229">
        <v>24.541080474853516</v>
      </c>
      <c r="F229">
        <v>0.18911799788475037</v>
      </c>
      <c r="G229">
        <v>148.3125</v>
      </c>
      <c r="H229">
        <v>0.5</v>
      </c>
      <c r="I229">
        <v>252.19999694824219</v>
      </c>
      <c r="J229">
        <v>1319</v>
      </c>
    </row>
    <row r="230" spans="1:10" x14ac:dyDescent="0.25">
      <c r="A230">
        <v>33</v>
      </c>
      <c r="B230" t="str">
        <v>Asian Hotels (N)</v>
      </c>
      <c r="C230">
        <v>23.872288000000001</v>
      </c>
      <c r="D230">
        <v>130.32965087890625</v>
      </c>
      <c r="E230">
        <v>84.434417724609375</v>
      </c>
      <c r="F230">
        <v>0.64785301685333252</v>
      </c>
      <c r="G230">
        <v>348.75</v>
      </c>
      <c r="H230">
        <v>0</v>
      </c>
      <c r="I230">
        <v>680.8599853515625</v>
      </c>
      <c r="J230">
        <v>1298</v>
      </c>
    </row>
    <row r="231" spans="1:10" x14ac:dyDescent="0.25">
      <c r="A231">
        <v>34</v>
      </c>
      <c r="B231" t="str">
        <v>Asian Paints</v>
      </c>
      <c r="C231">
        <v>4.3479460000000003</v>
      </c>
      <c r="D231">
        <v>2745.998046875</v>
      </c>
      <c r="E231">
        <v>521.344970703125</v>
      </c>
      <c r="F231">
        <v>0.18985599279403687</v>
      </c>
      <c r="G231">
        <v>2271.58740234375</v>
      </c>
      <c r="H231">
        <v>7.0000000298023224E-2</v>
      </c>
      <c r="I231">
        <v>217574.8125</v>
      </c>
      <c r="J231">
        <v>1359</v>
      </c>
    </row>
    <row r="232" spans="1:10" x14ac:dyDescent="0.25">
      <c r="A232">
        <v>5342</v>
      </c>
      <c r="B232" t="str">
        <v>Asian Star Co.</v>
      </c>
      <c r="C232">
        <v>-0.280165</v>
      </c>
      <c r="D232">
        <v>791.03765869140625</v>
      </c>
      <c r="E232">
        <v>78.860008239746094</v>
      </c>
      <c r="F232">
        <v>9.9692001938819885E-2</v>
      </c>
      <c r="G232">
        <v>746.5</v>
      </c>
      <c r="H232">
        <v>0.68000000715255737</v>
      </c>
      <c r="I232">
        <v>1168.5</v>
      </c>
      <c r="J232">
        <v>1125</v>
      </c>
    </row>
    <row r="233" spans="1:10" x14ac:dyDescent="0.25">
      <c r="A233">
        <v>4267</v>
      </c>
      <c r="B233" t="str">
        <v>Asian Tea &amp; Exp</v>
      </c>
      <c r="C233">
        <v>14.777993</v>
      </c>
      <c r="D233">
        <v>14.035194396972656</v>
      </c>
      <c r="E233">
        <v>3.528217077255249</v>
      </c>
      <c r="F233">
        <v>0.25138399004936218</v>
      </c>
      <c r="G233">
        <v>12.272500038146973</v>
      </c>
      <c r="H233">
        <v>0.43000000715255737</v>
      </c>
      <c r="I233">
        <v>24.139999389648438</v>
      </c>
      <c r="J233">
        <v>1288</v>
      </c>
    </row>
    <row r="234" spans="1:10" x14ac:dyDescent="0.25">
      <c r="A234">
        <v>74673</v>
      </c>
      <c r="B234" t="str">
        <v>Assam Entrade</v>
      </c>
      <c r="C234">
        <v>37.637231</v>
      </c>
      <c r="D234">
        <v>483.55789184570313</v>
      </c>
      <c r="E234">
        <v>222.65519714355469</v>
      </c>
      <c r="F234">
        <v>0.46045199036598206</v>
      </c>
      <c r="G234">
        <v>735.5250244140625</v>
      </c>
      <c r="H234">
        <v>1.9999999552965164E-2</v>
      </c>
      <c r="I234">
        <v>103.31999969482422</v>
      </c>
      <c r="J234">
        <v>632</v>
      </c>
    </row>
    <row r="235" spans="1:10" x14ac:dyDescent="0.25">
      <c r="A235">
        <v>4588</v>
      </c>
      <c r="B235" t="str">
        <v>Assoc.Alcohols</v>
      </c>
      <c r="C235">
        <v>32.985163999999997</v>
      </c>
      <c r="D235">
        <v>518.5238037109375</v>
      </c>
      <c r="E235">
        <v>273.892333984375</v>
      </c>
      <c r="F235">
        <v>0.52821600437164307</v>
      </c>
      <c r="G235">
        <v>1052.875</v>
      </c>
      <c r="H235">
        <v>0.25999999046325684</v>
      </c>
      <c r="I235">
        <v>2013.9100341796875</v>
      </c>
      <c r="J235">
        <v>1359</v>
      </c>
    </row>
    <row r="236" spans="1:10" x14ac:dyDescent="0.25">
      <c r="A236">
        <v>68392</v>
      </c>
      <c r="B236" t="str">
        <v>Aster DM Health.</v>
      </c>
      <c r="C236">
        <v>23.35736</v>
      </c>
      <c r="D236">
        <v>264.88897705078125</v>
      </c>
      <c r="E236">
        <v>125.39887237548828</v>
      </c>
      <c r="F236">
        <v>0.4734019935131073</v>
      </c>
      <c r="G236">
        <v>568.5999755859375</v>
      </c>
      <c r="H236">
        <v>0.23999999463558197</v>
      </c>
      <c r="I236">
        <v>29613.2109375</v>
      </c>
      <c r="J236">
        <v>1359</v>
      </c>
    </row>
    <row r="237" spans="1:10" x14ac:dyDescent="0.25">
      <c r="A237">
        <v>4472</v>
      </c>
      <c r="B237" t="str">
        <v>Astra Microwave</v>
      </c>
      <c r="C237">
        <v>50.618490999999999</v>
      </c>
      <c r="D237">
        <v>373.61505126953125</v>
      </c>
      <c r="E237">
        <v>278.16989135742188</v>
      </c>
      <c r="F237">
        <v>0.74453598260879517</v>
      </c>
      <c r="G237">
        <v>1127.012451171875</v>
      </c>
      <c r="H237">
        <v>0.23999999463558197</v>
      </c>
      <c r="I237">
        <v>10502.8203125</v>
      </c>
      <c r="J237">
        <v>1359</v>
      </c>
    </row>
    <row r="238" spans="1:10" x14ac:dyDescent="0.25">
      <c r="A238">
        <v>27655</v>
      </c>
      <c r="B238" t="str">
        <v>Astral</v>
      </c>
      <c r="C238">
        <v>15.920512</v>
      </c>
      <c r="D238">
        <v>1449.788818359375</v>
      </c>
      <c r="E238">
        <v>478.92987060546875</v>
      </c>
      <c r="F238">
        <v>0.33034500479698181</v>
      </c>
      <c r="G238">
        <v>1542.3875732421875</v>
      </c>
      <c r="H238">
        <v>9.9999997764825821E-3</v>
      </c>
      <c r="I238">
        <v>40828.44921875</v>
      </c>
      <c r="J238">
        <v>1359</v>
      </c>
    </row>
    <row r="239" spans="1:10" x14ac:dyDescent="0.25">
      <c r="A239">
        <v>39</v>
      </c>
      <c r="B239" t="str">
        <v>Astrazeneca Phar</v>
      </c>
      <c r="C239">
        <v>24.244261000000002</v>
      </c>
      <c r="D239">
        <v>4352.69482421875</v>
      </c>
      <c r="E239">
        <v>1713.9608154296875</v>
      </c>
      <c r="F239">
        <v>0.3937700092792511</v>
      </c>
      <c r="G239">
        <v>9529.162109375</v>
      </c>
      <c r="H239">
        <v>9.9999997764825821E-3</v>
      </c>
      <c r="I239">
        <v>23557.380859375</v>
      </c>
      <c r="J239">
        <v>1359</v>
      </c>
    </row>
    <row r="240" spans="1:10" x14ac:dyDescent="0.25">
      <c r="A240">
        <v>71063</v>
      </c>
      <c r="B240" t="str">
        <v>Astron Paper</v>
      </c>
      <c r="C240">
        <v>-15.488537000000001</v>
      </c>
      <c r="D240">
        <v>35.134914398193359</v>
      </c>
      <c r="E240">
        <v>12.183051109313965</v>
      </c>
      <c r="F240">
        <v>0.34675100445747375</v>
      </c>
      <c r="G240">
        <v>17.059999465942383</v>
      </c>
      <c r="H240">
        <v>0.5</v>
      </c>
      <c r="I240">
        <v>79.139999389648438</v>
      </c>
      <c r="J240">
        <v>1357</v>
      </c>
    </row>
    <row r="241" spans="1:10" x14ac:dyDescent="0.25">
      <c r="A241">
        <v>4897</v>
      </c>
      <c r="B241" t="str">
        <v>Atharv Enter</v>
      </c>
      <c r="C241">
        <v>24.362169999999999</v>
      </c>
      <c r="D241">
        <v>2.1468420028686523</v>
      </c>
      <c r="E241">
        <v>0.88407397270202637</v>
      </c>
      <c r="F241">
        <v>0.41180199384689331</v>
      </c>
      <c r="G241">
        <v>3.7174999713897705</v>
      </c>
      <c r="H241">
        <v>1.9999999552965164E-2</v>
      </c>
      <c r="I241">
        <v>6.2199997901916504</v>
      </c>
      <c r="J241">
        <v>1295</v>
      </c>
    </row>
    <row r="242" spans="1:10" x14ac:dyDescent="0.25">
      <c r="A242">
        <v>3736</v>
      </c>
      <c r="B242" t="str">
        <v>Athena Global</v>
      </c>
      <c r="C242">
        <v>14.872826999999999</v>
      </c>
      <c r="D242">
        <v>68.861091613769531</v>
      </c>
      <c r="E242">
        <v>23.66618537902832</v>
      </c>
      <c r="F242">
        <v>0.3436799943447113</v>
      </c>
      <c r="G242">
        <v>91.375</v>
      </c>
      <c r="H242">
        <v>0.68000000715255737</v>
      </c>
      <c r="I242">
        <v>126.80000305175781</v>
      </c>
      <c r="J242">
        <v>1206</v>
      </c>
    </row>
    <row r="243" spans="1:10" x14ac:dyDescent="0.25">
      <c r="A243">
        <v>45928</v>
      </c>
      <c r="B243" t="str">
        <v>Atishay</v>
      </c>
      <c r="C243">
        <v>19.530892000000001</v>
      </c>
      <c r="D243">
        <v>65.018440246582031</v>
      </c>
      <c r="E243">
        <v>53.935031890869141</v>
      </c>
      <c r="F243">
        <v>0.82953399419784546</v>
      </c>
      <c r="G243">
        <v>139.16250610351563</v>
      </c>
      <c r="H243">
        <v>7.0000000298023224E-2</v>
      </c>
      <c r="I243">
        <v>152.63999938964844</v>
      </c>
      <c r="J243">
        <v>1306</v>
      </c>
    </row>
    <row r="244" spans="1:10" x14ac:dyDescent="0.25">
      <c r="A244">
        <v>20422</v>
      </c>
      <c r="B244" t="str">
        <v>Atlantaa</v>
      </c>
      <c r="C244">
        <v>34.325344000000001</v>
      </c>
      <c r="D244">
        <v>20.413341522216797</v>
      </c>
      <c r="E244">
        <v>13.595438957214355</v>
      </c>
      <c r="F244">
        <v>0.66600799560546875</v>
      </c>
      <c r="G244">
        <v>36.134998321533203</v>
      </c>
      <c r="H244">
        <v>3.9999999105930328E-2</v>
      </c>
      <c r="I244">
        <v>288.35000610351563</v>
      </c>
      <c r="J244">
        <v>1357</v>
      </c>
    </row>
    <row r="245" spans="1:10" x14ac:dyDescent="0.25">
      <c r="A245">
        <v>42</v>
      </c>
      <c r="B245" t="str">
        <v>Atlas Cycles</v>
      </c>
      <c r="C245">
        <v>17.102967</v>
      </c>
      <c r="D245">
        <v>62.391384124755859</v>
      </c>
      <c r="E245">
        <v>36.002315521240234</v>
      </c>
      <c r="F245">
        <v>0.57704001665115356</v>
      </c>
      <c r="G245">
        <v>126.25</v>
      </c>
      <c r="H245">
        <v>0</v>
      </c>
      <c r="I245">
        <v>81.529998779296875</v>
      </c>
      <c r="J245">
        <v>401</v>
      </c>
    </row>
    <row r="246" spans="1:10" x14ac:dyDescent="0.25">
      <c r="A246">
        <v>3942</v>
      </c>
      <c r="B246" t="str">
        <v>Atlas Jewellery</v>
      </c>
      <c r="C246">
        <v>-32.493236000000003</v>
      </c>
      <c r="D246">
        <v>36.206787109375</v>
      </c>
      <c r="E246">
        <v>13.15111255645752</v>
      </c>
      <c r="F246">
        <v>0.36322200298309326</v>
      </c>
      <c r="G246">
        <v>9.5225000381469727</v>
      </c>
      <c r="H246">
        <v>0</v>
      </c>
      <c r="I246">
        <v>93.30999755859375</v>
      </c>
      <c r="J246">
        <v>759</v>
      </c>
    </row>
    <row r="247" spans="1:10" x14ac:dyDescent="0.25">
      <c r="A247">
        <v>43</v>
      </c>
      <c r="B247" t="str">
        <v>Atul</v>
      </c>
      <c r="C247">
        <v>10.138961999999999</v>
      </c>
      <c r="D247">
        <v>7172.5048828125</v>
      </c>
      <c r="E247">
        <v>1489.2119140625</v>
      </c>
      <c r="F247">
        <v>0.20762799680233002</v>
      </c>
      <c r="G247">
        <v>7037.5625</v>
      </c>
      <c r="H247">
        <v>0</v>
      </c>
      <c r="I247">
        <v>20618.650390625</v>
      </c>
      <c r="J247">
        <v>1359</v>
      </c>
    </row>
    <row r="248" spans="1:10" x14ac:dyDescent="0.25">
      <c r="A248">
        <v>14817</v>
      </c>
      <c r="B248" t="str">
        <v>Atul Auto</v>
      </c>
      <c r="C248">
        <v>10.358506999999999</v>
      </c>
      <c r="D248">
        <v>338.44033813476563</v>
      </c>
      <c r="E248">
        <v>178.02818298339844</v>
      </c>
      <c r="F248">
        <v>0.52602499723434448</v>
      </c>
      <c r="G248">
        <v>442.60000610351563</v>
      </c>
      <c r="H248">
        <v>5.000000074505806E-2</v>
      </c>
      <c r="I248">
        <v>1219.1099853515625</v>
      </c>
      <c r="J248">
        <v>1359</v>
      </c>
    </row>
    <row r="249" spans="1:10" x14ac:dyDescent="0.25">
      <c r="A249">
        <v>8040</v>
      </c>
      <c r="B249" t="str">
        <v>Aurionpro Sol.</v>
      </c>
      <c r="C249">
        <v>76.883268999999999</v>
      </c>
      <c r="D249">
        <v>525.195068359375</v>
      </c>
      <c r="E249">
        <v>599.117431640625</v>
      </c>
      <c r="F249">
        <v>1.1407519578933716</v>
      </c>
      <c r="G249">
        <v>1350.762451171875</v>
      </c>
      <c r="H249">
        <v>0.15000000596046448</v>
      </c>
      <c r="I249">
        <v>7377.35986328125</v>
      </c>
      <c r="J249">
        <v>1355</v>
      </c>
    </row>
    <row r="250" spans="1:10" x14ac:dyDescent="0.25">
      <c r="A250">
        <v>4899</v>
      </c>
      <c r="B250" t="str">
        <v>Auro Labs.</v>
      </c>
      <c r="C250">
        <v>32.102134999999997</v>
      </c>
      <c r="D250">
        <v>120.39734649658203</v>
      </c>
      <c r="E250">
        <v>64.15374755859375</v>
      </c>
      <c r="F250">
        <v>0.53285002708435059</v>
      </c>
      <c r="G250">
        <v>260.0625</v>
      </c>
      <c r="H250">
        <v>0.43000000715255737</v>
      </c>
      <c r="I250">
        <v>161.69999694824219</v>
      </c>
      <c r="J250">
        <v>1358</v>
      </c>
    </row>
    <row r="251" spans="1:10" x14ac:dyDescent="0.25">
      <c r="A251">
        <v>4666</v>
      </c>
      <c r="B251" t="str">
        <v>Aurobindo Pharma</v>
      </c>
      <c r="C251">
        <v>16.181607</v>
      </c>
      <c r="D251">
        <v>850.5123291015625</v>
      </c>
      <c r="E251">
        <v>286.96481323242188</v>
      </c>
      <c r="F251">
        <v>0.33740198612213135</v>
      </c>
      <c r="G251">
        <v>1094.300048828125</v>
      </c>
      <c r="H251">
        <v>0.18999999761581421</v>
      </c>
      <c r="I251">
        <v>63471.80078125</v>
      </c>
      <c r="J251">
        <v>1359</v>
      </c>
    </row>
    <row r="252" spans="1:10" x14ac:dyDescent="0.25">
      <c r="A252">
        <v>12891</v>
      </c>
      <c r="B252" t="str">
        <v>Auroma Coke</v>
      </c>
      <c r="C252">
        <v>-10.062671999999999</v>
      </c>
      <c r="D252">
        <v>6.1487741470336914</v>
      </c>
      <c r="E252">
        <v>1.6467609405517578</v>
      </c>
      <c r="F252">
        <v>0.26781898736953735</v>
      </c>
      <c r="G252">
        <v>6.2699999809265137</v>
      </c>
      <c r="H252">
        <v>0.69999998807907104</v>
      </c>
      <c r="I252">
        <v>3.9600000381469727</v>
      </c>
      <c r="J252">
        <v>253</v>
      </c>
    </row>
    <row r="253" spans="1:10" x14ac:dyDescent="0.25">
      <c r="A253">
        <v>45914</v>
      </c>
      <c r="B253" t="str">
        <v>Aurum Proptech</v>
      </c>
      <c r="C253">
        <v>-5.6534740000000001</v>
      </c>
      <c r="D253">
        <v>175.55783081054688</v>
      </c>
      <c r="E253">
        <v>141.25196838378906</v>
      </c>
      <c r="F253">
        <v>0.80458897352218628</v>
      </c>
      <c r="G253">
        <v>201.96249389648438</v>
      </c>
      <c r="H253">
        <v>0.33000001311302185</v>
      </c>
      <c r="I253">
        <v>1383.469970703125</v>
      </c>
      <c r="J253">
        <v>1359</v>
      </c>
    </row>
    <row r="254" spans="1:10" x14ac:dyDescent="0.25">
      <c r="A254">
        <v>2386</v>
      </c>
      <c r="B254" t="str">
        <v>Ausom Enter.</v>
      </c>
      <c r="C254">
        <v>21.323798</v>
      </c>
      <c r="D254">
        <v>71.577598571777344</v>
      </c>
      <c r="E254">
        <v>23.001840591430664</v>
      </c>
      <c r="F254">
        <v>0.32135498523712158</v>
      </c>
      <c r="G254">
        <v>111.82499694824219</v>
      </c>
      <c r="H254">
        <v>0.23999999463558197</v>
      </c>
      <c r="I254">
        <v>151.11000061035156</v>
      </c>
      <c r="J254">
        <v>1337</v>
      </c>
    </row>
    <row r="255" spans="1:10" x14ac:dyDescent="0.25">
      <c r="A255">
        <v>823</v>
      </c>
      <c r="B255" t="str">
        <v>Austin Engg Co</v>
      </c>
      <c r="C255">
        <v>23.422939</v>
      </c>
      <c r="D255">
        <v>114.08107757568359</v>
      </c>
      <c r="E255">
        <v>68.231193542480469</v>
      </c>
      <c r="F255">
        <v>0.59809398651123047</v>
      </c>
      <c r="G255">
        <v>145.57499694824219</v>
      </c>
      <c r="H255">
        <v>9.9999997764825821E-3</v>
      </c>
      <c r="I255">
        <v>51.049999237060547</v>
      </c>
      <c r="J255">
        <v>1344</v>
      </c>
    </row>
    <row r="256" spans="1:10" x14ac:dyDescent="0.25">
      <c r="A256">
        <v>31631</v>
      </c>
      <c r="B256" t="str">
        <v>Authum Invest</v>
      </c>
      <c r="C256">
        <v>121.15625799999999</v>
      </c>
      <c r="D256">
        <v>518.0816650390625</v>
      </c>
      <c r="E256">
        <v>625.816162109375</v>
      </c>
      <c r="F256">
        <v>1.2079490423202515</v>
      </c>
      <c r="G256">
        <v>2545.262451171875</v>
      </c>
      <c r="H256">
        <v>0.14000000059604645</v>
      </c>
      <c r="I256">
        <v>43446.37890625</v>
      </c>
      <c r="J256">
        <v>1326</v>
      </c>
    </row>
    <row r="257" spans="1:10" x14ac:dyDescent="0.25">
      <c r="A257">
        <v>44</v>
      </c>
      <c r="B257" t="str">
        <v>Auto.Corp.of Goa</v>
      </c>
      <c r="C257">
        <v>21.680060999999998</v>
      </c>
      <c r="D257">
        <v>1088.0113525390625</v>
      </c>
      <c r="E257">
        <v>691.86474609375</v>
      </c>
      <c r="F257">
        <v>0.63589799404144287</v>
      </c>
      <c r="G257">
        <v>1765</v>
      </c>
      <c r="H257">
        <v>0.31000000238418579</v>
      </c>
      <c r="I257">
        <v>1066.1199951171875</v>
      </c>
      <c r="J257">
        <v>1359</v>
      </c>
    </row>
    <row r="258" spans="1:10" x14ac:dyDescent="0.25">
      <c r="A258">
        <v>622</v>
      </c>
      <c r="B258" t="str">
        <v>Automotive Axles</v>
      </c>
      <c r="C258">
        <v>14.571012</v>
      </c>
      <c r="D258">
        <v>1585.7833251953125</v>
      </c>
      <c r="E258">
        <v>564.8773193359375</v>
      </c>
      <c r="F258">
        <v>0.35621300339698792</v>
      </c>
      <c r="G258">
        <v>1804.449951171875</v>
      </c>
      <c r="H258">
        <v>2.9999999329447746E-2</v>
      </c>
      <c r="I258">
        <v>2688.300048828125</v>
      </c>
      <c r="J258">
        <v>1359</v>
      </c>
    </row>
    <row r="259" spans="1:10" x14ac:dyDescent="0.25">
      <c r="A259">
        <v>3624</v>
      </c>
      <c r="B259" t="str">
        <v>Automotive Stamp</v>
      </c>
      <c r="C259">
        <v>56.764470000000003</v>
      </c>
      <c r="D259">
        <v>355.73504638671875</v>
      </c>
      <c r="E259">
        <v>275.07302856445313</v>
      </c>
      <c r="F259">
        <v>0.77325302362442017</v>
      </c>
      <c r="G259">
        <v>572.38739013671875</v>
      </c>
      <c r="H259">
        <v>0</v>
      </c>
      <c r="I259">
        <v>910.91998291015625</v>
      </c>
      <c r="J259">
        <v>1344</v>
      </c>
    </row>
    <row r="260" spans="1:10" x14ac:dyDescent="0.25">
      <c r="A260">
        <v>7580</v>
      </c>
      <c r="B260" t="str">
        <v>Avance Tech.</v>
      </c>
      <c r="C260">
        <v>72.384642999999997</v>
      </c>
      <c r="D260">
        <v>0.58187198638916016</v>
      </c>
      <c r="E260">
        <v>0.43046298623085022</v>
      </c>
      <c r="F260">
        <v>0.73979002237319946</v>
      </c>
      <c r="G260">
        <v>0.75499999523162842</v>
      </c>
      <c r="H260">
        <v>0</v>
      </c>
      <c r="I260">
        <v>148.63999938964844</v>
      </c>
      <c r="J260">
        <v>697</v>
      </c>
    </row>
    <row r="261" spans="1:10" x14ac:dyDescent="0.25">
      <c r="A261">
        <v>20881</v>
      </c>
      <c r="B261" t="str">
        <v>Avantel</v>
      </c>
      <c r="C261">
        <v>68.045437000000007</v>
      </c>
      <c r="D261">
        <v>52.844112396240234</v>
      </c>
      <c r="E261">
        <v>57.092189788818359</v>
      </c>
      <c r="F261">
        <v>1.0803890228271484</v>
      </c>
      <c r="G261">
        <v>154.39999389648438</v>
      </c>
      <c r="H261">
        <v>0.10000000149011612</v>
      </c>
      <c r="I261">
        <v>4079.090087890625</v>
      </c>
      <c r="J261">
        <v>1359</v>
      </c>
    </row>
    <row r="262" spans="1:10" x14ac:dyDescent="0.25">
      <c r="A262">
        <v>3852</v>
      </c>
      <c r="B262" t="str">
        <v>Avanti Feeds</v>
      </c>
      <c r="C262">
        <v>4.1596130000000002</v>
      </c>
      <c r="D262">
        <v>519.08135986328125</v>
      </c>
      <c r="E262">
        <v>120.70259094238281</v>
      </c>
      <c r="F262">
        <v>0.23253099620342255</v>
      </c>
      <c r="G262">
        <v>753.92498779296875</v>
      </c>
      <c r="H262">
        <v>0</v>
      </c>
      <c r="I262">
        <v>10240.900390625</v>
      </c>
      <c r="J262">
        <v>1359</v>
      </c>
    </row>
    <row r="263" spans="1:10" x14ac:dyDescent="0.25">
      <c r="A263">
        <v>40942</v>
      </c>
      <c r="B263" t="str">
        <v>Avenue Super.</v>
      </c>
      <c r="C263">
        <v>15.397551999999999</v>
      </c>
      <c r="D263">
        <v>3623.10009765625</v>
      </c>
      <c r="E263">
        <v>840.18017578125</v>
      </c>
      <c r="F263">
        <v>0.23189499974250793</v>
      </c>
      <c r="G263">
        <v>4210.35009765625</v>
      </c>
      <c r="H263">
        <v>2.9999999329447746E-2</v>
      </c>
      <c r="I263">
        <v>273207.03125</v>
      </c>
      <c r="J263">
        <v>1359</v>
      </c>
    </row>
    <row r="264" spans="1:10" x14ac:dyDescent="0.25">
      <c r="A264">
        <v>1686</v>
      </c>
      <c r="B264" t="str">
        <v>Avishkar Infra</v>
      </c>
      <c r="C264">
        <v>35.533391999999999</v>
      </c>
      <c r="D264">
        <v>25.883398056030273</v>
      </c>
      <c r="E264">
        <v>16.370033264160156</v>
      </c>
      <c r="F264">
        <v>0.63245302438735962</v>
      </c>
      <c r="G264">
        <v>70.25</v>
      </c>
      <c r="H264">
        <v>0</v>
      </c>
      <c r="I264">
        <v>157.3800048828125</v>
      </c>
      <c r="J264">
        <v>167</v>
      </c>
    </row>
    <row r="265" spans="1:10" x14ac:dyDescent="0.25">
      <c r="A265">
        <v>1484</v>
      </c>
      <c r="B265" t="str">
        <v>Aviva Industries</v>
      </c>
      <c r="C265">
        <v>28.388683</v>
      </c>
      <c r="D265">
        <v>23.239934921264648</v>
      </c>
      <c r="E265">
        <v>9.9296989440917969</v>
      </c>
      <c r="F265">
        <v>0.42726901173591614</v>
      </c>
      <c r="G265">
        <v>54.25</v>
      </c>
      <c r="H265">
        <v>0.23999999463558197</v>
      </c>
      <c r="I265">
        <v>8.130000114440918</v>
      </c>
      <c r="J265">
        <v>339</v>
      </c>
    </row>
    <row r="266" spans="1:10" x14ac:dyDescent="0.25">
      <c r="A266">
        <v>4299</v>
      </c>
      <c r="B266" t="str">
        <v>Avonmore Capital</v>
      </c>
      <c r="C266">
        <v>57.317168000000002</v>
      </c>
      <c r="D266">
        <v>7.4111919403076172</v>
      </c>
      <c r="E266">
        <v>5.7860021591186523</v>
      </c>
      <c r="F266">
        <v>0.78071099519729614</v>
      </c>
      <c r="G266">
        <v>17.850000381469727</v>
      </c>
      <c r="H266">
        <v>0.9100000262260437</v>
      </c>
      <c r="I266">
        <v>499.75</v>
      </c>
      <c r="J266">
        <v>1359</v>
      </c>
    </row>
    <row r="267" spans="1:10" x14ac:dyDescent="0.25">
      <c r="A267">
        <v>5554</v>
      </c>
      <c r="B267" t="str">
        <v>Axis Bank</v>
      </c>
      <c r="C267">
        <v>8.9117189999999997</v>
      </c>
      <c r="D267">
        <v>844.77392578125</v>
      </c>
      <c r="E267">
        <v>233.96841430664063</v>
      </c>
      <c r="F267">
        <v>0.27695998549461365</v>
      </c>
      <c r="G267">
        <v>1219.2750244140625</v>
      </c>
      <c r="H267">
        <v>0</v>
      </c>
      <c r="I267">
        <v>377487.09375</v>
      </c>
      <c r="J267">
        <v>1359</v>
      </c>
    </row>
    <row r="268" spans="1:10" x14ac:dyDescent="0.25">
      <c r="A268">
        <v>73581</v>
      </c>
      <c r="B268" t="str">
        <v>Axita Cotton</v>
      </c>
      <c r="C268">
        <v>30.842444</v>
      </c>
      <c r="D268">
        <v>12.610776901245117</v>
      </c>
      <c r="E268">
        <v>8.917567253112793</v>
      </c>
      <c r="F268">
        <v>0.70713901519775391</v>
      </c>
      <c r="G268">
        <v>9.0299997329711914</v>
      </c>
      <c r="H268">
        <v>0.27000001072883606</v>
      </c>
      <c r="I268">
        <v>313.69000244140625</v>
      </c>
      <c r="J268">
        <v>1151</v>
      </c>
    </row>
    <row r="269" spans="1:10" x14ac:dyDescent="0.25">
      <c r="A269">
        <v>2905</v>
      </c>
      <c r="B269" t="str">
        <v>Axtel Industries</v>
      </c>
      <c r="C269">
        <v>28.186361000000002</v>
      </c>
      <c r="D269">
        <v>346.13653564453125</v>
      </c>
      <c r="E269">
        <v>160.72161865234375</v>
      </c>
      <c r="F269">
        <v>0.46432998776435852</v>
      </c>
      <c r="G269">
        <v>471.16250610351563</v>
      </c>
      <c r="H269">
        <v>0</v>
      </c>
      <c r="I269">
        <v>760.969970703125</v>
      </c>
      <c r="J269">
        <v>1359</v>
      </c>
    </row>
    <row r="270" spans="1:10" x14ac:dyDescent="0.25">
      <c r="A270">
        <v>5806</v>
      </c>
      <c r="B270" t="str">
        <v>Azad India</v>
      </c>
      <c r="C270">
        <v>40.463510999999997</v>
      </c>
      <c r="D270">
        <v>68.938346862792969</v>
      </c>
      <c r="E270">
        <v>61.562385559082031</v>
      </c>
      <c r="F270">
        <v>0.89300602674484253</v>
      </c>
      <c r="G270">
        <v>145.47500610351563</v>
      </c>
      <c r="H270">
        <v>0</v>
      </c>
      <c r="I270">
        <v>580.27001953125</v>
      </c>
      <c r="J270">
        <v>917</v>
      </c>
    </row>
    <row r="271" spans="1:10" x14ac:dyDescent="0.25">
      <c r="A271">
        <v>814</v>
      </c>
      <c r="B271" t="str">
        <v>B &amp; A</v>
      </c>
      <c r="C271">
        <v>21.674156</v>
      </c>
      <c r="D271">
        <v>310.48953247070313</v>
      </c>
      <c r="E271">
        <v>152.28604125976563</v>
      </c>
      <c r="F271">
        <v>0.4904710054397583</v>
      </c>
      <c r="G271">
        <v>445.875</v>
      </c>
      <c r="H271">
        <v>0.40000000596046448</v>
      </c>
      <c r="I271">
        <v>138.08999633789063</v>
      </c>
      <c r="J271">
        <v>1325</v>
      </c>
    </row>
    <row r="272" spans="1:10" x14ac:dyDescent="0.25">
      <c r="A272">
        <v>1923</v>
      </c>
      <c r="B272" t="str">
        <v>B C C Fuba India</v>
      </c>
      <c r="C272">
        <v>61.037092999999999</v>
      </c>
      <c r="D272">
        <v>41.834854125976563</v>
      </c>
      <c r="E272">
        <v>36.0845947265625</v>
      </c>
      <c r="F272">
        <v>0.86254799365997314</v>
      </c>
      <c r="G272">
        <v>116.80000305175781</v>
      </c>
      <c r="H272">
        <v>0.44999998807907104</v>
      </c>
      <c r="I272">
        <v>176.30000305175781</v>
      </c>
      <c r="J272">
        <v>1286</v>
      </c>
    </row>
    <row r="273" spans="1:10" x14ac:dyDescent="0.25">
      <c r="A273">
        <v>2306</v>
      </c>
      <c r="B273" t="str">
        <v>B H E L</v>
      </c>
      <c r="C273">
        <v>33.121023000000001</v>
      </c>
      <c r="D273">
        <v>112.76738739013672</v>
      </c>
      <c r="E273">
        <v>88.5244140625</v>
      </c>
      <c r="F273">
        <v>0.78501802682876587</v>
      </c>
      <c r="G273">
        <v>248.72500610351563</v>
      </c>
      <c r="H273">
        <v>0.28999999165534973</v>
      </c>
      <c r="I273">
        <v>86024.3828125</v>
      </c>
      <c r="J273">
        <v>1359</v>
      </c>
    </row>
    <row r="274" spans="1:10" x14ac:dyDescent="0.25">
      <c r="A274">
        <v>2374</v>
      </c>
      <c r="B274" t="str">
        <v>B N Rathi Sec.</v>
      </c>
      <c r="C274">
        <v>35.457720999999999</v>
      </c>
      <c r="D274">
        <v>15.312675476074219</v>
      </c>
      <c r="E274">
        <v>13.764554977416992</v>
      </c>
      <c r="F274">
        <v>0.89889901876449585</v>
      </c>
      <c r="G274">
        <v>23.417499542236328</v>
      </c>
      <c r="H274">
        <v>0</v>
      </c>
      <c r="I274">
        <v>97.529998779296875</v>
      </c>
      <c r="J274">
        <v>1355</v>
      </c>
    </row>
    <row r="275" spans="1:10" x14ac:dyDescent="0.25">
      <c r="A275">
        <v>2290</v>
      </c>
      <c r="B275" t="str">
        <v>B P C L</v>
      </c>
      <c r="C275">
        <v>4.5261019999999998</v>
      </c>
      <c r="D275">
        <v>220.72116088867188</v>
      </c>
      <c r="E275">
        <v>55.695411682128906</v>
      </c>
      <c r="F275">
        <v>0.25233399868011475</v>
      </c>
      <c r="G275">
        <v>314.35000610351563</v>
      </c>
      <c r="H275">
        <v>0.56999999284744263</v>
      </c>
      <c r="I275">
        <v>135925.375</v>
      </c>
      <c r="J275">
        <v>1359</v>
      </c>
    </row>
    <row r="276" spans="1:10" x14ac:dyDescent="0.25">
      <c r="A276">
        <v>44227</v>
      </c>
      <c r="B276" t="str">
        <v>B.C. Power</v>
      </c>
      <c r="C276">
        <v>-35.339965999999997</v>
      </c>
      <c r="D276">
        <v>5.3597240447998047</v>
      </c>
      <c r="E276">
        <v>3.2496790885925293</v>
      </c>
      <c r="F276">
        <v>0.606315016746521</v>
      </c>
      <c r="G276">
        <v>2.0225000381469727</v>
      </c>
      <c r="H276">
        <v>9.9999997764825821E-3</v>
      </c>
      <c r="I276">
        <v>14.029999732971191</v>
      </c>
      <c r="J276">
        <v>1359</v>
      </c>
    </row>
    <row r="277" spans="1:10" x14ac:dyDescent="0.25">
      <c r="A277">
        <v>27242</v>
      </c>
      <c r="B277" t="str">
        <v>B.L.Kashyap</v>
      </c>
      <c r="C277">
        <v>37.872343999999998</v>
      </c>
      <c r="D277">
        <v>38.838840484619141</v>
      </c>
      <c r="E277">
        <v>28.063091278076172</v>
      </c>
      <c r="F277">
        <v>0.72255200147628784</v>
      </c>
      <c r="G277">
        <v>65.62249755859375</v>
      </c>
      <c r="H277">
        <v>0.46000000834465027</v>
      </c>
      <c r="I277">
        <v>1453.6400146484375</v>
      </c>
      <c r="J277">
        <v>1357</v>
      </c>
    </row>
    <row r="278" spans="1:10" x14ac:dyDescent="0.25">
      <c r="A278">
        <v>6333</v>
      </c>
      <c r="B278" t="str">
        <v>B2B Soft.Tech.</v>
      </c>
      <c r="C278">
        <v>20.543534000000001</v>
      </c>
      <c r="D278">
        <v>28.654268264770508</v>
      </c>
      <c r="E278">
        <v>10.016944885253906</v>
      </c>
      <c r="F278">
        <v>0.34957998991012573</v>
      </c>
      <c r="G278">
        <v>29.907499313354492</v>
      </c>
      <c r="H278">
        <v>0</v>
      </c>
      <c r="I278">
        <v>33.270000457763672</v>
      </c>
      <c r="J278">
        <v>1266</v>
      </c>
    </row>
    <row r="279" spans="1:10" x14ac:dyDescent="0.25">
      <c r="A279">
        <v>23037</v>
      </c>
      <c r="B279" t="str">
        <v>BAG Films</v>
      </c>
      <c r="C279">
        <v>25.482120999999999</v>
      </c>
      <c r="D279">
        <v>5.4848060607910156</v>
      </c>
      <c r="E279">
        <v>2.8685619831085205</v>
      </c>
      <c r="F279">
        <v>0.523002028465271</v>
      </c>
      <c r="G279">
        <v>7.3600001335144043</v>
      </c>
      <c r="H279">
        <v>0.14000000059604645</v>
      </c>
      <c r="I279">
        <v>142.89999389648438</v>
      </c>
      <c r="J279">
        <v>1356</v>
      </c>
    </row>
    <row r="280" spans="1:10" x14ac:dyDescent="0.25">
      <c r="A280">
        <v>14392</v>
      </c>
      <c r="B280" t="str">
        <v>BAMPSL Sec.</v>
      </c>
      <c r="C280">
        <v>59.442484999999998</v>
      </c>
      <c r="D280">
        <v>6.8812661170959473</v>
      </c>
      <c r="E280">
        <v>4.6511111259460449</v>
      </c>
      <c r="F280">
        <v>0.67590898275375366</v>
      </c>
      <c r="G280">
        <v>18.459999084472656</v>
      </c>
      <c r="H280">
        <v>0</v>
      </c>
      <c r="I280">
        <v>62.150001525878906</v>
      </c>
      <c r="J280">
        <v>1315</v>
      </c>
    </row>
    <row r="281" spans="1:10" x14ac:dyDescent="0.25">
      <c r="A281">
        <v>59</v>
      </c>
      <c r="B281" t="str">
        <v>BASF India</v>
      </c>
      <c r="C281">
        <v>30.397317999999999</v>
      </c>
      <c r="D281">
        <v>3045.266357421875</v>
      </c>
      <c r="E281">
        <v>1530.1171875</v>
      </c>
      <c r="F281">
        <v>0.50245797634124756</v>
      </c>
      <c r="G281">
        <v>4971.9248046875</v>
      </c>
      <c r="H281">
        <v>3.9999999105930328E-2</v>
      </c>
      <c r="I281">
        <v>21250.220703125</v>
      </c>
      <c r="J281">
        <v>1359</v>
      </c>
    </row>
    <row r="282" spans="1:10" x14ac:dyDescent="0.25">
      <c r="A282">
        <v>26812</v>
      </c>
      <c r="B282" t="str">
        <v>BCL Enterprises</v>
      </c>
      <c r="C282">
        <v>2.1720899999999999</v>
      </c>
      <c r="D282">
        <v>1.1667449474334717</v>
      </c>
      <c r="E282">
        <v>0.73243099451065063</v>
      </c>
      <c r="F282">
        <v>0.62775599956512451</v>
      </c>
      <c r="G282">
        <v>0.85000002384185791</v>
      </c>
      <c r="H282">
        <v>3.9999999105930328E-2</v>
      </c>
      <c r="I282">
        <v>9.6800003051757813</v>
      </c>
      <c r="J282">
        <v>1294</v>
      </c>
    </row>
    <row r="283" spans="1:10" x14ac:dyDescent="0.25">
      <c r="A283">
        <v>2934</v>
      </c>
      <c r="B283" t="str">
        <v>BCL Industries</v>
      </c>
      <c r="C283">
        <v>32.050604</v>
      </c>
      <c r="D283">
        <v>34.944004058837891</v>
      </c>
      <c r="E283">
        <v>20.047178268432617</v>
      </c>
      <c r="F283">
        <v>0.57369399070739746</v>
      </c>
      <c r="G283">
        <v>40.977500915527344</v>
      </c>
      <c r="H283">
        <v>0.60000002384185791</v>
      </c>
      <c r="I283">
        <v>1195.7099609375</v>
      </c>
      <c r="J283">
        <v>1359</v>
      </c>
    </row>
    <row r="284" spans="1:10" x14ac:dyDescent="0.25">
      <c r="A284">
        <v>73229</v>
      </c>
      <c r="B284" t="str">
        <v>BCPL Railway</v>
      </c>
      <c r="C284">
        <v>14.439246000000001</v>
      </c>
      <c r="D284">
        <v>66.408424377441406</v>
      </c>
      <c r="E284">
        <v>26.28411865234375</v>
      </c>
      <c r="F284">
        <v>0.39579498767852783</v>
      </c>
      <c r="G284">
        <v>88.917503356933594</v>
      </c>
      <c r="H284">
        <v>0.10999999940395355</v>
      </c>
      <c r="I284">
        <v>147.94999694824219</v>
      </c>
      <c r="J284">
        <v>1221</v>
      </c>
    </row>
    <row r="285" spans="1:10" x14ac:dyDescent="0.25">
      <c r="A285">
        <v>4720</v>
      </c>
      <c r="B285" t="str">
        <v>BDH Industries</v>
      </c>
      <c r="C285">
        <v>26.403247</v>
      </c>
      <c r="D285">
        <v>172.73045349121094</v>
      </c>
      <c r="E285">
        <v>93.830917358398438</v>
      </c>
      <c r="F285">
        <v>0.54322201013565063</v>
      </c>
      <c r="G285">
        <v>265.32501220703125</v>
      </c>
      <c r="H285">
        <v>0.11999999731779099</v>
      </c>
      <c r="I285">
        <v>150.6199951171875</v>
      </c>
      <c r="J285">
        <v>1357</v>
      </c>
    </row>
    <row r="286" spans="1:10" x14ac:dyDescent="0.25">
      <c r="A286">
        <v>2294</v>
      </c>
      <c r="B286" t="str">
        <v>BEML Ltd</v>
      </c>
      <c r="C286">
        <v>32.771168000000003</v>
      </c>
      <c r="D286">
        <v>1854.4161376953125</v>
      </c>
      <c r="E286">
        <v>1233.935546875</v>
      </c>
      <c r="F286">
        <v>0.66540402173995972</v>
      </c>
      <c r="G286">
        <v>4405.9248046875</v>
      </c>
      <c r="H286">
        <v>9.0000003576278687E-2</v>
      </c>
      <c r="I286">
        <v>17853.619140625</v>
      </c>
      <c r="J286">
        <v>1359</v>
      </c>
    </row>
    <row r="287" spans="1:10" x14ac:dyDescent="0.25">
      <c r="A287">
        <v>35224</v>
      </c>
      <c r="B287" t="str">
        <v>BF Investment</v>
      </c>
      <c r="C287">
        <v>7.6237349999999999</v>
      </c>
      <c r="D287">
        <v>401.50689697265625</v>
      </c>
      <c r="E287">
        <v>132.00003051757813</v>
      </c>
      <c r="F287">
        <v>0.3287619948387146</v>
      </c>
      <c r="G287">
        <v>483.4375</v>
      </c>
      <c r="H287">
        <v>0</v>
      </c>
      <c r="I287">
        <v>1792.800048828125</v>
      </c>
      <c r="J287">
        <v>1359</v>
      </c>
    </row>
    <row r="288" spans="1:10" x14ac:dyDescent="0.25">
      <c r="A288">
        <v>8037</v>
      </c>
      <c r="B288" t="str">
        <v>BF Utilities</v>
      </c>
      <c r="C288">
        <v>16.594839</v>
      </c>
      <c r="D288">
        <v>482.1220703125</v>
      </c>
      <c r="E288">
        <v>233.0914306640625</v>
      </c>
      <c r="F288">
        <v>0.48346999287605286</v>
      </c>
      <c r="G288">
        <v>775.3499755859375</v>
      </c>
      <c r="H288">
        <v>0.10999999940395355</v>
      </c>
      <c r="I288">
        <v>2882.1201171875</v>
      </c>
      <c r="J288">
        <v>1359</v>
      </c>
    </row>
    <row r="289" spans="1:10" x14ac:dyDescent="0.25">
      <c r="A289">
        <v>4532</v>
      </c>
      <c r="B289" t="str">
        <v>BGIL Films &amp; Tec</v>
      </c>
      <c r="C289">
        <v>29.824707</v>
      </c>
      <c r="D289">
        <v>5.3489251136779785</v>
      </c>
      <c r="E289">
        <v>2.0816769599914551</v>
      </c>
      <c r="F289">
        <v>0.38917699456214905</v>
      </c>
      <c r="G289">
        <v>7.2800002098083496</v>
      </c>
      <c r="H289">
        <v>3.9999999105930328E-2</v>
      </c>
      <c r="I289">
        <v>8.25</v>
      </c>
      <c r="J289">
        <v>449</v>
      </c>
    </row>
    <row r="290" spans="1:10" x14ac:dyDescent="0.25">
      <c r="A290">
        <v>66318</v>
      </c>
      <c r="B290" t="str">
        <v>BIGBLOC Const.</v>
      </c>
      <c r="C290">
        <v>58.426651</v>
      </c>
      <c r="D290">
        <v>57.730701446533203</v>
      </c>
      <c r="E290">
        <v>39.934215545654297</v>
      </c>
      <c r="F290">
        <v>0.69173300266265869</v>
      </c>
      <c r="G290">
        <v>64.222503662109375</v>
      </c>
      <c r="H290">
        <v>0.89999997615814209</v>
      </c>
      <c r="I290">
        <v>896.8800048828125</v>
      </c>
      <c r="J290">
        <v>1282</v>
      </c>
    </row>
    <row r="291" spans="1:10" x14ac:dyDescent="0.25">
      <c r="A291">
        <v>16667</v>
      </c>
      <c r="B291" t="str">
        <v>BLB</v>
      </c>
      <c r="C291">
        <v>23.751625000000001</v>
      </c>
      <c r="D291">
        <v>16.705194473266602</v>
      </c>
      <c r="E291">
        <v>8.7445430755615234</v>
      </c>
      <c r="F291">
        <v>0.52346301078796387</v>
      </c>
      <c r="G291">
        <v>14.877499580383301</v>
      </c>
      <c r="H291">
        <v>1.9999999552965164E-2</v>
      </c>
      <c r="I291">
        <v>77.389999389648438</v>
      </c>
      <c r="J291">
        <v>1317</v>
      </c>
    </row>
    <row r="292" spans="1:10" x14ac:dyDescent="0.25">
      <c r="A292">
        <v>5227</v>
      </c>
      <c r="B292" t="str">
        <v>BLS Infotech</v>
      </c>
      <c r="C292">
        <v>38.40748</v>
      </c>
      <c r="D292">
        <v>2.7847180366516113</v>
      </c>
      <c r="E292">
        <v>1.4210079908370972</v>
      </c>
      <c r="F292">
        <v>0.51028800010681152</v>
      </c>
      <c r="G292">
        <v>1.3899999856948853</v>
      </c>
      <c r="H292">
        <v>0</v>
      </c>
      <c r="I292">
        <v>59.959999084472656</v>
      </c>
      <c r="J292">
        <v>746</v>
      </c>
    </row>
    <row r="293" spans="1:10" x14ac:dyDescent="0.25">
      <c r="A293">
        <v>22535</v>
      </c>
      <c r="B293" t="str">
        <v>BLS Internat.</v>
      </c>
      <c r="C293">
        <v>59.741669999999999</v>
      </c>
      <c r="D293">
        <v>172.41993713378906</v>
      </c>
      <c r="E293">
        <v>148.13534545898438</v>
      </c>
      <c r="F293">
        <v>0.85915398597717285</v>
      </c>
      <c r="G293">
        <v>358.35000610351563</v>
      </c>
      <c r="H293">
        <v>0.11999999731779099</v>
      </c>
      <c r="I293">
        <v>14606.509765625</v>
      </c>
      <c r="J293">
        <v>1359</v>
      </c>
    </row>
    <row r="294" spans="1:10" x14ac:dyDescent="0.25">
      <c r="A294">
        <v>13426</v>
      </c>
      <c r="B294" t="str">
        <v>BMB Music</v>
      </c>
      <c r="C294">
        <v>-2.1740550000000001</v>
      </c>
      <c r="D294">
        <v>2.7098848819732666</v>
      </c>
      <c r="E294">
        <v>0.73117399215698242</v>
      </c>
      <c r="F294">
        <v>0.26981699466705322</v>
      </c>
      <c r="G294">
        <v>2.4900000095367432</v>
      </c>
      <c r="H294">
        <v>0</v>
      </c>
      <c r="I294">
        <v>1.559999942779541</v>
      </c>
      <c r="J294">
        <v>131</v>
      </c>
    </row>
    <row r="295" spans="1:10" x14ac:dyDescent="0.25">
      <c r="A295">
        <v>27305</v>
      </c>
      <c r="B295" t="str">
        <v>BMW Industries</v>
      </c>
      <c r="C295">
        <v>20.191763000000002</v>
      </c>
      <c r="D295">
        <v>38.354824066162109</v>
      </c>
      <c r="E295">
        <v>16.532665252685547</v>
      </c>
      <c r="F295">
        <v>0.43104499578475952</v>
      </c>
      <c r="G295">
        <v>53.032501220703125</v>
      </c>
      <c r="H295">
        <v>0.2800000011920929</v>
      </c>
      <c r="I295">
        <v>1172.699951171875</v>
      </c>
      <c r="J295">
        <v>1305</v>
      </c>
    </row>
    <row r="296" spans="1:10" x14ac:dyDescent="0.25">
      <c r="A296">
        <v>5237</v>
      </c>
      <c r="B296" t="str">
        <v>BNR Udyog</v>
      </c>
      <c r="C296">
        <v>24.066289000000001</v>
      </c>
      <c r="D296">
        <v>40.849311828613281</v>
      </c>
      <c r="E296">
        <v>24.09446907043457</v>
      </c>
      <c r="F296">
        <v>0.58983802795410156</v>
      </c>
      <c r="G296">
        <v>52.080001831054688</v>
      </c>
      <c r="H296">
        <v>0</v>
      </c>
      <c r="I296">
        <v>15.619999885559082</v>
      </c>
      <c r="J296">
        <v>1122</v>
      </c>
    </row>
    <row r="297" spans="1:10" x14ac:dyDescent="0.25">
      <c r="A297">
        <v>30734</v>
      </c>
      <c r="B297" t="str">
        <v>BOSTON LEA.&amp;FIN.</v>
      </c>
      <c r="C297">
        <v>7.9107320000000003</v>
      </c>
      <c r="D297">
        <v>3.6683199405670166</v>
      </c>
      <c r="E297">
        <v>1.1766829490661621</v>
      </c>
      <c r="F297">
        <v>0.32076901197433472</v>
      </c>
      <c r="G297">
        <v>3.2999999523162842</v>
      </c>
      <c r="H297">
        <v>5.9999998658895493E-2</v>
      </c>
      <c r="I297">
        <v>2.2799999713897705</v>
      </c>
      <c r="J297">
        <v>308</v>
      </c>
    </row>
    <row r="298" spans="1:10" x14ac:dyDescent="0.25">
      <c r="A298">
        <v>3720</v>
      </c>
      <c r="B298" t="str">
        <v>BPL</v>
      </c>
      <c r="C298">
        <v>29.846613999999999</v>
      </c>
      <c r="D298">
        <v>64.668540954589844</v>
      </c>
      <c r="E298">
        <v>33.312980651855469</v>
      </c>
      <c r="F298">
        <v>0.51513397693634033</v>
      </c>
      <c r="G298">
        <v>92.62249755859375</v>
      </c>
      <c r="H298">
        <v>1.9999999552965164E-2</v>
      </c>
      <c r="I298">
        <v>440.489990234375</v>
      </c>
      <c r="J298">
        <v>1359</v>
      </c>
    </row>
    <row r="299" spans="1:10" x14ac:dyDescent="0.25">
      <c r="A299">
        <v>7594</v>
      </c>
      <c r="B299" t="str">
        <v>BSEL ALGO</v>
      </c>
      <c r="C299">
        <v>38.326182000000003</v>
      </c>
      <c r="D299">
        <v>6.2042121887207031</v>
      </c>
      <c r="E299">
        <v>5.1061081886291504</v>
      </c>
      <c r="F299">
        <v>0.82300698757171631</v>
      </c>
      <c r="G299">
        <v>7.7775001525878906</v>
      </c>
      <c r="H299">
        <v>0</v>
      </c>
      <c r="I299">
        <v>66.610000610351563</v>
      </c>
      <c r="J299">
        <v>1337</v>
      </c>
    </row>
    <row r="300" spans="1:10" x14ac:dyDescent="0.25">
      <c r="A300">
        <v>21189</v>
      </c>
      <c r="B300" t="str">
        <v>Baba Arts</v>
      </c>
      <c r="C300">
        <v>13.288758</v>
      </c>
      <c r="D300">
        <v>13.128066062927246</v>
      </c>
      <c r="E300">
        <v>4.6509017944335938</v>
      </c>
      <c r="F300">
        <v>0.35427200794219971</v>
      </c>
      <c r="G300">
        <v>9.0375003814697266</v>
      </c>
      <c r="H300">
        <v>0</v>
      </c>
      <c r="I300">
        <v>47.990001678466797</v>
      </c>
      <c r="J300">
        <v>1351</v>
      </c>
    </row>
    <row r="301" spans="1:10" x14ac:dyDescent="0.25">
      <c r="A301">
        <v>3688</v>
      </c>
      <c r="B301" t="str">
        <v>Bacil Pharma</v>
      </c>
      <c r="C301">
        <v>58.793971999999997</v>
      </c>
      <c r="D301">
        <v>14.054970741271973</v>
      </c>
      <c r="E301">
        <v>14.479372024536133</v>
      </c>
      <c r="F301">
        <v>1.030195951461792</v>
      </c>
      <c r="G301">
        <v>38.037498474121094</v>
      </c>
      <c r="H301">
        <v>5.000000074505806E-2</v>
      </c>
      <c r="I301">
        <v>22.190000534057617</v>
      </c>
      <c r="J301">
        <v>877</v>
      </c>
    </row>
    <row r="302" spans="1:10" x14ac:dyDescent="0.25">
      <c r="A302">
        <v>28074</v>
      </c>
      <c r="B302" t="str">
        <v>Bajaj Auto</v>
      </c>
      <c r="C302">
        <v>18.457001999999999</v>
      </c>
      <c r="D302">
        <v>5171.33154296875</v>
      </c>
      <c r="E302">
        <v>2493.135498046875</v>
      </c>
      <c r="F302">
        <v>0.482107013463974</v>
      </c>
      <c r="G302">
        <v>8494.5498046875</v>
      </c>
      <c r="H302">
        <v>1.9999999552965164E-2</v>
      </c>
      <c r="I302">
        <v>237262.84375</v>
      </c>
      <c r="J302">
        <v>1359</v>
      </c>
    </row>
    <row r="303" spans="1:10" x14ac:dyDescent="0.25">
      <c r="A303">
        <v>38716</v>
      </c>
      <c r="B303" t="str">
        <v>Bajaj Consumer</v>
      </c>
      <c r="C303">
        <v>-6.0150629999999996</v>
      </c>
      <c r="D303">
        <v>203.12753295898438</v>
      </c>
      <c r="E303">
        <v>43.438632965087891</v>
      </c>
      <c r="F303">
        <v>0.21384899318218231</v>
      </c>
      <c r="G303">
        <v>171.86250305175781</v>
      </c>
      <c r="H303">
        <v>9.9999997764825821E-3</v>
      </c>
      <c r="I303">
        <v>2444.6298828125</v>
      </c>
      <c r="J303">
        <v>1359</v>
      </c>
    </row>
    <row r="304" spans="1:10" x14ac:dyDescent="0.25">
      <c r="A304">
        <v>51</v>
      </c>
      <c r="B304" t="str">
        <v>Bajaj Electrical</v>
      </c>
      <c r="C304">
        <v>14.104877</v>
      </c>
      <c r="D304">
        <v>844.6719970703125</v>
      </c>
      <c r="E304">
        <v>256.39617919921875</v>
      </c>
      <c r="F304">
        <v>0.30354499816894531</v>
      </c>
      <c r="G304">
        <v>665.7874755859375</v>
      </c>
      <c r="H304">
        <v>9.0000003576278687E-2</v>
      </c>
      <c r="I304">
        <v>7625.60009765625</v>
      </c>
      <c r="J304">
        <v>1359</v>
      </c>
    </row>
    <row r="305" spans="1:10" x14ac:dyDescent="0.25">
      <c r="A305">
        <v>28075</v>
      </c>
      <c r="B305" t="str">
        <v>Bajaj Finserv</v>
      </c>
      <c r="C305">
        <v>13.829164</v>
      </c>
      <c r="D305">
        <v>1386.2991943359375</v>
      </c>
      <c r="E305">
        <v>415.78427124023438</v>
      </c>
      <c r="F305">
        <v>0.29992398619651794</v>
      </c>
      <c r="G305">
        <v>1975.587646484375</v>
      </c>
      <c r="H305">
        <v>0</v>
      </c>
      <c r="I305">
        <v>314225.9375</v>
      </c>
      <c r="J305">
        <v>1359</v>
      </c>
    </row>
    <row r="306" spans="1:10" x14ac:dyDescent="0.25">
      <c r="A306">
        <v>249</v>
      </c>
      <c r="B306" t="str">
        <v>Bajaj Hindusthan</v>
      </c>
      <c r="C306">
        <v>22.511358000000001</v>
      </c>
      <c r="D306">
        <v>17.81098747253418</v>
      </c>
      <c r="E306">
        <v>10.73963737487793</v>
      </c>
      <c r="F306">
        <v>0.60297799110412598</v>
      </c>
      <c r="G306">
        <v>23.042499542236328</v>
      </c>
      <c r="H306">
        <v>0.88999998569488525</v>
      </c>
      <c r="I306">
        <v>2888.110107421875</v>
      </c>
      <c r="J306">
        <v>1359</v>
      </c>
    </row>
    <row r="307" spans="1:10" x14ac:dyDescent="0.25">
      <c r="A307">
        <v>50</v>
      </c>
      <c r="B307" t="str">
        <v>Bajaj Holdings</v>
      </c>
      <c r="C307">
        <v>26.123190999999998</v>
      </c>
      <c r="D307">
        <v>6225.55908203125</v>
      </c>
      <c r="E307">
        <v>2944.53515625</v>
      </c>
      <c r="F307">
        <v>0.4729749858379364</v>
      </c>
      <c r="G307">
        <v>13588.3115234375</v>
      </c>
      <c r="H307">
        <v>0</v>
      </c>
      <c r="I307">
        <v>149942.6875</v>
      </c>
      <c r="J307">
        <v>1359</v>
      </c>
    </row>
    <row r="308" spans="1:10" x14ac:dyDescent="0.25">
      <c r="A308">
        <v>800</v>
      </c>
      <c r="B308" t="str">
        <v>Bajaj Steel Inds</v>
      </c>
      <c r="C308">
        <v>61.098329</v>
      </c>
      <c r="D308">
        <v>276.56280517578125</v>
      </c>
      <c r="E308">
        <v>225.19398498535156</v>
      </c>
      <c r="F308">
        <v>0.81426000595092773</v>
      </c>
      <c r="G308">
        <v>689.5999755859375</v>
      </c>
      <c r="H308">
        <v>0.20000000298023224</v>
      </c>
      <c r="I308">
        <v>1423.550048828125</v>
      </c>
      <c r="J308">
        <v>1359</v>
      </c>
    </row>
    <row r="309" spans="1:10" x14ac:dyDescent="0.25">
      <c r="A309">
        <v>5288</v>
      </c>
      <c r="B309" t="str">
        <v>Balaji Amines</v>
      </c>
      <c r="C309">
        <v>23.510871999999999</v>
      </c>
      <c r="D309">
        <v>2129.22119140625</v>
      </c>
      <c r="E309">
        <v>984.62530517578125</v>
      </c>
      <c r="F309">
        <v>0.46243399381637573</v>
      </c>
      <c r="G309">
        <v>1426.6500244140625</v>
      </c>
      <c r="H309">
        <v>0</v>
      </c>
      <c r="I309">
        <v>4561.56982421875</v>
      </c>
      <c r="J309">
        <v>1359</v>
      </c>
    </row>
    <row r="310" spans="1:10" x14ac:dyDescent="0.25">
      <c r="A310">
        <v>21321</v>
      </c>
      <c r="B310" t="str">
        <v>Balaji Telefilms</v>
      </c>
      <c r="C310">
        <v>9.7109190000000005</v>
      </c>
      <c r="D310">
        <v>63.606620788574219</v>
      </c>
      <c r="E310">
        <v>15.179102897644043</v>
      </c>
      <c r="F310">
        <v>0.23863999545574188</v>
      </c>
      <c r="G310">
        <v>86.864997863769531</v>
      </c>
      <c r="H310">
        <v>7.9999998211860657E-2</v>
      </c>
      <c r="I310">
        <v>1031.3299560546875</v>
      </c>
      <c r="J310">
        <v>1359</v>
      </c>
    </row>
    <row r="311" spans="1:10" x14ac:dyDescent="0.25">
      <c r="A311">
        <v>55</v>
      </c>
      <c r="B311" t="str">
        <v>Balkrishna Inds</v>
      </c>
      <c r="C311">
        <v>16.746303999999999</v>
      </c>
      <c r="D311">
        <v>2148.203857421875</v>
      </c>
      <c r="E311">
        <v>563.3905029296875</v>
      </c>
      <c r="F311">
        <v>0.26226100325584412</v>
      </c>
      <c r="G311">
        <v>2431.14990234375</v>
      </c>
      <c r="H311">
        <v>0.37999999523162842</v>
      </c>
      <c r="I311">
        <v>46455.08984375</v>
      </c>
      <c r="J311">
        <v>1359</v>
      </c>
    </row>
    <row r="312" spans="1:10" x14ac:dyDescent="0.25">
      <c r="A312">
        <v>65804</v>
      </c>
      <c r="B312" t="str">
        <v>Balkrishna Paper</v>
      </c>
      <c r="C312">
        <v>6.8699409999999999</v>
      </c>
      <c r="D312">
        <v>20.547479629516602</v>
      </c>
      <c r="E312">
        <v>6.5523481369018555</v>
      </c>
      <c r="F312">
        <v>0.31888800859451294</v>
      </c>
      <c r="G312">
        <v>20.852500915527344</v>
      </c>
      <c r="H312">
        <v>0</v>
      </c>
      <c r="I312">
        <v>66.889999389648438</v>
      </c>
      <c r="J312">
        <v>1252</v>
      </c>
    </row>
    <row r="313" spans="1:10" x14ac:dyDescent="0.25">
      <c r="A313">
        <v>56</v>
      </c>
      <c r="B313" t="str">
        <v>Ballarpur Inds.</v>
      </c>
      <c r="C313">
        <v>21.995660999999998</v>
      </c>
      <c r="D313">
        <v>1.183771014213562</v>
      </c>
      <c r="E313">
        <v>0.47996199131011963</v>
      </c>
      <c r="F313">
        <v>0.40545099973678589</v>
      </c>
      <c r="G313">
        <v>0.89999997615814209</v>
      </c>
      <c r="H313">
        <v>0</v>
      </c>
      <c r="I313">
        <v>115.12000274658203</v>
      </c>
      <c r="J313">
        <v>781</v>
      </c>
    </row>
    <row r="314" spans="1:10" x14ac:dyDescent="0.25">
      <c r="A314">
        <v>23038</v>
      </c>
      <c r="B314" t="str">
        <v>Balmer Law. Inv.</v>
      </c>
      <c r="C314">
        <v>12.204509</v>
      </c>
      <c r="D314">
        <v>49.718406677246094</v>
      </c>
      <c r="E314">
        <v>17.935939788818359</v>
      </c>
      <c r="F314">
        <v>0.3607499897480011</v>
      </c>
      <c r="G314">
        <v>80.214996337890625</v>
      </c>
      <c r="H314">
        <v>0</v>
      </c>
      <c r="I314">
        <v>1778</v>
      </c>
      <c r="J314">
        <v>1359</v>
      </c>
    </row>
    <row r="315" spans="1:10" x14ac:dyDescent="0.25">
      <c r="A315">
        <v>732</v>
      </c>
      <c r="B315" t="str">
        <v>Balmer Lawrie</v>
      </c>
      <c r="C315">
        <v>9.2280599999999993</v>
      </c>
      <c r="D315">
        <v>154.32765197753906</v>
      </c>
      <c r="E315">
        <v>56.366439819335938</v>
      </c>
      <c r="F315">
        <v>0.36523899435997009</v>
      </c>
      <c r="G315">
        <v>204.76249694824219</v>
      </c>
      <c r="H315">
        <v>1.9999999552965164E-2</v>
      </c>
      <c r="I315">
        <v>3486.77001953125</v>
      </c>
      <c r="J315">
        <v>1359</v>
      </c>
    </row>
    <row r="316" spans="1:10" x14ac:dyDescent="0.25">
      <c r="A316">
        <v>2208</v>
      </c>
      <c r="B316" t="str">
        <v>Balrampur Chini</v>
      </c>
      <c r="C316">
        <v>21.829449</v>
      </c>
      <c r="D316">
        <v>356.25408935546875</v>
      </c>
      <c r="E316">
        <v>135.45977783203125</v>
      </c>
      <c r="F316">
        <v>0.3802340030670166</v>
      </c>
      <c r="G316">
        <v>592.92498779296875</v>
      </c>
      <c r="H316">
        <v>0.62999999523162842</v>
      </c>
      <c r="I316">
        <v>11897.099609375</v>
      </c>
      <c r="J316">
        <v>1359</v>
      </c>
    </row>
    <row r="317" spans="1:10" x14ac:dyDescent="0.25">
      <c r="A317">
        <v>5893</v>
      </c>
      <c r="B317" t="str">
        <v>Balu Forge</v>
      </c>
      <c r="C317">
        <v>57.861696000000002</v>
      </c>
      <c r="D317">
        <v>250.74717712402344</v>
      </c>
      <c r="E317">
        <v>216.2830810546875</v>
      </c>
      <c r="F317">
        <v>0.86255401372909546</v>
      </c>
      <c r="G317">
        <v>625.125</v>
      </c>
      <c r="H317">
        <v>0.14000000059604645</v>
      </c>
      <c r="I317">
        <v>6921.669921875</v>
      </c>
      <c r="J317">
        <v>1242</v>
      </c>
    </row>
    <row r="318" spans="1:10" x14ac:dyDescent="0.25">
      <c r="A318">
        <v>4002</v>
      </c>
      <c r="B318" t="str">
        <v>Balurghat Tech</v>
      </c>
      <c r="C318">
        <v>15.321319000000001</v>
      </c>
      <c r="D318">
        <v>14.745281219482422</v>
      </c>
      <c r="E318">
        <v>8.0355072021484375</v>
      </c>
      <c r="F318">
        <v>0.54495400190353394</v>
      </c>
      <c r="G318">
        <v>19.270000457763672</v>
      </c>
      <c r="H318">
        <v>0.81000000238418579</v>
      </c>
      <c r="I318">
        <v>35.340000152587891</v>
      </c>
      <c r="J318">
        <v>1337</v>
      </c>
    </row>
    <row r="319" spans="1:10" x14ac:dyDescent="0.25">
      <c r="A319">
        <v>4734</v>
      </c>
      <c r="B319" t="str">
        <v>Banaras Beads</v>
      </c>
      <c r="C319">
        <v>25.219798999999998</v>
      </c>
      <c r="D319">
        <v>81.316886901855469</v>
      </c>
      <c r="E319">
        <v>26.944753646850586</v>
      </c>
      <c r="F319">
        <v>0.33135500550270081</v>
      </c>
      <c r="G319">
        <v>121.51249694824219</v>
      </c>
      <c r="H319">
        <v>2.9999999329447746E-2</v>
      </c>
      <c r="I319">
        <v>80.230003356933594</v>
      </c>
      <c r="J319">
        <v>1326</v>
      </c>
    </row>
    <row r="320" spans="1:10" x14ac:dyDescent="0.25">
      <c r="A320">
        <v>24442</v>
      </c>
      <c r="B320" t="str">
        <v>Banas Finance</v>
      </c>
      <c r="C320">
        <v>34.002108999999997</v>
      </c>
      <c r="D320">
        <v>11.88097095489502</v>
      </c>
      <c r="E320">
        <v>11.305685043334961</v>
      </c>
      <c r="F320">
        <v>0.95157897472381592</v>
      </c>
      <c r="G320">
        <v>8.3325004577636719</v>
      </c>
      <c r="H320">
        <v>3.9999999105930328E-2</v>
      </c>
      <c r="I320">
        <v>74.080001831054688</v>
      </c>
      <c r="J320">
        <v>1310</v>
      </c>
    </row>
    <row r="321" spans="1:10" x14ac:dyDescent="0.25">
      <c r="A321">
        <v>991</v>
      </c>
      <c r="B321" t="str">
        <v>Banco Products</v>
      </c>
      <c r="C321">
        <v>45.837184000000001</v>
      </c>
      <c r="D321">
        <v>173.95245361328125</v>
      </c>
      <c r="E321">
        <v>140.55323791503906</v>
      </c>
      <c r="F321">
        <v>0.80799800157546997</v>
      </c>
      <c r="G321">
        <v>573.63739013671875</v>
      </c>
      <c r="H321">
        <v>0</v>
      </c>
      <c r="I321">
        <v>8015.10009765625</v>
      </c>
      <c r="J321">
        <v>1359</v>
      </c>
    </row>
    <row r="322" spans="1:10" x14ac:dyDescent="0.25">
      <c r="A322">
        <v>68090</v>
      </c>
      <c r="B322" t="str">
        <v>Bandhan Bank</v>
      </c>
      <c r="C322">
        <v>-18.539587000000001</v>
      </c>
      <c r="D322">
        <v>261.47866821289063</v>
      </c>
      <c r="E322">
        <v>71.857589721679688</v>
      </c>
      <c r="F322">
        <v>0.2748120129108429</v>
      </c>
      <c r="G322">
        <v>179.27499389648438</v>
      </c>
      <c r="H322">
        <v>0</v>
      </c>
      <c r="I322">
        <v>28683.349609375</v>
      </c>
      <c r="J322">
        <v>1359</v>
      </c>
    </row>
    <row r="323" spans="1:10" x14ac:dyDescent="0.25">
      <c r="A323">
        <v>28183</v>
      </c>
      <c r="B323" t="str">
        <v>Bang Overseas</v>
      </c>
      <c r="C323">
        <v>22.590166</v>
      </c>
      <c r="D323">
        <v>41.531772613525391</v>
      </c>
      <c r="E323">
        <v>13.709673881530762</v>
      </c>
      <c r="F323">
        <v>0.33010101318359375</v>
      </c>
      <c r="G323">
        <v>56.947498321533203</v>
      </c>
      <c r="H323">
        <v>0.34999999403953552</v>
      </c>
      <c r="I323">
        <v>75.519996643066406</v>
      </c>
      <c r="J323">
        <v>1301</v>
      </c>
    </row>
    <row r="324" spans="1:10" x14ac:dyDescent="0.25">
      <c r="A324">
        <v>15653</v>
      </c>
      <c r="B324" t="str">
        <v>Bangalore Fort</v>
      </c>
      <c r="C324">
        <v>21.280184999999999</v>
      </c>
      <c r="D324">
        <v>27.556032180786133</v>
      </c>
      <c r="E324">
        <v>15.881173133850098</v>
      </c>
      <c r="F324">
        <v>0.57632297277450562</v>
      </c>
      <c r="G324">
        <v>51.349998474121094</v>
      </c>
      <c r="H324">
        <v>0.40000000596046448</v>
      </c>
      <c r="I324">
        <v>24.959999084472656</v>
      </c>
      <c r="J324">
        <v>749</v>
      </c>
    </row>
    <row r="325" spans="1:10" x14ac:dyDescent="0.25">
      <c r="A325">
        <v>5456</v>
      </c>
      <c r="B325" t="str">
        <v>Bank of Baroda</v>
      </c>
      <c r="C325">
        <v>15.464748999999999</v>
      </c>
      <c r="D325">
        <v>148.21624755859375</v>
      </c>
      <c r="E325">
        <v>75.827926635742188</v>
      </c>
      <c r="F325">
        <v>0.51160299777984619</v>
      </c>
      <c r="G325">
        <v>233.89999389648438</v>
      </c>
      <c r="H325">
        <v>0</v>
      </c>
      <c r="I325">
        <v>119794.6015625</v>
      </c>
      <c r="J325">
        <v>1359</v>
      </c>
    </row>
    <row r="326" spans="1:10" x14ac:dyDescent="0.25">
      <c r="A326">
        <v>5654</v>
      </c>
      <c r="B326" t="str">
        <v>Bank of India</v>
      </c>
      <c r="C326">
        <v>9.4191160000000007</v>
      </c>
      <c r="D326">
        <v>78.520156860351563</v>
      </c>
      <c r="E326">
        <v>30.413541793823242</v>
      </c>
      <c r="F326">
        <v>0.38733398914337158</v>
      </c>
      <c r="G326">
        <v>117.09999847412109</v>
      </c>
      <c r="H326">
        <v>0</v>
      </c>
      <c r="I326">
        <v>52651.6015625</v>
      </c>
      <c r="J326">
        <v>1359</v>
      </c>
    </row>
    <row r="327" spans="1:10" x14ac:dyDescent="0.25">
      <c r="A327">
        <v>5607</v>
      </c>
      <c r="B327" t="str">
        <v>Bank of Maha</v>
      </c>
      <c r="C327">
        <v>27.061423000000001</v>
      </c>
      <c r="D327">
        <v>31.15400505065918</v>
      </c>
      <c r="E327">
        <v>17.99989128112793</v>
      </c>
      <c r="F327">
        <v>0.57777100801467896</v>
      </c>
      <c r="G327">
        <v>53.965000152587891</v>
      </c>
      <c r="H327">
        <v>0</v>
      </c>
      <c r="I327">
        <v>41326.71875</v>
      </c>
      <c r="J327">
        <v>1359</v>
      </c>
    </row>
    <row r="328" spans="1:10" x14ac:dyDescent="0.25">
      <c r="A328">
        <v>57</v>
      </c>
      <c r="B328" t="str">
        <v>Bannari Amm.Sug.</v>
      </c>
      <c r="C328">
        <v>21.782436000000001</v>
      </c>
      <c r="D328">
        <v>2424.243896484375</v>
      </c>
      <c r="E328">
        <v>805.2872314453125</v>
      </c>
      <c r="F328">
        <v>0.33218100666999817</v>
      </c>
      <c r="G328">
        <v>3905</v>
      </c>
      <c r="H328">
        <v>0.33000001311302185</v>
      </c>
      <c r="I328">
        <v>4896.75</v>
      </c>
      <c r="J328">
        <v>1327</v>
      </c>
    </row>
    <row r="329" spans="1:10" x14ac:dyDescent="0.25">
      <c r="A329">
        <v>45740</v>
      </c>
      <c r="B329" t="str">
        <v>Bansal Roofing</v>
      </c>
      <c r="C329">
        <v>52.352525</v>
      </c>
      <c r="D329">
        <v>72.534881591796875</v>
      </c>
      <c r="E329">
        <v>28.441347122192383</v>
      </c>
      <c r="F329">
        <v>0.39210599660873413</v>
      </c>
      <c r="G329">
        <v>108.76249694824219</v>
      </c>
      <c r="H329">
        <v>0.20999999344348907</v>
      </c>
      <c r="I329">
        <v>143.24000549316406</v>
      </c>
      <c r="J329">
        <v>1042</v>
      </c>
    </row>
    <row r="330" spans="1:10" x14ac:dyDescent="0.25">
      <c r="A330">
        <v>3591</v>
      </c>
      <c r="B330" t="str">
        <v>Bansisons Tea</v>
      </c>
      <c r="C330">
        <v>-6.1264310000000002</v>
      </c>
      <c r="D330">
        <v>5.5991668701171875</v>
      </c>
      <c r="E330">
        <v>2.0005979537963867</v>
      </c>
      <c r="F330">
        <v>0.35730299353599548</v>
      </c>
      <c r="G330">
        <v>5.5999999046325684</v>
      </c>
      <c r="H330">
        <v>0</v>
      </c>
      <c r="I330">
        <v>3.5399999618530273</v>
      </c>
      <c r="J330">
        <v>198</v>
      </c>
    </row>
    <row r="331" spans="1:10" x14ac:dyDescent="0.25">
      <c r="A331">
        <v>2990</v>
      </c>
      <c r="B331" t="str">
        <v>Banswara Syntex</v>
      </c>
      <c r="C331">
        <v>17.163518</v>
      </c>
      <c r="D331">
        <v>110.06243133544922</v>
      </c>
      <c r="E331">
        <v>42.736904144287109</v>
      </c>
      <c r="F331">
        <v>0.38829699158668518</v>
      </c>
      <c r="G331">
        <v>137.9375</v>
      </c>
      <c r="H331">
        <v>0.69999998807907104</v>
      </c>
      <c r="I331">
        <v>467.6099853515625</v>
      </c>
      <c r="J331">
        <v>1356</v>
      </c>
    </row>
    <row r="332" spans="1:10" x14ac:dyDescent="0.25">
      <c r="A332">
        <v>27739</v>
      </c>
      <c r="B332" t="str">
        <v>Barak Valley</v>
      </c>
      <c r="C332">
        <v>21.676428000000001</v>
      </c>
      <c r="D332">
        <v>32.217475891113281</v>
      </c>
      <c r="E332">
        <v>15.879593849182129</v>
      </c>
      <c r="F332">
        <v>0.49288800358772278</v>
      </c>
      <c r="G332">
        <v>36.509998321533203</v>
      </c>
      <c r="H332">
        <v>0.54000002145767212</v>
      </c>
      <c r="I332">
        <v>80.910003662109375</v>
      </c>
      <c r="J332">
        <v>1289</v>
      </c>
    </row>
    <row r="333" spans="1:10" x14ac:dyDescent="0.25">
      <c r="A333">
        <v>5885</v>
      </c>
      <c r="B333" t="str">
        <v>Baroda Extrusion</v>
      </c>
      <c r="C333">
        <v>70.762995000000004</v>
      </c>
      <c r="D333">
        <v>4.0675292015075684</v>
      </c>
      <c r="E333">
        <v>2.9709529876708984</v>
      </c>
      <c r="F333">
        <v>0.7304069995880127</v>
      </c>
      <c r="G333">
        <v>8.4650001525878906</v>
      </c>
      <c r="H333">
        <v>0</v>
      </c>
      <c r="I333">
        <v>124.75</v>
      </c>
      <c r="J333">
        <v>1210</v>
      </c>
    </row>
    <row r="334" spans="1:10" x14ac:dyDescent="0.25">
      <c r="A334">
        <v>26860</v>
      </c>
      <c r="B334" t="str">
        <v>Bartronics India</v>
      </c>
      <c r="C334">
        <v>45.807786999999998</v>
      </c>
      <c r="D334">
        <v>9.5082931518554688</v>
      </c>
      <c r="E334">
        <v>7.5824069976806641</v>
      </c>
      <c r="F334">
        <v>0.79745197296142578</v>
      </c>
      <c r="G334">
        <v>14.1875</v>
      </c>
      <c r="H334">
        <v>0</v>
      </c>
      <c r="I334">
        <v>423.97000122070313</v>
      </c>
      <c r="J334">
        <v>1265</v>
      </c>
    </row>
    <row r="335" spans="1:10" x14ac:dyDescent="0.25">
      <c r="A335">
        <v>4239</v>
      </c>
      <c r="B335" t="str">
        <v>Basant Agro Tech</v>
      </c>
      <c r="C335">
        <v>30.240525000000002</v>
      </c>
      <c r="D335">
        <v>15.298019409179688</v>
      </c>
      <c r="E335">
        <v>6.8816981315612793</v>
      </c>
      <c r="F335">
        <v>0.44984200596809387</v>
      </c>
      <c r="G335">
        <v>15.954999923706055</v>
      </c>
      <c r="H335">
        <v>0.81999999284744263</v>
      </c>
      <c r="I335">
        <v>142.28999328613281</v>
      </c>
      <c r="J335">
        <v>1359</v>
      </c>
    </row>
    <row r="336" spans="1:10" x14ac:dyDescent="0.25">
      <c r="A336">
        <v>60</v>
      </c>
      <c r="B336" t="str">
        <v>Bata India</v>
      </c>
      <c r="C336">
        <v>-6.7087079999999997</v>
      </c>
      <c r="D336">
        <v>1560.2584228515625</v>
      </c>
      <c r="E336">
        <v>225.93351745605469</v>
      </c>
      <c r="F336">
        <v>0.14480499923229218</v>
      </c>
      <c r="G336">
        <v>1210.574951171875</v>
      </c>
      <c r="H336">
        <v>0.87999999523162842</v>
      </c>
      <c r="I336">
        <v>15452.8701171875</v>
      </c>
      <c r="J336">
        <v>1359</v>
      </c>
    </row>
    <row r="337" spans="1:10" x14ac:dyDescent="0.25">
      <c r="A337">
        <v>61</v>
      </c>
      <c r="B337" t="str">
        <v>Batliboi</v>
      </c>
      <c r="C337">
        <v>50.456401999999997</v>
      </c>
      <c r="D337">
        <v>62.398548126220703</v>
      </c>
      <c r="E337">
        <v>46.963722229003906</v>
      </c>
      <c r="F337">
        <v>0.75264102220535278</v>
      </c>
      <c r="G337">
        <v>130.51249694824219</v>
      </c>
      <c r="H337">
        <v>0.5</v>
      </c>
      <c r="I337">
        <v>436.760009765625</v>
      </c>
      <c r="J337">
        <v>1359</v>
      </c>
    </row>
    <row r="338" spans="1:10" x14ac:dyDescent="0.25">
      <c r="A338">
        <v>62</v>
      </c>
      <c r="B338" t="str">
        <v>Bayer Crop Sci.</v>
      </c>
      <c r="C338">
        <v>8.2099100000000007</v>
      </c>
      <c r="D338">
        <v>5171.5224609375</v>
      </c>
      <c r="E338">
        <v>676.97528076171875</v>
      </c>
      <c r="F338">
        <v>0.13090400397777557</v>
      </c>
      <c r="G338">
        <v>5640.77490234375</v>
      </c>
      <c r="H338">
        <v>1.9999999552965164E-2</v>
      </c>
      <c r="I338">
        <v>25122.1796875</v>
      </c>
      <c r="J338">
        <v>1359</v>
      </c>
    </row>
    <row r="339" spans="1:10" x14ac:dyDescent="0.25">
      <c r="A339">
        <v>6103</v>
      </c>
      <c r="B339" t="str">
        <v>Beardsell</v>
      </c>
      <c r="C339">
        <v>35.373989999999999</v>
      </c>
      <c r="D339">
        <v>21.266502380371094</v>
      </c>
      <c r="E339">
        <v>12.482170104980469</v>
      </c>
      <c r="F339">
        <v>0.58693999052047729</v>
      </c>
      <c r="G339">
        <v>37.540000915527344</v>
      </c>
      <c r="H339">
        <v>0.44999998807907104</v>
      </c>
      <c r="I339">
        <v>146.42999267578125</v>
      </c>
      <c r="J339">
        <v>1048</v>
      </c>
    </row>
    <row r="340" spans="1:10" x14ac:dyDescent="0.25">
      <c r="A340">
        <v>25031</v>
      </c>
      <c r="B340" t="str">
        <v>Bedmutha Indus.</v>
      </c>
      <c r="C340">
        <v>42.588923000000001</v>
      </c>
      <c r="D340">
        <v>98.777122497558594</v>
      </c>
      <c r="E340">
        <v>77.339469909667969</v>
      </c>
      <c r="F340">
        <v>0.78297001123428345</v>
      </c>
      <c r="G340">
        <v>151.125</v>
      </c>
      <c r="H340">
        <v>0.64999997615814209</v>
      </c>
      <c r="I340">
        <v>483.14999389648438</v>
      </c>
      <c r="J340">
        <v>1273</v>
      </c>
    </row>
    <row r="341" spans="1:10" x14ac:dyDescent="0.25">
      <c r="A341">
        <v>20493</v>
      </c>
      <c r="B341" t="str">
        <v>Beekay Steel Ind</v>
      </c>
      <c r="C341">
        <v>12.355337</v>
      </c>
      <c r="D341">
        <v>445.38967895507813</v>
      </c>
      <c r="E341">
        <v>160.27473449707031</v>
      </c>
      <c r="F341">
        <v>0.35985299944877625</v>
      </c>
      <c r="G341">
        <v>516.36248779296875</v>
      </c>
      <c r="H341">
        <v>0.25</v>
      </c>
      <c r="I341">
        <v>985.16998291015625</v>
      </c>
      <c r="J341">
        <v>1358</v>
      </c>
    </row>
    <row r="342" spans="1:10" x14ac:dyDescent="0.25">
      <c r="A342">
        <v>20888</v>
      </c>
      <c r="B342" t="str">
        <v>Beeyu Overseas</v>
      </c>
      <c r="C342">
        <v>42.083786000000003</v>
      </c>
      <c r="D342">
        <v>2.8133499622344971</v>
      </c>
      <c r="E342">
        <v>1.514754056930542</v>
      </c>
      <c r="F342">
        <v>0.53841698169708252</v>
      </c>
      <c r="G342">
        <v>3.125</v>
      </c>
      <c r="H342">
        <v>0</v>
      </c>
      <c r="I342">
        <v>4.679999828338623</v>
      </c>
      <c r="J342">
        <v>1095</v>
      </c>
    </row>
    <row r="343" spans="1:10" x14ac:dyDescent="0.25">
      <c r="A343">
        <v>66759</v>
      </c>
      <c r="B343" t="str">
        <v>Bella Casa Fashi</v>
      </c>
      <c r="C343">
        <v>27.814845999999999</v>
      </c>
      <c r="D343">
        <v>199.48512268066406</v>
      </c>
      <c r="E343">
        <v>141.57243347167969</v>
      </c>
      <c r="F343">
        <v>0.70968902111053467</v>
      </c>
      <c r="G343">
        <v>479.5625</v>
      </c>
      <c r="H343">
        <v>0.51999998092651367</v>
      </c>
      <c r="I343">
        <v>630.82000732421875</v>
      </c>
      <c r="J343">
        <v>1345</v>
      </c>
    </row>
    <row r="344" spans="1:10" x14ac:dyDescent="0.25">
      <c r="A344">
        <v>5712</v>
      </c>
      <c r="B344" t="str">
        <v>Bemco Hydraulics</v>
      </c>
      <c r="C344">
        <v>62.145080999999998</v>
      </c>
      <c r="D344">
        <v>703.09881591796875</v>
      </c>
      <c r="E344">
        <v>552.1619873046875</v>
      </c>
      <c r="F344">
        <v>0.78532600402832031</v>
      </c>
      <c r="G344">
        <v>2338.1875</v>
      </c>
      <c r="H344">
        <v>0.18999999761581421</v>
      </c>
      <c r="I344">
        <v>505.57000732421875</v>
      </c>
      <c r="J344">
        <v>1199</v>
      </c>
    </row>
    <row r="345" spans="1:10" x14ac:dyDescent="0.25">
      <c r="A345">
        <v>1266</v>
      </c>
      <c r="B345" t="str">
        <v>Benares Hotels</v>
      </c>
      <c r="C345">
        <v>36.583188</v>
      </c>
      <c r="D345">
        <v>4292.86865234375</v>
      </c>
      <c r="E345">
        <v>3353.60888671875</v>
      </c>
      <c r="F345">
        <v>0.78120499849319458</v>
      </c>
      <c r="G345">
        <v>9753.537109375</v>
      </c>
      <c r="H345">
        <v>1.9999999552965164E-2</v>
      </c>
      <c r="I345">
        <v>1263.8499755859375</v>
      </c>
      <c r="J345">
        <v>1350</v>
      </c>
    </row>
    <row r="346" spans="1:10" x14ac:dyDescent="0.25">
      <c r="A346">
        <v>30381</v>
      </c>
      <c r="B346" t="str">
        <v>Bengal &amp; Assam</v>
      </c>
      <c r="C346">
        <v>33.084319999999998</v>
      </c>
      <c r="D346">
        <v>4342.86962890625</v>
      </c>
      <c r="E346">
        <v>3012.765625</v>
      </c>
      <c r="F346">
        <v>0.69372701644897461</v>
      </c>
      <c r="G346">
        <v>7461.087890625</v>
      </c>
      <c r="H346">
        <v>0.12999999523162842</v>
      </c>
      <c r="I346">
        <v>8347.3701171875</v>
      </c>
      <c r="J346">
        <v>1359</v>
      </c>
    </row>
    <row r="347" spans="1:10" x14ac:dyDescent="0.25">
      <c r="A347">
        <v>3116</v>
      </c>
      <c r="B347" t="str">
        <v>Bengal Tea &amp; Fab</v>
      </c>
      <c r="C347">
        <v>30.396139000000002</v>
      </c>
      <c r="D347">
        <v>85.436225891113281</v>
      </c>
      <c r="E347">
        <v>44.657783508300781</v>
      </c>
      <c r="F347">
        <v>0.52270299196243286</v>
      </c>
      <c r="G347">
        <v>138.86250305175781</v>
      </c>
      <c r="H347">
        <v>5.9999998658895493E-2</v>
      </c>
      <c r="I347">
        <v>124.41999816894531</v>
      </c>
      <c r="J347">
        <v>1299</v>
      </c>
    </row>
    <row r="348" spans="1:10" x14ac:dyDescent="0.25">
      <c r="A348">
        <v>64</v>
      </c>
      <c r="B348" t="str">
        <v>Berger Paints</v>
      </c>
      <c r="C348">
        <v>4.4278880000000003</v>
      </c>
      <c r="D348">
        <v>543.450439453125</v>
      </c>
      <c r="E348">
        <v>74.79644775390625</v>
      </c>
      <c r="F348">
        <v>0.13763199746608734</v>
      </c>
      <c r="G348">
        <v>548.8375244140625</v>
      </c>
      <c r="H348">
        <v>0.18000000715255737</v>
      </c>
      <c r="I348">
        <v>63471.30859375</v>
      </c>
      <c r="J348">
        <v>1359</v>
      </c>
    </row>
    <row r="349" spans="1:10" x14ac:dyDescent="0.25">
      <c r="A349">
        <v>6246</v>
      </c>
      <c r="B349" t="str">
        <v>Bervin Invest.</v>
      </c>
      <c r="C349">
        <v>27.926555</v>
      </c>
      <c r="D349">
        <v>36.674625396728516</v>
      </c>
      <c r="E349">
        <v>17.963933944702148</v>
      </c>
      <c r="F349">
        <v>0.4898189902305603</v>
      </c>
      <c r="G349">
        <v>62.972499847412109</v>
      </c>
      <c r="H349">
        <v>0.75</v>
      </c>
      <c r="I349">
        <v>36.060001373291016</v>
      </c>
      <c r="J349">
        <v>1132</v>
      </c>
    </row>
    <row r="350" spans="1:10" x14ac:dyDescent="0.25">
      <c r="A350">
        <v>3982</v>
      </c>
      <c r="B350" t="str">
        <v>Beryl Drugs</v>
      </c>
      <c r="C350">
        <v>25.737677999999999</v>
      </c>
      <c r="D350">
        <v>16.695863723754883</v>
      </c>
      <c r="E350">
        <v>10.656829833984375</v>
      </c>
      <c r="F350">
        <v>0.63829201459884644</v>
      </c>
      <c r="G350">
        <v>19.142499923706055</v>
      </c>
      <c r="H350">
        <v>0.56999999284744263</v>
      </c>
      <c r="I350">
        <v>9.5399999618530273</v>
      </c>
      <c r="J350">
        <v>1313</v>
      </c>
    </row>
    <row r="351" spans="1:10" x14ac:dyDescent="0.25">
      <c r="A351">
        <v>6926</v>
      </c>
      <c r="B351" t="str">
        <v>Beryl Securities</v>
      </c>
      <c r="C351">
        <v>26.497695</v>
      </c>
      <c r="D351">
        <v>17.322927474975586</v>
      </c>
      <c r="E351">
        <v>10.440084457397461</v>
      </c>
      <c r="F351">
        <v>0.60267400741577148</v>
      </c>
      <c r="G351">
        <v>28.229999542236328</v>
      </c>
      <c r="H351">
        <v>0</v>
      </c>
      <c r="I351">
        <v>13.689999580383301</v>
      </c>
      <c r="J351">
        <v>1073</v>
      </c>
    </row>
    <row r="352" spans="1:10" x14ac:dyDescent="0.25">
      <c r="A352">
        <v>7862</v>
      </c>
      <c r="B352" t="str">
        <v>Best Agrolife</v>
      </c>
      <c r="C352">
        <v>5.6354410000000001</v>
      </c>
      <c r="D352">
        <v>742.13836669921875</v>
      </c>
      <c r="E352">
        <v>358.41986083984375</v>
      </c>
      <c r="F352">
        <v>0.48295599222183228</v>
      </c>
      <c r="G352">
        <v>314.70001220703125</v>
      </c>
      <c r="H352">
        <v>0.88999998569488525</v>
      </c>
      <c r="I352">
        <v>745.15997314453125</v>
      </c>
      <c r="J352">
        <v>1359</v>
      </c>
    </row>
    <row r="353" spans="1:10" x14ac:dyDescent="0.25">
      <c r="A353">
        <v>3308</v>
      </c>
      <c r="B353" t="str">
        <v>Best Eastern Hot</v>
      </c>
      <c r="C353">
        <v>14.785166</v>
      </c>
      <c r="D353">
        <v>24.764375686645508</v>
      </c>
      <c r="E353">
        <v>11.063138961791992</v>
      </c>
      <c r="F353">
        <v>0.44673600792884827</v>
      </c>
      <c r="G353">
        <v>14.444999694824219</v>
      </c>
      <c r="H353">
        <v>0.33000001311302185</v>
      </c>
      <c r="I353">
        <v>23.760000228881836</v>
      </c>
      <c r="J353">
        <v>1072</v>
      </c>
    </row>
    <row r="354" spans="1:10" x14ac:dyDescent="0.25">
      <c r="A354">
        <v>1802</v>
      </c>
      <c r="B354" t="str">
        <v>Betex India</v>
      </c>
      <c r="C354">
        <v>55.811072000000003</v>
      </c>
      <c r="D354">
        <v>157.48631286621094</v>
      </c>
      <c r="E354">
        <v>136.53099060058594</v>
      </c>
      <c r="F354">
        <v>0.8669390082359314</v>
      </c>
      <c r="G354">
        <v>396.86248779296875</v>
      </c>
      <c r="H354">
        <v>0.10000000149011612</v>
      </c>
      <c r="I354">
        <v>60</v>
      </c>
      <c r="J354">
        <v>1226</v>
      </c>
    </row>
    <row r="355" spans="1:10" x14ac:dyDescent="0.25">
      <c r="A355">
        <v>67</v>
      </c>
      <c r="B355" t="str">
        <v>Bhagawati Oxygen</v>
      </c>
      <c r="C355">
        <v>40.211413999999998</v>
      </c>
      <c r="D355">
        <v>40.347202301025391</v>
      </c>
      <c r="E355">
        <v>14.613194465637207</v>
      </c>
      <c r="F355">
        <v>0.3621860146522522</v>
      </c>
      <c r="G355">
        <v>45.790000915527344</v>
      </c>
      <c r="H355">
        <v>0.88999998569488525</v>
      </c>
      <c r="I355">
        <v>10.510000228881836</v>
      </c>
      <c r="J355">
        <v>1236</v>
      </c>
    </row>
    <row r="356" spans="1:10" x14ac:dyDescent="0.25">
      <c r="A356">
        <v>5247</v>
      </c>
      <c r="B356" t="str">
        <v>Bhageria Indust.</v>
      </c>
      <c r="C356">
        <v>8.4199719999999996</v>
      </c>
      <c r="D356">
        <v>175.37774658203125</v>
      </c>
      <c r="E356">
        <v>46.106876373291016</v>
      </c>
      <c r="F356">
        <v>0.26289999485015869</v>
      </c>
      <c r="G356">
        <v>183.51249694824219</v>
      </c>
      <c r="H356">
        <v>7.0000000298023224E-2</v>
      </c>
      <c r="I356">
        <v>790.4000244140625</v>
      </c>
      <c r="J356">
        <v>1359</v>
      </c>
    </row>
    <row r="357" spans="1:10" x14ac:dyDescent="0.25">
      <c r="A357">
        <v>13996</v>
      </c>
      <c r="B357" t="str">
        <v>Bhagiradha Chem.</v>
      </c>
      <c r="C357">
        <v>42.034213000000001</v>
      </c>
      <c r="D357">
        <v>133.498779296875</v>
      </c>
      <c r="E357">
        <v>100.92768859863281</v>
      </c>
      <c r="F357">
        <v>0.75602000951766968</v>
      </c>
      <c r="G357">
        <v>297.82501220703125</v>
      </c>
      <c r="H357">
        <v>0.15000000596046448</v>
      </c>
      <c r="I357">
        <v>3861.550048828125</v>
      </c>
      <c r="J357">
        <v>1357</v>
      </c>
    </row>
    <row r="358" spans="1:10" x14ac:dyDescent="0.25">
      <c r="A358">
        <v>640</v>
      </c>
      <c r="B358" t="str">
        <v>Bhagwati Auto</v>
      </c>
      <c r="C358">
        <v>26.242614</v>
      </c>
      <c r="D358">
        <v>291.93649291992188</v>
      </c>
      <c r="E358">
        <v>159.92623901367188</v>
      </c>
      <c r="F358">
        <v>0.54781198501586914</v>
      </c>
      <c r="G358">
        <v>341.35000610351563</v>
      </c>
      <c r="H358">
        <v>0.25</v>
      </c>
      <c r="I358">
        <v>98.209999084472656</v>
      </c>
      <c r="J358">
        <v>1208</v>
      </c>
    </row>
    <row r="359" spans="1:10" x14ac:dyDescent="0.25">
      <c r="A359">
        <v>2329</v>
      </c>
      <c r="B359" t="str">
        <v>Bhagyanagar Ind</v>
      </c>
      <c r="C359">
        <v>25.796834</v>
      </c>
      <c r="D359">
        <v>57.591018676757813</v>
      </c>
      <c r="E359">
        <v>28.615306854248047</v>
      </c>
      <c r="F359">
        <v>0.49687099456787109</v>
      </c>
      <c r="G359">
        <v>72.787498474121094</v>
      </c>
      <c r="H359">
        <v>0.40000000596046448</v>
      </c>
      <c r="I359">
        <v>229.47000122070313</v>
      </c>
      <c r="J359">
        <v>1338</v>
      </c>
    </row>
    <row r="360" spans="1:10" x14ac:dyDescent="0.25">
      <c r="A360">
        <v>70753</v>
      </c>
      <c r="B360" t="str">
        <v>Bhakti Gems</v>
      </c>
      <c r="C360">
        <v>-16.508116999999999</v>
      </c>
      <c r="D360">
        <v>23.279115676879883</v>
      </c>
      <c r="E360">
        <v>15.972184181213379</v>
      </c>
      <c r="F360">
        <v>0.68611598014831543</v>
      </c>
      <c r="G360">
        <v>12.237500190734863</v>
      </c>
      <c r="H360">
        <v>0.25999999046325684</v>
      </c>
      <c r="I360">
        <v>18.629999160766602</v>
      </c>
      <c r="J360">
        <v>1271</v>
      </c>
    </row>
    <row r="361" spans="1:10" x14ac:dyDescent="0.25">
      <c r="A361">
        <v>1214</v>
      </c>
      <c r="B361" t="str">
        <v>Bhansali Engg.</v>
      </c>
      <c r="C361">
        <v>22.034407000000002</v>
      </c>
      <c r="D361">
        <v>90.766487121582031</v>
      </c>
      <c r="E361">
        <v>32.87664794921875</v>
      </c>
      <c r="F361">
        <v>0.36221098899841309</v>
      </c>
      <c r="G361">
        <v>111.57499694824219</v>
      </c>
      <c r="H361">
        <v>0</v>
      </c>
      <c r="I361">
        <v>2726.239990234375</v>
      </c>
      <c r="J361">
        <v>1359</v>
      </c>
    </row>
    <row r="362" spans="1:10" x14ac:dyDescent="0.25">
      <c r="A362">
        <v>872</v>
      </c>
      <c r="B362" t="str">
        <v>Bharat Agri Fert</v>
      </c>
      <c r="C362">
        <v>17.011921999999998</v>
      </c>
      <c r="D362">
        <v>57.744266510009766</v>
      </c>
      <c r="E362">
        <v>38.738552093505859</v>
      </c>
      <c r="F362">
        <v>0.67086398601531982</v>
      </c>
      <c r="G362">
        <v>41.240001678466797</v>
      </c>
      <c r="H362">
        <v>0.72000002861022949</v>
      </c>
      <c r="I362">
        <v>217.97000122070313</v>
      </c>
      <c r="J362">
        <v>1349</v>
      </c>
    </row>
    <row r="363" spans="1:10" x14ac:dyDescent="0.25">
      <c r="A363">
        <v>3862</v>
      </c>
      <c r="B363" t="str">
        <v>Bharat Bhushan</v>
      </c>
      <c r="C363">
        <v>26.360209000000001</v>
      </c>
      <c r="D363">
        <v>16.794458389282227</v>
      </c>
      <c r="E363">
        <v>7.3799958229064941</v>
      </c>
      <c r="F363">
        <v>0.43942999839782715</v>
      </c>
      <c r="G363">
        <v>31.889999389648438</v>
      </c>
      <c r="H363">
        <v>0</v>
      </c>
      <c r="I363">
        <v>21.079999923706055</v>
      </c>
      <c r="J363">
        <v>1355</v>
      </c>
    </row>
    <row r="364" spans="1:10" x14ac:dyDescent="0.25">
      <c r="A364">
        <v>68</v>
      </c>
      <c r="B364" t="str">
        <v>Bharat Bijlee</v>
      </c>
      <c r="C364">
        <v>36.973717999999998</v>
      </c>
      <c r="D364">
        <v>1636.4024658203125</v>
      </c>
      <c r="E364">
        <v>1365.8719482421875</v>
      </c>
      <c r="F364">
        <v>0.83468002080917358</v>
      </c>
      <c r="G364">
        <v>2853.387451171875</v>
      </c>
      <c r="H364">
        <v>0.12999999523162842</v>
      </c>
      <c r="I364">
        <v>3195.050048828125</v>
      </c>
      <c r="J364">
        <v>1359</v>
      </c>
    </row>
    <row r="365" spans="1:10" x14ac:dyDescent="0.25">
      <c r="A365">
        <v>17540</v>
      </c>
      <c r="B365" t="str">
        <v>Bharat Dynamics</v>
      </c>
      <c r="C365">
        <v>49.503959999999999</v>
      </c>
      <c r="D365">
        <v>555.59710693359375</v>
      </c>
      <c r="E365">
        <v>456.87295532226563</v>
      </c>
      <c r="F365">
        <v>0.82230997085571289</v>
      </c>
      <c r="G365">
        <v>1902.262451171875</v>
      </c>
      <c r="H365">
        <v>0</v>
      </c>
      <c r="I365">
        <v>69043.8828125</v>
      </c>
      <c r="J365">
        <v>1359</v>
      </c>
    </row>
    <row r="366" spans="1:10" x14ac:dyDescent="0.25">
      <c r="A366">
        <v>2298</v>
      </c>
      <c r="B366" t="str">
        <v>Bharat Electron</v>
      </c>
      <c r="C366">
        <v>48.002512000000003</v>
      </c>
      <c r="D366">
        <v>127.99855041503906</v>
      </c>
      <c r="E366">
        <v>98.98388671875</v>
      </c>
      <c r="F366">
        <v>0.77332001924514771</v>
      </c>
      <c r="G366">
        <v>399.11248779296875</v>
      </c>
      <c r="H366">
        <v>0</v>
      </c>
      <c r="I366">
        <v>291331.25</v>
      </c>
      <c r="J366">
        <v>1359</v>
      </c>
    </row>
    <row r="367" spans="1:10" x14ac:dyDescent="0.25">
      <c r="A367">
        <v>69</v>
      </c>
      <c r="B367" t="str">
        <v>Bharat Forge</v>
      </c>
      <c r="C367">
        <v>18.311520999999999</v>
      </c>
      <c r="D367">
        <v>866.1895751953125</v>
      </c>
      <c r="E367">
        <v>347.64108276367188</v>
      </c>
      <c r="F367">
        <v>0.40134501457214355</v>
      </c>
      <c r="G367">
        <v>1291.625</v>
      </c>
      <c r="H367">
        <v>0.5899999737739563</v>
      </c>
      <c r="I367">
        <v>61008.890625</v>
      </c>
      <c r="J367">
        <v>1359</v>
      </c>
    </row>
    <row r="368" spans="1:10" x14ac:dyDescent="0.25">
      <c r="A368">
        <v>70</v>
      </c>
      <c r="B368" t="str">
        <v>Bharat Gears</v>
      </c>
      <c r="C368">
        <v>10.437931000000001</v>
      </c>
      <c r="D368">
        <v>89.671768188476563</v>
      </c>
      <c r="E368">
        <v>35.302822113037109</v>
      </c>
      <c r="F368">
        <v>0.39368900656700134</v>
      </c>
      <c r="G368">
        <v>88.267501831054688</v>
      </c>
      <c r="H368">
        <v>0.99000000953674316</v>
      </c>
      <c r="I368">
        <v>133.91000366210938</v>
      </c>
      <c r="J368">
        <v>1356</v>
      </c>
    </row>
    <row r="369" spans="1:10" x14ac:dyDescent="0.25">
      <c r="A369">
        <v>4650</v>
      </c>
      <c r="B369" t="str">
        <v>Bharat Global</v>
      </c>
      <c r="C369">
        <v>46.886771000000003</v>
      </c>
      <c r="D369">
        <v>327.39337158203125</v>
      </c>
      <c r="E369">
        <v>375.07000732421875</v>
      </c>
      <c r="F369">
        <v>1.1456249952316284</v>
      </c>
      <c r="G369">
        <v>185.625</v>
      </c>
      <c r="H369">
        <v>7.9999998211860657E-2</v>
      </c>
      <c r="I369">
        <v>1857.6099853515625</v>
      </c>
      <c r="J369">
        <v>357</v>
      </c>
    </row>
    <row r="370" spans="1:10" x14ac:dyDescent="0.25">
      <c r="A370">
        <v>4148</v>
      </c>
      <c r="B370" t="str">
        <v>Bharat Immunolog</v>
      </c>
      <c r="C370">
        <v>22.413343999999999</v>
      </c>
      <c r="D370">
        <v>32.393871307373047</v>
      </c>
      <c r="E370">
        <v>15.007146835327148</v>
      </c>
      <c r="F370">
        <v>0.46327099204063416</v>
      </c>
      <c r="G370">
        <v>24.302499771118164</v>
      </c>
      <c r="H370">
        <v>0</v>
      </c>
      <c r="I370">
        <v>104.37000274658203</v>
      </c>
      <c r="J370">
        <v>1359</v>
      </c>
    </row>
    <row r="371" spans="1:10" x14ac:dyDescent="0.25">
      <c r="A371">
        <v>3882</v>
      </c>
      <c r="B371" t="str">
        <v>Bharat Parenter.</v>
      </c>
      <c r="C371">
        <v>36.359205000000003</v>
      </c>
      <c r="D371">
        <v>628.19342041015625</v>
      </c>
      <c r="E371">
        <v>457.38369750976563</v>
      </c>
      <c r="F371">
        <v>0.72809398174285889</v>
      </c>
      <c r="G371">
        <v>1127.75</v>
      </c>
      <c r="H371">
        <v>0.31999999284744263</v>
      </c>
      <c r="I371">
        <v>778.30999755859375</v>
      </c>
      <c r="J371">
        <v>1348</v>
      </c>
    </row>
    <row r="372" spans="1:10" x14ac:dyDescent="0.25">
      <c r="A372">
        <v>2777</v>
      </c>
      <c r="B372" t="str">
        <v>Bharat Rasayan</v>
      </c>
      <c r="C372">
        <v>8.7087859999999999</v>
      </c>
      <c r="D372">
        <v>10163.0283203125</v>
      </c>
      <c r="E372">
        <v>1796.4464111328125</v>
      </c>
      <c r="F372">
        <v>0.17676299810409546</v>
      </c>
      <c r="G372">
        <v>10076.75</v>
      </c>
      <c r="H372">
        <v>5.9999998658895493E-2</v>
      </c>
      <c r="I372">
        <v>4205.08984375</v>
      </c>
      <c r="J372">
        <v>1358</v>
      </c>
    </row>
    <row r="373" spans="1:10" x14ac:dyDescent="0.25">
      <c r="A373">
        <v>65437</v>
      </c>
      <c r="B373" t="str">
        <v>Bharat Road</v>
      </c>
      <c r="C373">
        <v>-17.440217000000001</v>
      </c>
      <c r="D373">
        <v>39.0299072265625</v>
      </c>
      <c r="E373">
        <v>12.01056957244873</v>
      </c>
      <c r="F373">
        <v>0.30772700905799866</v>
      </c>
      <c r="G373">
        <v>21.840000152587891</v>
      </c>
      <c r="H373">
        <v>0.38999998569488525</v>
      </c>
      <c r="I373">
        <v>181.16000366210938</v>
      </c>
      <c r="J373">
        <v>1351</v>
      </c>
    </row>
    <row r="374" spans="1:10" x14ac:dyDescent="0.25">
      <c r="A374">
        <v>1138</v>
      </c>
      <c r="B374" t="str">
        <v>Bharat Seats</v>
      </c>
      <c r="C374">
        <v>20.229468000000001</v>
      </c>
      <c r="D374">
        <v>54.036670684814453</v>
      </c>
      <c r="E374">
        <v>24.301778793334961</v>
      </c>
      <c r="F374">
        <v>0.44972801208496094</v>
      </c>
      <c r="G374">
        <v>101.47499847412109</v>
      </c>
      <c r="H374">
        <v>0.86000001430511475</v>
      </c>
      <c r="I374">
        <v>642.1300048828125</v>
      </c>
      <c r="J374">
        <v>1359</v>
      </c>
    </row>
    <row r="375" spans="1:10" x14ac:dyDescent="0.25">
      <c r="A375">
        <v>66768</v>
      </c>
      <c r="B375" t="str">
        <v>Bharat Wire</v>
      </c>
      <c r="C375">
        <v>37.593071999999999</v>
      </c>
      <c r="D375">
        <v>133.4437255859375</v>
      </c>
      <c r="E375">
        <v>98.908576965332031</v>
      </c>
      <c r="F375">
        <v>0.74120098352432251</v>
      </c>
      <c r="G375">
        <v>218.86250305175781</v>
      </c>
      <c r="H375">
        <v>0.25999999046325684</v>
      </c>
      <c r="I375">
        <v>1451.5899658203125</v>
      </c>
      <c r="J375">
        <v>1344</v>
      </c>
    </row>
    <row r="376" spans="1:10" x14ac:dyDescent="0.25">
      <c r="A376">
        <v>40479</v>
      </c>
      <c r="B376" t="str">
        <v>Bharatiya Glob.</v>
      </c>
      <c r="C376">
        <v>9.984629</v>
      </c>
      <c r="D376">
        <v>2.8832879066467285</v>
      </c>
      <c r="E376">
        <v>1.039795994758606</v>
      </c>
      <c r="F376">
        <v>0.36062899231910706</v>
      </c>
      <c r="G376">
        <v>3.0850000381469727</v>
      </c>
      <c r="H376">
        <v>5.000000074505806E-2</v>
      </c>
      <c r="I376">
        <v>4.8499999046325684</v>
      </c>
      <c r="J376">
        <v>257</v>
      </c>
    </row>
    <row r="377" spans="1:10" x14ac:dyDescent="0.25">
      <c r="A377">
        <v>3766</v>
      </c>
      <c r="B377" t="str">
        <v>Bhaskar Agrochem</v>
      </c>
      <c r="C377">
        <v>43.791983000000002</v>
      </c>
      <c r="D377">
        <v>52.415332794189453</v>
      </c>
      <c r="E377">
        <v>21.081027984619141</v>
      </c>
      <c r="F377">
        <v>0.40219199657440186</v>
      </c>
      <c r="G377">
        <v>140.54499816894531</v>
      </c>
      <c r="H377">
        <v>0.98000001907348633</v>
      </c>
      <c r="I377">
        <v>69.599998474121094</v>
      </c>
      <c r="J377">
        <v>1259</v>
      </c>
    </row>
    <row r="378" spans="1:10" x14ac:dyDescent="0.25">
      <c r="A378">
        <v>3003</v>
      </c>
      <c r="B378" t="str">
        <v>Bhilwara Spinner</v>
      </c>
      <c r="C378">
        <v>59.552024000000003</v>
      </c>
      <c r="D378">
        <v>62.569255828857422</v>
      </c>
      <c r="E378">
        <v>50.457435607910156</v>
      </c>
      <c r="F378">
        <v>0.80642497539520264</v>
      </c>
      <c r="G378">
        <v>130.125</v>
      </c>
      <c r="H378">
        <v>0.75</v>
      </c>
      <c r="I378">
        <v>117.65000152587891</v>
      </c>
      <c r="J378">
        <v>1235</v>
      </c>
    </row>
    <row r="379" spans="1:10" x14ac:dyDescent="0.25">
      <c r="A379">
        <v>33460</v>
      </c>
      <c r="B379" t="str">
        <v>Bhilwara Tech</v>
      </c>
      <c r="C379">
        <v>40.801167</v>
      </c>
      <c r="D379">
        <v>22.703092575073242</v>
      </c>
      <c r="E379">
        <v>16.034154891967773</v>
      </c>
      <c r="F379">
        <v>0.70625400543212891</v>
      </c>
      <c r="G379">
        <v>44.825000762939453</v>
      </c>
      <c r="H379">
        <v>0</v>
      </c>
      <c r="I379">
        <v>256.83999633789063</v>
      </c>
      <c r="J379">
        <v>1354</v>
      </c>
    </row>
    <row r="380" spans="1:10" x14ac:dyDescent="0.25">
      <c r="A380">
        <v>1187</v>
      </c>
      <c r="B380" t="str">
        <v>Bihar Sponge</v>
      </c>
      <c r="C380">
        <v>65.218817000000001</v>
      </c>
      <c r="D380">
        <v>9.6921863555908203</v>
      </c>
      <c r="E380">
        <v>5.6194839477539063</v>
      </c>
      <c r="F380">
        <v>0.57979500293731689</v>
      </c>
      <c r="G380">
        <v>14.449999809265137</v>
      </c>
      <c r="H380">
        <v>0</v>
      </c>
      <c r="I380">
        <v>129.99000549316406</v>
      </c>
      <c r="J380">
        <v>1294</v>
      </c>
    </row>
    <row r="381" spans="1:10" x14ac:dyDescent="0.25">
      <c r="A381">
        <v>38133</v>
      </c>
      <c r="B381" t="str">
        <v>Bil Energy Sys.</v>
      </c>
      <c r="C381">
        <v>-24.497904999999999</v>
      </c>
      <c r="D381">
        <v>0.83010399341583252</v>
      </c>
      <c r="E381">
        <v>0.22524300217628479</v>
      </c>
      <c r="F381">
        <v>0.27134299278259277</v>
      </c>
      <c r="G381">
        <v>0.66750001907348633</v>
      </c>
      <c r="H381">
        <v>0</v>
      </c>
      <c r="I381">
        <v>13.949999809265137</v>
      </c>
      <c r="J381">
        <v>289</v>
      </c>
    </row>
    <row r="382" spans="1:10" x14ac:dyDescent="0.25">
      <c r="A382">
        <v>4735</v>
      </c>
      <c r="B382" t="str">
        <v>Bilcare</v>
      </c>
      <c r="C382">
        <v>25.311997000000002</v>
      </c>
      <c r="D382">
        <v>60.324501037597656</v>
      </c>
      <c r="E382">
        <v>18.142084121704102</v>
      </c>
      <c r="F382">
        <v>0.30074200034141541</v>
      </c>
      <c r="G382">
        <v>76.980003356933594</v>
      </c>
      <c r="H382">
        <v>1.9999999552965164E-2</v>
      </c>
      <c r="I382">
        <v>181.27000427246094</v>
      </c>
      <c r="J382">
        <v>1358</v>
      </c>
    </row>
    <row r="383" spans="1:10" x14ac:dyDescent="0.25">
      <c r="A383">
        <v>76</v>
      </c>
      <c r="B383" t="str">
        <v>Bimetal Bearings</v>
      </c>
      <c r="C383">
        <v>11.543485</v>
      </c>
      <c r="D383">
        <v>441.12545776367188</v>
      </c>
      <c r="E383">
        <v>152.64845275878906</v>
      </c>
      <c r="F383">
        <v>0.34604299068450928</v>
      </c>
      <c r="G383">
        <v>592.4625244140625</v>
      </c>
      <c r="H383">
        <v>3.9999999105930328E-2</v>
      </c>
      <c r="I383">
        <v>228.10000610351563</v>
      </c>
      <c r="J383">
        <v>1355</v>
      </c>
    </row>
    <row r="384" spans="1:10" x14ac:dyDescent="0.25">
      <c r="A384">
        <v>2385</v>
      </c>
      <c r="B384" t="str">
        <v>Binani Industrie</v>
      </c>
      <c r="C384">
        <v>11.994427999999999</v>
      </c>
      <c r="D384">
        <v>16.331886291503906</v>
      </c>
      <c r="E384">
        <v>3.7928979396820068</v>
      </c>
      <c r="F384">
        <v>0.23223899304866791</v>
      </c>
      <c r="G384">
        <v>13.627499580383301</v>
      </c>
      <c r="H384">
        <v>0</v>
      </c>
      <c r="I384">
        <v>41.689998626708984</v>
      </c>
      <c r="J384">
        <v>590</v>
      </c>
    </row>
    <row r="385" spans="1:10" x14ac:dyDescent="0.25">
      <c r="A385">
        <v>2175</v>
      </c>
      <c r="B385" t="str">
        <v>Binayaka Tex Pr</v>
      </c>
      <c r="C385">
        <v>24.005552999999999</v>
      </c>
      <c r="D385">
        <v>1036.629150390625</v>
      </c>
      <c r="E385">
        <v>486.83963012695313</v>
      </c>
      <c r="F385">
        <v>0.46963700652122498</v>
      </c>
      <c r="G385">
        <v>2085.02490234375</v>
      </c>
      <c r="H385">
        <v>0.60000002384185791</v>
      </c>
      <c r="I385">
        <v>152.64999389648438</v>
      </c>
      <c r="J385">
        <v>650</v>
      </c>
    </row>
    <row r="386" spans="1:10" x14ac:dyDescent="0.25">
      <c r="A386">
        <v>768</v>
      </c>
      <c r="B386" t="str">
        <v>Binny</v>
      </c>
      <c r="C386">
        <v>14.056611999999999</v>
      </c>
      <c r="D386">
        <v>208.42520141601563</v>
      </c>
      <c r="E386">
        <v>98.619537353515625</v>
      </c>
      <c r="F386">
        <v>0.47316500544548035</v>
      </c>
      <c r="G386">
        <v>142.30000305175781</v>
      </c>
      <c r="H386">
        <v>0</v>
      </c>
      <c r="I386">
        <v>314.60000610351563</v>
      </c>
      <c r="J386">
        <v>1005</v>
      </c>
    </row>
    <row r="387" spans="1:10" x14ac:dyDescent="0.25">
      <c r="A387">
        <v>36889</v>
      </c>
      <c r="B387" t="str">
        <v>Binny Mills</v>
      </c>
      <c r="C387">
        <v>49.934409000000002</v>
      </c>
      <c r="D387">
        <v>103.69573974609375</v>
      </c>
      <c r="E387">
        <v>47.813793182373047</v>
      </c>
      <c r="F387">
        <v>0.46109700202941895</v>
      </c>
      <c r="G387">
        <v>208.10000610351563</v>
      </c>
      <c r="H387">
        <v>0</v>
      </c>
      <c r="I387">
        <v>66.370002746582031</v>
      </c>
      <c r="J387">
        <v>857</v>
      </c>
    </row>
    <row r="388" spans="1:10" x14ac:dyDescent="0.25">
      <c r="A388">
        <v>14801</v>
      </c>
      <c r="B388" t="str">
        <v>Biocon</v>
      </c>
      <c r="C388">
        <v>3.0401259999999999</v>
      </c>
      <c r="D388">
        <v>331.20040893554688</v>
      </c>
      <c r="E388">
        <v>61.727127075195313</v>
      </c>
      <c r="F388">
        <v>0.1863739937543869</v>
      </c>
      <c r="G388">
        <v>346.42498779296875</v>
      </c>
      <c r="H388">
        <v>0.15000000596046448</v>
      </c>
      <c r="I388">
        <v>41852.921875</v>
      </c>
      <c r="J388">
        <v>1359</v>
      </c>
    </row>
    <row r="389" spans="1:10" x14ac:dyDescent="0.25">
      <c r="A389">
        <v>3284</v>
      </c>
      <c r="B389" t="str">
        <v>Biofil Chemicals</v>
      </c>
      <c r="C389">
        <v>19.104531000000001</v>
      </c>
      <c r="D389">
        <v>59.6912841796875</v>
      </c>
      <c r="E389">
        <v>35.697673797607422</v>
      </c>
      <c r="F389">
        <v>0.59803801774978638</v>
      </c>
      <c r="G389">
        <v>47.402500152587891</v>
      </c>
      <c r="H389">
        <v>2.9999999329447746E-2</v>
      </c>
      <c r="I389">
        <v>75.819999694824219</v>
      </c>
      <c r="J389">
        <v>1354</v>
      </c>
    </row>
    <row r="390" spans="1:10" x14ac:dyDescent="0.25">
      <c r="A390">
        <v>7145</v>
      </c>
      <c r="B390" t="str">
        <v>Biogen Pharma</v>
      </c>
      <c r="C390">
        <v>29.154714999999999</v>
      </c>
      <c r="D390">
        <v>0.81352001428604126</v>
      </c>
      <c r="E390">
        <v>0.41080299019813538</v>
      </c>
      <c r="F390">
        <v>0.5049700140953064</v>
      </c>
      <c r="G390">
        <v>0.9649999737739563</v>
      </c>
      <c r="H390">
        <v>0</v>
      </c>
      <c r="I390">
        <v>62.650001525878906</v>
      </c>
      <c r="J390">
        <v>1275</v>
      </c>
    </row>
    <row r="391" spans="1:10" x14ac:dyDescent="0.25">
      <c r="A391">
        <v>3179</v>
      </c>
      <c r="B391" t="str">
        <v>Birla Cable</v>
      </c>
      <c r="C391">
        <v>21.699300000000001</v>
      </c>
      <c r="D391">
        <v>147.84501647949219</v>
      </c>
      <c r="E391">
        <v>83.457267761230469</v>
      </c>
      <c r="F391">
        <v>0.56449198722839355</v>
      </c>
      <c r="G391">
        <v>193.19999694824219</v>
      </c>
      <c r="H391">
        <v>0.61000001430511475</v>
      </c>
      <c r="I391">
        <v>557.70001220703125</v>
      </c>
      <c r="J391">
        <v>1359</v>
      </c>
    </row>
    <row r="392" spans="1:10" x14ac:dyDescent="0.25">
      <c r="A392">
        <v>77</v>
      </c>
      <c r="B392" t="str">
        <v>Birla Corpn.</v>
      </c>
      <c r="C392">
        <v>14.279375</v>
      </c>
      <c r="D392">
        <v>1079.88916015625</v>
      </c>
      <c r="E392">
        <v>305.35891723632813</v>
      </c>
      <c r="F392">
        <v>0.28276899456977844</v>
      </c>
      <c r="G392">
        <v>1311.949951171875</v>
      </c>
      <c r="H392">
        <v>0.2199999988079071</v>
      </c>
      <c r="I392">
        <v>9915.419921875</v>
      </c>
      <c r="J392">
        <v>1359</v>
      </c>
    </row>
    <row r="393" spans="1:10" x14ac:dyDescent="0.25">
      <c r="A393">
        <v>28612</v>
      </c>
      <c r="B393" t="str">
        <v>Birla Cotsyn</v>
      </c>
      <c r="C393">
        <v>56.376209000000003</v>
      </c>
      <c r="D393">
        <v>9.7423002123832703E-2</v>
      </c>
      <c r="E393">
        <v>2.207300066947937E-2</v>
      </c>
      <c r="F393">
        <v>0.22656999528408051</v>
      </c>
      <c r="G393">
        <v>0.12999999523162842</v>
      </c>
      <c r="H393">
        <v>0</v>
      </c>
      <c r="I393">
        <v>34.930000305175781</v>
      </c>
      <c r="J393">
        <v>162</v>
      </c>
    </row>
    <row r="394" spans="1:10" x14ac:dyDescent="0.25">
      <c r="A394">
        <v>1877</v>
      </c>
      <c r="B394" t="str">
        <v>Birla Precision</v>
      </c>
      <c r="C394">
        <v>35.325566999999999</v>
      </c>
      <c r="D394">
        <v>34.045280456542969</v>
      </c>
      <c r="E394">
        <v>21.539440155029297</v>
      </c>
      <c r="F394">
        <v>0.63266998529434204</v>
      </c>
      <c r="G394">
        <v>45.075000762939453</v>
      </c>
      <c r="H394">
        <v>0.27000001072883606</v>
      </c>
      <c r="I394">
        <v>289.08999633789063</v>
      </c>
      <c r="J394">
        <v>1359</v>
      </c>
    </row>
    <row r="395" spans="1:10" x14ac:dyDescent="0.25">
      <c r="A395">
        <v>259</v>
      </c>
      <c r="B395" t="str">
        <v>BirlaNu Ltd</v>
      </c>
      <c r="C395">
        <v>11.364686000000001</v>
      </c>
      <c r="D395">
        <v>2835.74609375</v>
      </c>
      <c r="E395">
        <v>1083.822509765625</v>
      </c>
      <c r="F395">
        <v>0.38220000267028809</v>
      </c>
      <c r="G395">
        <v>2310.8876953125</v>
      </c>
      <c r="H395">
        <v>0.18999999761581421</v>
      </c>
      <c r="I395">
        <v>1729.8800048828125</v>
      </c>
      <c r="J395">
        <v>1359</v>
      </c>
    </row>
    <row r="396" spans="1:10" x14ac:dyDescent="0.25">
      <c r="A396">
        <v>16541</v>
      </c>
      <c r="B396" t="str">
        <v>Birlasoft Ltd</v>
      </c>
      <c r="C396">
        <v>33.605445000000003</v>
      </c>
      <c r="D396">
        <v>391.35842895507813</v>
      </c>
      <c r="E396">
        <v>190.50657653808594</v>
      </c>
      <c r="F396">
        <v>0.48678299784660339</v>
      </c>
      <c r="G396">
        <v>416.1875</v>
      </c>
      <c r="H396">
        <v>5.000000074505806E-2</v>
      </c>
      <c r="I396">
        <v>11476.900390625</v>
      </c>
      <c r="J396">
        <v>1359</v>
      </c>
    </row>
    <row r="397" spans="1:10" x14ac:dyDescent="0.25">
      <c r="A397">
        <v>1079</v>
      </c>
      <c r="B397" t="str">
        <v>Black Box</v>
      </c>
      <c r="C397">
        <v>55.030611999999998</v>
      </c>
      <c r="D397">
        <v>227.18580627441406</v>
      </c>
      <c r="E397">
        <v>148.37532043457031</v>
      </c>
      <c r="F397">
        <v>0.65310102701187134</v>
      </c>
      <c r="G397">
        <v>484.0625</v>
      </c>
      <c r="H397">
        <v>0.15000000596046448</v>
      </c>
      <c r="I397">
        <v>8101.4501953125</v>
      </c>
      <c r="J397">
        <v>1342</v>
      </c>
    </row>
    <row r="398" spans="1:10" x14ac:dyDescent="0.25">
      <c r="A398">
        <v>2492</v>
      </c>
      <c r="B398" t="str">
        <v>Black Rose Indus</v>
      </c>
      <c r="C398">
        <v>-0.43436900000000001</v>
      </c>
      <c r="D398">
        <v>150.1685791015625</v>
      </c>
      <c r="E398">
        <v>33.443614959716797</v>
      </c>
      <c r="F398">
        <v>0.22270700335502625</v>
      </c>
      <c r="G398">
        <v>99.737503051757813</v>
      </c>
      <c r="H398">
        <v>1.9999999552965164E-2</v>
      </c>
      <c r="I398">
        <v>507.45001220703125</v>
      </c>
      <c r="J398">
        <v>1359</v>
      </c>
    </row>
    <row r="399" spans="1:10" x14ac:dyDescent="0.25">
      <c r="A399">
        <v>79</v>
      </c>
      <c r="B399" t="str">
        <v>Bliss GVS Pharma</v>
      </c>
      <c r="C399">
        <v>-1.3624229999999999</v>
      </c>
      <c r="D399">
        <v>112.16558837890625</v>
      </c>
      <c r="E399">
        <v>31.415754318237305</v>
      </c>
      <c r="F399">
        <v>0.28008401393890381</v>
      </c>
      <c r="G399">
        <v>138.5</v>
      </c>
      <c r="H399">
        <v>7.9999998211860657E-2</v>
      </c>
      <c r="I399">
        <v>1421.969970703125</v>
      </c>
      <c r="J399">
        <v>1359</v>
      </c>
    </row>
    <row r="400" spans="1:10" x14ac:dyDescent="0.25">
      <c r="A400">
        <v>5710</v>
      </c>
      <c r="B400" t="str">
        <v>Bloom Dekor</v>
      </c>
      <c r="C400">
        <v>9.9252109999999991</v>
      </c>
      <c r="D400">
        <v>11.807022094726563</v>
      </c>
      <c r="E400">
        <v>2.6680769920349121</v>
      </c>
      <c r="F400">
        <v>0.22597399353981018</v>
      </c>
      <c r="G400">
        <v>12.837499618530273</v>
      </c>
      <c r="H400">
        <v>0</v>
      </c>
      <c r="I400">
        <v>8.9099998474121094</v>
      </c>
      <c r="J400">
        <v>1020</v>
      </c>
    </row>
    <row r="401" spans="1:10" x14ac:dyDescent="0.25">
      <c r="A401">
        <v>12986</v>
      </c>
      <c r="B401" t="str">
        <v>Blu.Coast Hotel.</v>
      </c>
      <c r="C401">
        <v>27.183292000000002</v>
      </c>
      <c r="D401">
        <v>14.232868194580078</v>
      </c>
      <c r="E401">
        <v>13.231154441833496</v>
      </c>
      <c r="F401">
        <v>0.92962002754211426</v>
      </c>
      <c r="G401">
        <v>32</v>
      </c>
      <c r="H401">
        <v>0</v>
      </c>
      <c r="I401">
        <v>55.020000457763672</v>
      </c>
      <c r="J401">
        <v>381</v>
      </c>
    </row>
    <row r="402" spans="1:10" x14ac:dyDescent="0.25">
      <c r="A402">
        <v>81</v>
      </c>
      <c r="B402" t="str">
        <v>Blue Blends (I)</v>
      </c>
      <c r="C402">
        <v>-7.2599179999999999</v>
      </c>
      <c r="D402">
        <v>0.85668301582336426</v>
      </c>
      <c r="E402">
        <v>0.10365600138902664</v>
      </c>
      <c r="F402">
        <v>0.12099699676036835</v>
      </c>
      <c r="G402">
        <v>0.97000002861022949</v>
      </c>
      <c r="H402">
        <v>0</v>
      </c>
      <c r="I402">
        <v>2.0999999046325684</v>
      </c>
      <c r="J402">
        <v>52</v>
      </c>
    </row>
    <row r="403" spans="1:10" x14ac:dyDescent="0.25">
      <c r="A403">
        <v>4177</v>
      </c>
      <c r="B403" t="str">
        <v>Blue Dart Expres</v>
      </c>
      <c r="C403">
        <v>19.68488</v>
      </c>
      <c r="D403">
        <v>5981.615234375</v>
      </c>
      <c r="E403">
        <v>1859.4771728515625</v>
      </c>
      <c r="F403">
        <v>0.31086501479148865</v>
      </c>
      <c r="G403">
        <v>6213.58740234375</v>
      </c>
      <c r="H403">
        <v>0.20000000298023224</v>
      </c>
      <c r="I403">
        <v>14616.1396484375</v>
      </c>
      <c r="J403">
        <v>1359</v>
      </c>
    </row>
    <row r="404" spans="1:10" x14ac:dyDescent="0.25">
      <c r="A404">
        <v>82</v>
      </c>
      <c r="B404" t="str">
        <v>Blue Star</v>
      </c>
      <c r="C404">
        <v>25.364819000000001</v>
      </c>
      <c r="D404">
        <v>831.7877197265625</v>
      </c>
      <c r="E404">
        <v>566.47381591796875</v>
      </c>
      <c r="F404">
        <v>0.68103200197219849</v>
      </c>
      <c r="G404">
        <v>1603.7750244140625</v>
      </c>
      <c r="H404">
        <v>0.23000000417232513</v>
      </c>
      <c r="I404">
        <v>32715.369140625</v>
      </c>
      <c r="J404">
        <v>1359</v>
      </c>
    </row>
    <row r="405" spans="1:10" x14ac:dyDescent="0.25">
      <c r="A405">
        <v>1003</v>
      </c>
      <c r="B405" t="str">
        <v>Bluechip Tex Ind</v>
      </c>
      <c r="C405">
        <v>9.0690220000000004</v>
      </c>
      <c r="D405">
        <v>133.93601989746094</v>
      </c>
      <c r="E405">
        <v>30.330331802368164</v>
      </c>
      <c r="F405">
        <v>0.2264540046453476</v>
      </c>
      <c r="G405">
        <v>162.5</v>
      </c>
      <c r="H405">
        <v>0.25999999046325684</v>
      </c>
      <c r="I405">
        <v>32.509998321533203</v>
      </c>
      <c r="J405">
        <v>1346</v>
      </c>
    </row>
    <row r="406" spans="1:10" x14ac:dyDescent="0.25">
      <c r="A406">
        <v>7498</v>
      </c>
      <c r="B406" t="str">
        <v>Bluegod Enterta.</v>
      </c>
      <c r="C406">
        <v>13.715317000000001</v>
      </c>
      <c r="D406">
        <v>7.7708258628845215</v>
      </c>
      <c r="E406">
        <v>3.3666279315948486</v>
      </c>
      <c r="F406">
        <v>0.43323901295661926</v>
      </c>
      <c r="G406">
        <v>13.672499656677246</v>
      </c>
      <c r="H406">
        <v>0</v>
      </c>
      <c r="I406">
        <v>74.430000305175781</v>
      </c>
      <c r="J406">
        <v>802</v>
      </c>
    </row>
    <row r="407" spans="1:10" x14ac:dyDescent="0.25">
      <c r="A407">
        <v>3140</v>
      </c>
      <c r="B407" t="str">
        <v>Bodal Chemicals</v>
      </c>
      <c r="C407">
        <v>-1.115362</v>
      </c>
      <c r="D407">
        <v>81.718948364257813</v>
      </c>
      <c r="E407">
        <v>18.323177337646484</v>
      </c>
      <c r="F407">
        <v>0.22422200441360474</v>
      </c>
      <c r="G407">
        <v>68.555000305175781</v>
      </c>
      <c r="H407">
        <v>0.73000001907348633</v>
      </c>
      <c r="I407">
        <v>846.34002685546875</v>
      </c>
      <c r="J407">
        <v>1359</v>
      </c>
    </row>
    <row r="408" spans="1:10" x14ac:dyDescent="0.25">
      <c r="A408">
        <v>22430</v>
      </c>
      <c r="B408" t="str">
        <v>Bodhtree Consul.</v>
      </c>
      <c r="C408">
        <v>6.8695999999999993E-2</v>
      </c>
      <c r="D408">
        <v>27.551855087280273</v>
      </c>
      <c r="E408">
        <v>13.941241264343262</v>
      </c>
      <c r="F408">
        <v>0.50599998235702515</v>
      </c>
      <c r="G408">
        <v>50.727500915527344</v>
      </c>
      <c r="H408">
        <v>0.2199999988079071</v>
      </c>
      <c r="I408">
        <v>88.099998474121094</v>
      </c>
      <c r="J408">
        <v>1036</v>
      </c>
    </row>
    <row r="409" spans="1:10" x14ac:dyDescent="0.25">
      <c r="A409">
        <v>874</v>
      </c>
      <c r="B409" t="str">
        <v>Bombay Cycle</v>
      </c>
      <c r="C409">
        <v>16.335476</v>
      </c>
      <c r="D409">
        <v>992.7088623046875</v>
      </c>
      <c r="E409">
        <v>522.1685791015625</v>
      </c>
      <c r="F409">
        <v>0.52600401639938354</v>
      </c>
      <c r="G409">
        <v>1921.050048828125</v>
      </c>
      <c r="H409">
        <v>1.9999999552965164E-2</v>
      </c>
      <c r="I409">
        <v>78.360000610351563</v>
      </c>
      <c r="J409">
        <v>1307</v>
      </c>
    </row>
    <row r="410" spans="1:10" x14ac:dyDescent="0.25">
      <c r="A410">
        <v>626</v>
      </c>
      <c r="B410" t="str">
        <v>Bombay Oxygen</v>
      </c>
      <c r="C410">
        <v>21.857752999999999</v>
      </c>
      <c r="D410">
        <v>15651.44921875</v>
      </c>
      <c r="E410">
        <v>6762.38525390625</v>
      </c>
      <c r="F410">
        <v>0.43206098675727844</v>
      </c>
      <c r="G410">
        <v>24392.625</v>
      </c>
      <c r="H410">
        <v>0</v>
      </c>
      <c r="I410">
        <v>367.69000244140625</v>
      </c>
      <c r="J410">
        <v>1329</v>
      </c>
    </row>
    <row r="411" spans="1:10" x14ac:dyDescent="0.25">
      <c r="A411">
        <v>25777</v>
      </c>
      <c r="B411" t="str">
        <v>Bombay Rayon</v>
      </c>
      <c r="C411">
        <v>-28.783566</v>
      </c>
      <c r="D411">
        <v>7.4881858825683594</v>
      </c>
      <c r="E411">
        <v>2.6751060485839844</v>
      </c>
      <c r="F411">
        <v>0.35724401473999023</v>
      </c>
      <c r="G411">
        <v>1.7799999713897705</v>
      </c>
      <c r="H411">
        <v>0</v>
      </c>
      <c r="I411">
        <v>57.779998779296875</v>
      </c>
      <c r="J411">
        <v>620</v>
      </c>
    </row>
    <row r="412" spans="1:10" x14ac:dyDescent="0.25">
      <c r="A412">
        <v>92</v>
      </c>
      <c r="B412" t="str">
        <v>Borosil Renew.</v>
      </c>
      <c r="C412">
        <v>50.502510999999998</v>
      </c>
      <c r="D412">
        <v>409.61282348632813</v>
      </c>
      <c r="E412">
        <v>189.6209716796875</v>
      </c>
      <c r="F412">
        <v>0.46292701363563538</v>
      </c>
      <c r="G412">
        <v>530.67498779296875</v>
      </c>
      <c r="H412">
        <v>0.40999999642372131</v>
      </c>
      <c r="I412">
        <v>6956.490234375</v>
      </c>
      <c r="J412">
        <v>1359</v>
      </c>
    </row>
    <row r="413" spans="1:10" x14ac:dyDescent="0.25">
      <c r="A413">
        <v>378</v>
      </c>
      <c r="B413" t="str">
        <v>Bosch</v>
      </c>
      <c r="C413">
        <v>13.889198</v>
      </c>
      <c r="D413">
        <v>19782.1484375</v>
      </c>
      <c r="E413">
        <v>7460.662109375</v>
      </c>
      <c r="F413">
        <v>0.37714099884033203</v>
      </c>
      <c r="G413">
        <v>32453.384765625</v>
      </c>
      <c r="H413">
        <v>0</v>
      </c>
      <c r="I413">
        <v>95478.140625</v>
      </c>
      <c r="J413">
        <v>1359</v>
      </c>
    </row>
    <row r="414" spans="1:10" x14ac:dyDescent="0.25">
      <c r="A414">
        <v>2803</v>
      </c>
      <c r="B414" t="str">
        <v>Brady &amp; Morris</v>
      </c>
      <c r="C414">
        <v>78.298451999999997</v>
      </c>
      <c r="D414">
        <v>502.9073486328125</v>
      </c>
      <c r="E414">
        <v>559.50775146484375</v>
      </c>
      <c r="F414">
        <v>1.1125459671020508</v>
      </c>
      <c r="G414">
        <v>1588.0625</v>
      </c>
      <c r="H414">
        <v>0.12999999523162842</v>
      </c>
      <c r="I414">
        <v>352.3599853515625</v>
      </c>
      <c r="J414">
        <v>1235</v>
      </c>
    </row>
    <row r="415" spans="1:10" x14ac:dyDescent="0.25">
      <c r="A415">
        <v>4887</v>
      </c>
      <c r="B415" t="str">
        <v>Brawn Biotech</v>
      </c>
      <c r="C415">
        <v>-8.3246420000000008</v>
      </c>
      <c r="D415">
        <v>20.961145401000977</v>
      </c>
      <c r="E415">
        <v>3.7998549938201904</v>
      </c>
      <c r="F415">
        <v>0.18128100037574768</v>
      </c>
      <c r="G415">
        <v>16.834999084472656</v>
      </c>
      <c r="H415">
        <v>0</v>
      </c>
      <c r="I415">
        <v>4.8600001335144043</v>
      </c>
      <c r="J415">
        <v>1200</v>
      </c>
    </row>
    <row r="416" spans="1:10" x14ac:dyDescent="0.25">
      <c r="A416">
        <v>4922</v>
      </c>
      <c r="B416" t="str">
        <v>Bridge Securitie</v>
      </c>
      <c r="C416">
        <v>60.452309</v>
      </c>
      <c r="D416">
        <v>3.0491700172424316</v>
      </c>
      <c r="E416">
        <v>3.1479721069335938</v>
      </c>
      <c r="F416">
        <v>1.0324029922485352</v>
      </c>
      <c r="G416">
        <v>8.9449996948242188</v>
      </c>
      <c r="H416">
        <v>0</v>
      </c>
      <c r="I416">
        <v>35.299999237060547</v>
      </c>
      <c r="J416">
        <v>1066</v>
      </c>
    </row>
    <row r="417" spans="1:10" x14ac:dyDescent="0.25">
      <c r="A417">
        <v>28294</v>
      </c>
      <c r="B417" t="str">
        <v>Brigade Enterpr.</v>
      </c>
      <c r="C417">
        <v>31.634737000000001</v>
      </c>
      <c r="D417">
        <v>590.824951171875</v>
      </c>
      <c r="E417">
        <v>366.12490844726563</v>
      </c>
      <c r="F417">
        <v>0.61968398094177246</v>
      </c>
      <c r="G417">
        <v>1147.550048828125</v>
      </c>
      <c r="H417">
        <v>0.38999998569488525</v>
      </c>
      <c r="I417">
        <v>27711.98046875</v>
      </c>
      <c r="J417">
        <v>1359</v>
      </c>
    </row>
    <row r="418" spans="1:10" x14ac:dyDescent="0.25">
      <c r="A418">
        <v>4546</v>
      </c>
      <c r="B418" t="str">
        <v>Bright Brothers</v>
      </c>
      <c r="C418">
        <v>28.424396000000002</v>
      </c>
      <c r="D418">
        <v>164.87855529785156</v>
      </c>
      <c r="E418">
        <v>84.446990966796875</v>
      </c>
      <c r="F418">
        <v>0.5121769905090332</v>
      </c>
      <c r="G418">
        <v>319.1875</v>
      </c>
      <c r="H418">
        <v>0.43999999761581421</v>
      </c>
      <c r="I418">
        <v>179.25999450683594</v>
      </c>
      <c r="J418">
        <v>1348</v>
      </c>
    </row>
    <row r="419" spans="1:10" x14ac:dyDescent="0.25">
      <c r="A419">
        <v>20915</v>
      </c>
      <c r="B419" t="str">
        <v>Brightcom Group</v>
      </c>
      <c r="C419">
        <v>23.839259999999999</v>
      </c>
      <c r="D419">
        <v>25.255477905273438</v>
      </c>
      <c r="E419">
        <v>26.816629409790039</v>
      </c>
      <c r="F419">
        <v>1.0618139505386353</v>
      </c>
      <c r="G419">
        <v>10.247500419616699</v>
      </c>
      <c r="H419">
        <v>7.0000000298023224E-2</v>
      </c>
      <c r="I419">
        <v>2074.419921875</v>
      </c>
      <c r="J419">
        <v>1134</v>
      </c>
    </row>
    <row r="420" spans="1:10" x14ac:dyDescent="0.25">
      <c r="A420">
        <v>93</v>
      </c>
      <c r="B420" t="str">
        <v>Britannia Inds.</v>
      </c>
      <c r="C420">
        <v>11.154894000000001</v>
      </c>
      <c r="D420">
        <v>4211.81396484375</v>
      </c>
      <c r="E420">
        <v>829.54522705078125</v>
      </c>
      <c r="F420">
        <v>0.19695700705051422</v>
      </c>
      <c r="G420">
        <v>5567.3125</v>
      </c>
      <c r="H420">
        <v>0.69999998807907104</v>
      </c>
      <c r="I420">
        <v>133721.65625</v>
      </c>
      <c r="J420">
        <v>1359</v>
      </c>
    </row>
    <row r="421" spans="1:10" x14ac:dyDescent="0.25">
      <c r="A421">
        <v>40505</v>
      </c>
      <c r="B421" t="str">
        <v>Brooks Lab.</v>
      </c>
      <c r="C421">
        <v>31.869375999999999</v>
      </c>
      <c r="D421">
        <v>93.256317138671875</v>
      </c>
      <c r="E421">
        <v>36.758247375488281</v>
      </c>
      <c r="F421">
        <v>0.39416399598121643</v>
      </c>
      <c r="G421">
        <v>130.01249694824219</v>
      </c>
      <c r="H421">
        <v>0.10000000149011612</v>
      </c>
      <c r="I421">
        <v>391.77999877929688</v>
      </c>
      <c r="J421">
        <v>1358</v>
      </c>
    </row>
    <row r="422" spans="1:10" x14ac:dyDescent="0.25">
      <c r="A422">
        <v>28041</v>
      </c>
      <c r="B422" t="str">
        <v>Burnpur Cement</v>
      </c>
      <c r="C422">
        <v>27.539194999999999</v>
      </c>
      <c r="D422">
        <v>4.553530216217041</v>
      </c>
      <c r="E422">
        <v>2.2254889011383057</v>
      </c>
      <c r="F422">
        <v>0.488739013671875</v>
      </c>
      <c r="G422">
        <v>6.2950000762939453</v>
      </c>
      <c r="H422">
        <v>0</v>
      </c>
      <c r="I422">
        <v>57.360000610351563</v>
      </c>
      <c r="J422">
        <v>1224</v>
      </c>
    </row>
    <row r="423" spans="1:10" x14ac:dyDescent="0.25">
      <c r="A423">
        <v>3899</v>
      </c>
      <c r="B423" t="str">
        <v>Butterfly Gan Ap</v>
      </c>
      <c r="C423">
        <v>23.897344</v>
      </c>
      <c r="D423">
        <v>877.77264404296875</v>
      </c>
      <c r="E423">
        <v>428.37619018554688</v>
      </c>
      <c r="F423">
        <v>0.48802599310874939</v>
      </c>
      <c r="G423">
        <v>710.54998779296875</v>
      </c>
      <c r="H423">
        <v>1.9999999552965164E-2</v>
      </c>
      <c r="I423">
        <v>1253.3900146484375</v>
      </c>
      <c r="J423">
        <v>1359</v>
      </c>
    </row>
    <row r="424" spans="1:10" x14ac:dyDescent="0.25">
      <c r="A424">
        <v>27581</v>
      </c>
      <c r="B424" t="str">
        <v>C &amp; C Constrn.</v>
      </c>
      <c r="C424">
        <v>-8.2324699999999993</v>
      </c>
      <c r="D424">
        <v>4.0430960655212402</v>
      </c>
      <c r="E424">
        <v>1.3924679756164551</v>
      </c>
      <c r="F424">
        <v>0.34440600872039795</v>
      </c>
      <c r="G424">
        <v>2.3125</v>
      </c>
      <c r="H424">
        <v>0</v>
      </c>
      <c r="I424">
        <v>6.0100002288818359</v>
      </c>
      <c r="J424">
        <v>604</v>
      </c>
    </row>
    <row r="425" spans="1:10" x14ac:dyDescent="0.25">
      <c r="A425">
        <v>2339</v>
      </c>
      <c r="B425" t="str">
        <v>C P C L</v>
      </c>
      <c r="C425">
        <v>30.648088000000001</v>
      </c>
      <c r="D425">
        <v>359.672607421875</v>
      </c>
      <c r="E425">
        <v>300.03665161132813</v>
      </c>
      <c r="F425">
        <v>0.83419400453567505</v>
      </c>
      <c r="G425">
        <v>619.48748779296875</v>
      </c>
      <c r="H425">
        <v>0.37999999523162842</v>
      </c>
      <c r="I425">
        <v>9057.5400390625</v>
      </c>
      <c r="J425">
        <v>1359</v>
      </c>
    </row>
    <row r="426" spans="1:10" x14ac:dyDescent="0.25">
      <c r="A426">
        <v>13090</v>
      </c>
      <c r="B426" t="str">
        <v>CARE Ratings</v>
      </c>
      <c r="C426">
        <v>19.618976</v>
      </c>
      <c r="D426">
        <v>742.935546875</v>
      </c>
      <c r="E426">
        <v>324.32815551757813</v>
      </c>
      <c r="F426">
        <v>0.43654999136924744</v>
      </c>
      <c r="G426">
        <v>1890.375</v>
      </c>
      <c r="H426">
        <v>1.9999999552965164E-2</v>
      </c>
      <c r="I426">
        <v>5559.02001953125</v>
      </c>
      <c r="J426">
        <v>1359</v>
      </c>
    </row>
    <row r="427" spans="1:10" x14ac:dyDescent="0.25">
      <c r="A427">
        <v>7338</v>
      </c>
      <c r="B427" t="str">
        <v>CCL Internationa</v>
      </c>
      <c r="C427">
        <v>27.339763999999999</v>
      </c>
      <c r="D427">
        <v>20.024419784545898</v>
      </c>
      <c r="E427">
        <v>7.6291837692260742</v>
      </c>
      <c r="F427">
        <v>0.38099399209022522</v>
      </c>
      <c r="G427">
        <v>28.262500762939453</v>
      </c>
      <c r="H427">
        <v>0.41999998688697815</v>
      </c>
      <c r="I427">
        <v>54.200000762939453</v>
      </c>
      <c r="J427">
        <v>1310</v>
      </c>
    </row>
    <row r="428" spans="1:10" x14ac:dyDescent="0.25">
      <c r="A428">
        <v>4907</v>
      </c>
      <c r="B428" t="str">
        <v>CCL Products</v>
      </c>
      <c r="C428">
        <v>26.348357</v>
      </c>
      <c r="D428">
        <v>472.08563232421875</v>
      </c>
      <c r="E428">
        <v>174.252685546875</v>
      </c>
      <c r="F428">
        <v>0.36911201477050781</v>
      </c>
      <c r="G428">
        <v>817.01251220703125</v>
      </c>
      <c r="H428">
        <v>0.62000000476837158</v>
      </c>
      <c r="I428">
        <v>10636.169921875</v>
      </c>
      <c r="J428">
        <v>1359</v>
      </c>
    </row>
    <row r="429" spans="1:10" x14ac:dyDescent="0.25">
      <c r="A429">
        <v>104</v>
      </c>
      <c r="B429" t="str">
        <v>CEAT</v>
      </c>
      <c r="C429">
        <v>24.128519000000001</v>
      </c>
      <c r="D429">
        <v>1776.57763671875</v>
      </c>
      <c r="E429">
        <v>777.8709716796875</v>
      </c>
      <c r="F429">
        <v>0.43784800171852112</v>
      </c>
      <c r="G429">
        <v>3582.0625</v>
      </c>
      <c r="H429">
        <v>0.55000001192092896</v>
      </c>
      <c r="I429">
        <v>14366.0498046875</v>
      </c>
      <c r="J429">
        <v>1359</v>
      </c>
    </row>
    <row r="430" spans="1:10" x14ac:dyDescent="0.25">
      <c r="A430">
        <v>99</v>
      </c>
      <c r="B430" t="str">
        <v>CESC</v>
      </c>
      <c r="C430">
        <v>14.520887</v>
      </c>
      <c r="D430">
        <v>96.931869506835938</v>
      </c>
      <c r="E430">
        <v>40.877162933349609</v>
      </c>
      <c r="F430">
        <v>0.42171001434326172</v>
      </c>
      <c r="G430">
        <v>162.42500305175781</v>
      </c>
      <c r="H430">
        <v>0.9100000262260437</v>
      </c>
      <c r="I430">
        <v>21434.470703125</v>
      </c>
      <c r="J430">
        <v>1359</v>
      </c>
    </row>
    <row r="431" spans="1:10" x14ac:dyDescent="0.25">
      <c r="A431">
        <v>125</v>
      </c>
      <c r="B431" t="str">
        <v>CG Power &amp; Ind</v>
      </c>
      <c r="C431">
        <v>83.094663999999995</v>
      </c>
      <c r="D431">
        <v>296.64950561523438</v>
      </c>
      <c r="E431">
        <v>243.95158386230469</v>
      </c>
      <c r="F431">
        <v>0.82235598564147949</v>
      </c>
      <c r="G431">
        <v>677.4625244140625</v>
      </c>
      <c r="H431">
        <v>9.9999997764825821E-3</v>
      </c>
      <c r="I431">
        <v>101989.5625</v>
      </c>
      <c r="J431">
        <v>1359</v>
      </c>
    </row>
    <row r="432" spans="1:10" x14ac:dyDescent="0.25">
      <c r="A432">
        <v>6420</v>
      </c>
      <c r="B432" t="str">
        <v>CG-VAK Software</v>
      </c>
      <c r="C432">
        <v>35.653196999999999</v>
      </c>
      <c r="D432">
        <v>268.73394775390625</v>
      </c>
      <c r="E432">
        <v>142.30805969238281</v>
      </c>
      <c r="F432">
        <v>0.52955001592636108</v>
      </c>
      <c r="G432">
        <v>267.10000610351563</v>
      </c>
      <c r="H432">
        <v>7.9999998211860657E-2</v>
      </c>
      <c r="I432">
        <v>133.39999389648438</v>
      </c>
      <c r="J432">
        <v>1335</v>
      </c>
    </row>
    <row r="433" spans="1:10" x14ac:dyDescent="0.25">
      <c r="A433">
        <v>67709</v>
      </c>
      <c r="B433" t="str">
        <v>CHD Chemicals</v>
      </c>
      <c r="C433">
        <v>-37.526586000000002</v>
      </c>
      <c r="D433">
        <v>14.878330230712891</v>
      </c>
      <c r="E433">
        <v>15.812362670898438</v>
      </c>
      <c r="F433">
        <v>1.0627779960632324</v>
      </c>
      <c r="G433">
        <v>5.9025001525878906</v>
      </c>
      <c r="H433">
        <v>0.60000002384185791</v>
      </c>
      <c r="I433">
        <v>6.0500001907348633</v>
      </c>
      <c r="J433">
        <v>1322</v>
      </c>
    </row>
    <row r="434" spans="1:10" x14ac:dyDescent="0.25">
      <c r="A434">
        <v>7601</v>
      </c>
      <c r="B434" t="str">
        <v>CHL</v>
      </c>
      <c r="C434">
        <v>28.762788</v>
      </c>
      <c r="D434">
        <v>23.539968490600586</v>
      </c>
      <c r="E434">
        <v>11.53864574432373</v>
      </c>
      <c r="F434">
        <v>0.49017301201820374</v>
      </c>
      <c r="G434">
        <v>33.465000152587891</v>
      </c>
      <c r="H434">
        <v>9.9999997764825821E-3</v>
      </c>
      <c r="I434">
        <v>183.30999755859375</v>
      </c>
      <c r="J434">
        <v>1070</v>
      </c>
    </row>
    <row r="435" spans="1:10" x14ac:dyDescent="0.25">
      <c r="A435">
        <v>27486</v>
      </c>
      <c r="B435" t="str">
        <v>CIE Automotive</v>
      </c>
      <c r="C435">
        <v>18.676110999999999</v>
      </c>
      <c r="D435">
        <v>320.03314208984375</v>
      </c>
      <c r="E435">
        <v>151.81492614746094</v>
      </c>
      <c r="F435">
        <v>0.47437199950218201</v>
      </c>
      <c r="G435">
        <v>447.07501220703125</v>
      </c>
      <c r="H435">
        <v>9.9999997764825821E-3</v>
      </c>
      <c r="I435">
        <v>16650.2109375</v>
      </c>
      <c r="J435">
        <v>1359</v>
      </c>
    </row>
    <row r="436" spans="1:10" x14ac:dyDescent="0.25">
      <c r="A436">
        <v>26994</v>
      </c>
      <c r="B436" t="str">
        <v>CL Educate</v>
      </c>
      <c r="C436">
        <v>28.795580000000001</v>
      </c>
      <c r="D436">
        <v>59.3319091796875</v>
      </c>
      <c r="E436">
        <v>32.490806579589844</v>
      </c>
      <c r="F436">
        <v>0.54761099815368652</v>
      </c>
      <c r="G436">
        <v>88.775001525878906</v>
      </c>
      <c r="H436">
        <v>9.0000003576278687E-2</v>
      </c>
      <c r="I436">
        <v>474.44000244140625</v>
      </c>
      <c r="J436">
        <v>1356</v>
      </c>
    </row>
    <row r="437" spans="1:10" x14ac:dyDescent="0.25">
      <c r="A437">
        <v>3243</v>
      </c>
      <c r="B437" t="str">
        <v>CLC Industries</v>
      </c>
      <c r="C437">
        <v>57.447057999999998</v>
      </c>
      <c r="D437">
        <v>1.6163419485092163</v>
      </c>
      <c r="E437">
        <v>0.90133601427078247</v>
      </c>
      <c r="F437">
        <v>0.55764001607894897</v>
      </c>
      <c r="G437">
        <v>2.6099998950958252</v>
      </c>
      <c r="H437">
        <v>0</v>
      </c>
      <c r="I437">
        <v>23.430000305175781</v>
      </c>
      <c r="J437">
        <v>775</v>
      </c>
    </row>
    <row r="438" spans="1:10" x14ac:dyDescent="0.25">
      <c r="A438">
        <v>2912</v>
      </c>
      <c r="B438" t="str">
        <v>CMI</v>
      </c>
      <c r="C438">
        <v>-45.704939000000003</v>
      </c>
      <c r="D438">
        <v>31.053340911865234</v>
      </c>
      <c r="E438">
        <v>14.421531677246094</v>
      </c>
      <c r="F438">
        <v>0.46441200375556946</v>
      </c>
      <c r="G438">
        <v>3.4200000762939453</v>
      </c>
      <c r="H438">
        <v>0</v>
      </c>
      <c r="I438">
        <v>5.6100001335144043</v>
      </c>
      <c r="J438">
        <v>946</v>
      </c>
    </row>
    <row r="439" spans="1:10" x14ac:dyDescent="0.25">
      <c r="A439">
        <v>20894</v>
      </c>
      <c r="B439" t="str">
        <v>COSYN</v>
      </c>
      <c r="C439">
        <v>6.3677390000000003</v>
      </c>
      <c r="D439">
        <v>28.341888427734375</v>
      </c>
      <c r="E439">
        <v>9.078277587890625</v>
      </c>
      <c r="F439">
        <v>0.32031300663948059</v>
      </c>
      <c r="G439">
        <v>25.450000762939453</v>
      </c>
      <c r="H439">
        <v>3.9999999105930328E-2</v>
      </c>
      <c r="I439">
        <v>19.090000152587891</v>
      </c>
      <c r="J439">
        <v>1357</v>
      </c>
    </row>
    <row r="440" spans="1:10" x14ac:dyDescent="0.25">
      <c r="A440">
        <v>38565</v>
      </c>
      <c r="B440" t="str">
        <v>CP Capital</v>
      </c>
      <c r="C440">
        <v>15.15217</v>
      </c>
      <c r="D440">
        <v>140.40484619140625</v>
      </c>
      <c r="E440">
        <v>74.073822021484375</v>
      </c>
      <c r="F440">
        <v>0.52757298946380615</v>
      </c>
      <c r="G440">
        <v>160.52499389648438</v>
      </c>
      <c r="H440">
        <v>5.000000074505806E-2</v>
      </c>
      <c r="I440">
        <v>286.26998901367188</v>
      </c>
      <c r="J440">
        <v>1355</v>
      </c>
    </row>
    <row r="441" spans="1:10" x14ac:dyDescent="0.25">
      <c r="A441">
        <v>3265</v>
      </c>
      <c r="B441" t="str">
        <v>CRISIL</v>
      </c>
      <c r="C441">
        <v>20.118261</v>
      </c>
      <c r="D441">
        <v>3280.627685546875</v>
      </c>
      <c r="E441">
        <v>1179.7342529296875</v>
      </c>
      <c r="F441">
        <v>0.35960599780082703</v>
      </c>
      <c r="G441">
        <v>5634.0625</v>
      </c>
      <c r="H441">
        <v>7.9999998211860657E-2</v>
      </c>
      <c r="I441">
        <v>41312.98046875</v>
      </c>
      <c r="J441">
        <v>1359</v>
      </c>
    </row>
    <row r="442" spans="1:10" x14ac:dyDescent="0.25">
      <c r="A442">
        <v>5525</v>
      </c>
      <c r="B442" t="str">
        <v>CSB Bank</v>
      </c>
      <c r="C442">
        <v>11.083735000000001</v>
      </c>
      <c r="D442">
        <v>271.80648803710938</v>
      </c>
      <c r="E442">
        <v>69.001380920410156</v>
      </c>
      <c r="F442">
        <v>0.25386199355125427</v>
      </c>
      <c r="G442">
        <v>385.39999389648438</v>
      </c>
      <c r="H442">
        <v>0</v>
      </c>
      <c r="I442">
        <v>6668.7998046875</v>
      </c>
      <c r="J442">
        <v>1359</v>
      </c>
    </row>
    <row r="443" spans="1:10" x14ac:dyDescent="0.25">
      <c r="A443">
        <v>1796</v>
      </c>
      <c r="B443" t="str">
        <v>Calcom Vision</v>
      </c>
      <c r="C443">
        <v>33.576915</v>
      </c>
      <c r="D443">
        <v>97.143707275390625</v>
      </c>
      <c r="E443">
        <v>55.392326354980469</v>
      </c>
      <c r="F443">
        <v>0.57020998001098633</v>
      </c>
      <c r="G443">
        <v>104.46250152587891</v>
      </c>
      <c r="H443">
        <v>0.94999998807907104</v>
      </c>
      <c r="I443">
        <v>144.25999450683594</v>
      </c>
      <c r="J443">
        <v>1357</v>
      </c>
    </row>
    <row r="444" spans="1:10" x14ac:dyDescent="0.25">
      <c r="A444">
        <v>14181</v>
      </c>
      <c r="B444" t="str">
        <v>California Soft.</v>
      </c>
      <c r="C444">
        <v>12.36633</v>
      </c>
      <c r="D444">
        <v>10.668559074401855</v>
      </c>
      <c r="E444">
        <v>4.8876128196716309</v>
      </c>
      <c r="F444">
        <v>0.45813199877738953</v>
      </c>
      <c r="G444">
        <v>15.460000038146973</v>
      </c>
      <c r="H444">
        <v>0.49000000953674316</v>
      </c>
      <c r="I444">
        <v>38.849998474121094</v>
      </c>
      <c r="J444">
        <v>1334</v>
      </c>
    </row>
    <row r="445" spans="1:10" x14ac:dyDescent="0.25">
      <c r="A445">
        <v>27366</v>
      </c>
      <c r="B445" t="str">
        <v>Cambridge Tech.</v>
      </c>
      <c r="C445">
        <v>8.7419709999999995</v>
      </c>
      <c r="D445">
        <v>60.159645080566406</v>
      </c>
      <c r="E445">
        <v>26.346376419067383</v>
      </c>
      <c r="F445">
        <v>0.43794101476669312</v>
      </c>
      <c r="G445">
        <v>47.869998931884766</v>
      </c>
      <c r="H445">
        <v>0.97000002861022949</v>
      </c>
      <c r="I445">
        <v>92.110000610351563</v>
      </c>
      <c r="J445">
        <v>1340</v>
      </c>
    </row>
    <row r="446" spans="1:10" x14ac:dyDescent="0.25">
      <c r="A446">
        <v>3422</v>
      </c>
      <c r="B446" t="str">
        <v>Camex</v>
      </c>
      <c r="C446">
        <v>13.725262000000001</v>
      </c>
      <c r="D446">
        <v>31.68602180480957</v>
      </c>
      <c r="E446">
        <v>13.024249076843262</v>
      </c>
      <c r="F446">
        <v>0.41104099154472351</v>
      </c>
      <c r="G446">
        <v>42.372501373291016</v>
      </c>
      <c r="H446">
        <v>0.15999999642372131</v>
      </c>
      <c r="I446">
        <v>43.240001678466797</v>
      </c>
      <c r="J446">
        <v>1348</v>
      </c>
    </row>
    <row r="447" spans="1:10" x14ac:dyDescent="0.25">
      <c r="A447">
        <v>27793</v>
      </c>
      <c r="B447" t="str">
        <v>Camlin Fine</v>
      </c>
      <c r="C447">
        <v>23.829153999999999</v>
      </c>
      <c r="D447">
        <v>127.48354339599609</v>
      </c>
      <c r="E447">
        <v>39.608196258544922</v>
      </c>
      <c r="F447">
        <v>0.31069299578666687</v>
      </c>
      <c r="G447">
        <v>299.95001220703125</v>
      </c>
      <c r="H447">
        <v>0.82999998331069946</v>
      </c>
      <c r="I447">
        <v>5564.33984375</v>
      </c>
      <c r="J447">
        <v>1359</v>
      </c>
    </row>
    <row r="448" spans="1:10" x14ac:dyDescent="0.25">
      <c r="A448">
        <v>14764</v>
      </c>
      <c r="B448" t="str">
        <v>Camson Bio Tech.</v>
      </c>
      <c r="C448">
        <v>-73.453393000000005</v>
      </c>
      <c r="D448">
        <v>3.830625057220459</v>
      </c>
      <c r="E448">
        <v>0.34303000569343567</v>
      </c>
      <c r="F448">
        <v>8.9548997581005096E-2</v>
      </c>
      <c r="G448">
        <v>3.309999942779541</v>
      </c>
      <c r="H448">
        <v>0.87999999523162842</v>
      </c>
      <c r="I448">
        <v>9.9300003051757813</v>
      </c>
      <c r="J448">
        <v>16</v>
      </c>
    </row>
    <row r="449" spans="1:10" x14ac:dyDescent="0.25">
      <c r="A449">
        <v>5471</v>
      </c>
      <c r="B449" t="str">
        <v>Canara Bank</v>
      </c>
      <c r="C449">
        <v>16.330134999999999</v>
      </c>
      <c r="D449">
        <v>59.534893035888672</v>
      </c>
      <c r="E449">
        <v>32.382247924804688</v>
      </c>
      <c r="F449">
        <v>0.54391998052597046</v>
      </c>
      <c r="G449">
        <v>106.52500152587891</v>
      </c>
      <c r="H449">
        <v>0</v>
      </c>
      <c r="I449">
        <v>95105.78125</v>
      </c>
      <c r="J449">
        <v>1359</v>
      </c>
    </row>
    <row r="450" spans="1:10" x14ac:dyDescent="0.25">
      <c r="A450">
        <v>70490</v>
      </c>
      <c r="B450" t="str">
        <v>Capacit'e Infra.</v>
      </c>
      <c r="C450">
        <v>10.571764999999999</v>
      </c>
      <c r="D450">
        <v>209.16717529296875</v>
      </c>
      <c r="E450">
        <v>89.730110168457031</v>
      </c>
      <c r="F450">
        <v>0.4289880096912384</v>
      </c>
      <c r="G450">
        <v>324.61248779296875</v>
      </c>
      <c r="H450">
        <v>0.27000001072883606</v>
      </c>
      <c r="I450">
        <v>2710.2900390625</v>
      </c>
      <c r="J450">
        <v>1359</v>
      </c>
    </row>
    <row r="451" spans="1:10" x14ac:dyDescent="0.25">
      <c r="A451">
        <v>6919</v>
      </c>
      <c r="B451" t="str">
        <v>Capfin India</v>
      </c>
      <c r="C451">
        <v>85.908325000000005</v>
      </c>
      <c r="D451">
        <v>192.59678649902344</v>
      </c>
      <c r="E451">
        <v>166.79122924804688</v>
      </c>
      <c r="F451">
        <v>0.86601197719573975</v>
      </c>
      <c r="G451">
        <v>188.75</v>
      </c>
      <c r="H451">
        <v>0</v>
      </c>
      <c r="I451">
        <v>60.049999237060547</v>
      </c>
      <c r="J451">
        <v>551</v>
      </c>
    </row>
    <row r="452" spans="1:10" x14ac:dyDescent="0.25">
      <c r="A452">
        <v>4464</v>
      </c>
      <c r="B452" t="str">
        <v>Caplin Point Lab</v>
      </c>
      <c r="C452">
        <v>37.092734</v>
      </c>
      <c r="D452">
        <v>972.84613037109375</v>
      </c>
      <c r="E452">
        <v>556.73876953125</v>
      </c>
      <c r="F452">
        <v>0.57227802276611328</v>
      </c>
      <c r="G452">
        <v>2065.737548828125</v>
      </c>
      <c r="H452">
        <v>0</v>
      </c>
      <c r="I452">
        <v>15577.080078125</v>
      </c>
      <c r="J452">
        <v>1359</v>
      </c>
    </row>
    <row r="453" spans="1:10" x14ac:dyDescent="0.25">
      <c r="A453">
        <v>4343</v>
      </c>
      <c r="B453" t="str">
        <v>Capricorn System</v>
      </c>
      <c r="C453">
        <v>19.176300999999999</v>
      </c>
      <c r="D453">
        <v>9.5750131607055664</v>
      </c>
      <c r="E453">
        <v>2.5821280479431152</v>
      </c>
      <c r="F453">
        <v>0.26967400312423706</v>
      </c>
      <c r="G453">
        <v>17.889999389648438</v>
      </c>
      <c r="H453">
        <v>0</v>
      </c>
      <c r="I453">
        <v>7.1500000953674316</v>
      </c>
      <c r="J453">
        <v>560</v>
      </c>
    </row>
    <row r="454" spans="1:10" x14ac:dyDescent="0.25">
      <c r="A454">
        <v>101</v>
      </c>
      <c r="B454" t="str">
        <v>Caprihans India</v>
      </c>
      <c r="C454">
        <v>19.746006999999999</v>
      </c>
      <c r="D454">
        <v>128.51695251464844</v>
      </c>
      <c r="E454">
        <v>49.227981567382813</v>
      </c>
      <c r="F454">
        <v>0.38304701447486877</v>
      </c>
      <c r="G454">
        <v>129.25</v>
      </c>
      <c r="H454">
        <v>0</v>
      </c>
      <c r="I454">
        <v>186.75</v>
      </c>
      <c r="J454">
        <v>1359</v>
      </c>
    </row>
    <row r="455" spans="1:10" x14ac:dyDescent="0.25">
      <c r="A455">
        <v>64810</v>
      </c>
      <c r="B455" t="str">
        <v>Captain Pipes</v>
      </c>
      <c r="C455">
        <v>57.017124000000003</v>
      </c>
      <c r="D455">
        <v>14.14244270324707</v>
      </c>
      <c r="E455">
        <v>8.4836921691894531</v>
      </c>
      <c r="F455">
        <v>0.59987497329711914</v>
      </c>
      <c r="G455">
        <v>14.949999809265137</v>
      </c>
      <c r="H455">
        <v>0.18000000715255737</v>
      </c>
      <c r="I455">
        <v>228.77999877929688</v>
      </c>
      <c r="J455">
        <v>880</v>
      </c>
    </row>
    <row r="456" spans="1:10" x14ac:dyDescent="0.25">
      <c r="A456">
        <v>103</v>
      </c>
      <c r="B456" t="str">
        <v>Carborundum Uni.</v>
      </c>
      <c r="C456">
        <v>20.188541000000001</v>
      </c>
      <c r="D456">
        <v>869.02789306640625</v>
      </c>
      <c r="E456">
        <v>395.92715454101563</v>
      </c>
      <c r="F456">
        <v>0.45559799671173096</v>
      </c>
      <c r="G456">
        <v>931.4749755859375</v>
      </c>
      <c r="H456">
        <v>1.9999999552965164E-2</v>
      </c>
      <c r="I456">
        <v>17730.259765625</v>
      </c>
      <c r="J456">
        <v>1359</v>
      </c>
    </row>
    <row r="457" spans="1:10" x14ac:dyDescent="0.25">
      <c r="A457">
        <v>5154</v>
      </c>
      <c r="B457" t="str">
        <v>Carnation Inds.</v>
      </c>
      <c r="C457">
        <v>20.958356999999999</v>
      </c>
      <c r="D457">
        <v>5.9390101432800293</v>
      </c>
      <c r="E457">
        <v>1.5598920583724976</v>
      </c>
      <c r="F457">
        <v>0.26265200972557068</v>
      </c>
      <c r="G457">
        <v>14.050000190734863</v>
      </c>
      <c r="H457">
        <v>0</v>
      </c>
      <c r="I457">
        <v>4.8600001335144043</v>
      </c>
      <c r="J457">
        <v>881</v>
      </c>
    </row>
    <row r="458" spans="1:10" x14ac:dyDescent="0.25">
      <c r="A458">
        <v>1200</v>
      </c>
      <c r="B458" t="str">
        <v>Carysil</v>
      </c>
      <c r="C458">
        <v>42.181300999999998</v>
      </c>
      <c r="D458">
        <v>567.72808837890625</v>
      </c>
      <c r="E458">
        <v>273.86911010742188</v>
      </c>
      <c r="F458">
        <v>0.4823949933052063</v>
      </c>
      <c r="G458">
        <v>858.1500244140625</v>
      </c>
      <c r="H458">
        <v>0.5899999737739563</v>
      </c>
      <c r="I458">
        <v>2452.179931640625</v>
      </c>
      <c r="J458">
        <v>1359</v>
      </c>
    </row>
    <row r="459" spans="1:10" x14ac:dyDescent="0.25">
      <c r="A459">
        <v>41287</v>
      </c>
      <c r="B459" t="str">
        <v>Caspian Corporat</v>
      </c>
      <c r="C459">
        <v>32.448211000000001</v>
      </c>
      <c r="D459">
        <v>7.5522689819335938</v>
      </c>
      <c r="E459">
        <v>6.2821450233459473</v>
      </c>
      <c r="F459">
        <v>0.8318219780921936</v>
      </c>
      <c r="G459">
        <v>7.7600002288818359</v>
      </c>
      <c r="H459">
        <v>0</v>
      </c>
      <c r="I459">
        <v>98.489997863769531</v>
      </c>
      <c r="J459">
        <v>1091</v>
      </c>
    </row>
    <row r="460" spans="1:10" x14ac:dyDescent="0.25">
      <c r="A460">
        <v>292</v>
      </c>
      <c r="B460" t="str">
        <v>Castrol India</v>
      </c>
      <c r="C460">
        <v>8.6564979999999991</v>
      </c>
      <c r="D460">
        <v>148.75653076171875</v>
      </c>
      <c r="E460">
        <v>42.332592010498047</v>
      </c>
      <c r="F460">
        <v>0.28457599878311157</v>
      </c>
      <c r="G460">
        <v>206.66250610351563</v>
      </c>
      <c r="H460">
        <v>3.9999999105930328E-2</v>
      </c>
      <c r="I460">
        <v>20336.359375</v>
      </c>
      <c r="J460">
        <v>1359</v>
      </c>
    </row>
    <row r="461" spans="1:10" x14ac:dyDescent="0.25">
      <c r="A461">
        <v>5952</v>
      </c>
      <c r="B461" t="str">
        <v>Catvision Ltd</v>
      </c>
      <c r="C461">
        <v>22.100531</v>
      </c>
      <c r="D461">
        <v>14.478640556335449</v>
      </c>
      <c r="E461">
        <v>7.3818221092224121</v>
      </c>
      <c r="F461">
        <v>0.50984197854995728</v>
      </c>
      <c r="G461">
        <v>23.424999237060547</v>
      </c>
      <c r="H461">
        <v>9.9999997764825821E-3</v>
      </c>
      <c r="I461">
        <v>12.489999771118164</v>
      </c>
      <c r="J461">
        <v>1283</v>
      </c>
    </row>
    <row r="462" spans="1:10" x14ac:dyDescent="0.25">
      <c r="A462">
        <v>5217</v>
      </c>
      <c r="B462" t="str">
        <v>Ceejay Finance</v>
      </c>
      <c r="C462">
        <v>9.9207599999999996</v>
      </c>
      <c r="D462">
        <v>140.43190002441406</v>
      </c>
      <c r="E462">
        <v>57.482486724853516</v>
      </c>
      <c r="F462">
        <v>0.4093259871006012</v>
      </c>
      <c r="G462">
        <v>189</v>
      </c>
      <c r="H462">
        <v>0.46000000834465027</v>
      </c>
      <c r="I462">
        <v>65.209999084472656</v>
      </c>
      <c r="J462">
        <v>1305</v>
      </c>
    </row>
    <row r="463" spans="1:10" x14ac:dyDescent="0.25">
      <c r="A463">
        <v>2274</v>
      </c>
      <c r="B463" t="str">
        <v>Ceeta Industries</v>
      </c>
      <c r="C463">
        <v>46.081730999999998</v>
      </c>
      <c r="D463">
        <v>24.719655990600586</v>
      </c>
      <c r="E463">
        <v>14.175860404968262</v>
      </c>
      <c r="F463">
        <v>0.57346498966217041</v>
      </c>
      <c r="G463">
        <v>48.869998931884766</v>
      </c>
      <c r="H463">
        <v>0.49000000953674316</v>
      </c>
      <c r="I463">
        <v>68.470001220703125</v>
      </c>
      <c r="J463">
        <v>1135</v>
      </c>
    </row>
    <row r="464" spans="1:10" x14ac:dyDescent="0.25">
      <c r="A464">
        <v>45949</v>
      </c>
      <c r="B464" t="str">
        <v>Ceinsys Tech</v>
      </c>
      <c r="C464">
        <v>57.686647000000001</v>
      </c>
      <c r="D464">
        <v>398.34896850585938</v>
      </c>
      <c r="E464">
        <v>473.6331787109375</v>
      </c>
      <c r="F464">
        <v>1.1889909505844116</v>
      </c>
      <c r="G464">
        <v>1401.9625244140625</v>
      </c>
      <c r="H464">
        <v>0.2199999988079071</v>
      </c>
      <c r="I464">
        <v>2428.93994140625</v>
      </c>
      <c r="J464">
        <v>1315</v>
      </c>
    </row>
    <row r="465" spans="1:10" x14ac:dyDescent="0.25">
      <c r="A465">
        <v>13829</v>
      </c>
      <c r="B465" t="str">
        <v>Cella Space</v>
      </c>
      <c r="C465">
        <v>20.731269000000001</v>
      </c>
      <c r="D465">
        <v>8.1915464401245117</v>
      </c>
      <c r="E465">
        <v>3.0406320095062256</v>
      </c>
      <c r="F465">
        <v>0.37119099497795105</v>
      </c>
      <c r="G465">
        <v>13.885000228881836</v>
      </c>
      <c r="H465">
        <v>0</v>
      </c>
      <c r="I465">
        <v>26.879999160766602</v>
      </c>
      <c r="J465">
        <v>1324</v>
      </c>
    </row>
    <row r="466" spans="1:10" x14ac:dyDescent="0.25">
      <c r="A466">
        <v>20960</v>
      </c>
      <c r="B466" t="str">
        <v>Cemantic Infra</v>
      </c>
      <c r="C466">
        <v>-0.37392799999999998</v>
      </c>
      <c r="D466">
        <v>4.6897239685058594</v>
      </c>
      <c r="E466">
        <v>1.7177560329437256</v>
      </c>
      <c r="F466">
        <v>0.36628100275993347</v>
      </c>
      <c r="G466">
        <v>6.4074997901916504</v>
      </c>
      <c r="H466">
        <v>0.54000002145767212</v>
      </c>
      <c r="I466">
        <v>16.090000152587891</v>
      </c>
      <c r="J466">
        <v>1068</v>
      </c>
    </row>
    <row r="467" spans="1:10" x14ac:dyDescent="0.25">
      <c r="A467">
        <v>3963</v>
      </c>
      <c r="B467" t="str">
        <v>Cenlub Industrie</v>
      </c>
      <c r="C467">
        <v>40.082234</v>
      </c>
      <c r="D467">
        <v>210.57020568847656</v>
      </c>
      <c r="E467">
        <v>165.76567077636719</v>
      </c>
      <c r="F467">
        <v>0.78722298145294189</v>
      </c>
      <c r="G467">
        <v>410.28750610351563</v>
      </c>
      <c r="H467">
        <v>9.0000003576278687E-2</v>
      </c>
      <c r="I467">
        <v>187.61000061035156</v>
      </c>
      <c r="J467">
        <v>1355</v>
      </c>
    </row>
    <row r="468" spans="1:10" x14ac:dyDescent="0.25">
      <c r="A468">
        <v>13456</v>
      </c>
      <c r="B468" t="str">
        <v>Centenial Surgic</v>
      </c>
      <c r="C468">
        <v>29.337793000000001</v>
      </c>
      <c r="D468">
        <v>80.118156433105469</v>
      </c>
      <c r="E468">
        <v>33.158798217773438</v>
      </c>
      <c r="F468">
        <v>0.41387400031089783</v>
      </c>
      <c r="G468">
        <v>141.375</v>
      </c>
      <c r="H468">
        <v>0.51999998092651367</v>
      </c>
      <c r="I468">
        <v>52.900001525878906</v>
      </c>
      <c r="J468">
        <v>1077</v>
      </c>
    </row>
    <row r="469" spans="1:10" x14ac:dyDescent="0.25">
      <c r="A469">
        <v>6932</v>
      </c>
      <c r="B469" t="str">
        <v>Centerac Tech.</v>
      </c>
      <c r="C469">
        <v>-5.8382509999999996</v>
      </c>
      <c r="D469">
        <v>1.8706200122833252</v>
      </c>
      <c r="E469">
        <v>0.57275098562240601</v>
      </c>
      <c r="F469">
        <v>0.30618301033973694</v>
      </c>
      <c r="G469">
        <v>2.8900001049041748</v>
      </c>
      <c r="H469">
        <v>0</v>
      </c>
      <c r="I469">
        <v>3.190000057220459</v>
      </c>
      <c r="J469">
        <v>254</v>
      </c>
    </row>
    <row r="470" spans="1:10" x14ac:dyDescent="0.25">
      <c r="A470">
        <v>5539</v>
      </c>
      <c r="B470" t="str">
        <v>Central Bank</v>
      </c>
      <c r="C470">
        <v>13.537689</v>
      </c>
      <c r="D470">
        <v>31.265785217285156</v>
      </c>
      <c r="E470">
        <v>16.899417877197266</v>
      </c>
      <c r="F470">
        <v>0.540507972240448</v>
      </c>
      <c r="G470">
        <v>37.292499542236328</v>
      </c>
      <c r="H470">
        <v>0</v>
      </c>
      <c r="I470">
        <v>33164.328125</v>
      </c>
      <c r="J470">
        <v>1359</v>
      </c>
    </row>
    <row r="471" spans="1:10" x14ac:dyDescent="0.25">
      <c r="A471">
        <v>5771</v>
      </c>
      <c r="B471" t="str">
        <v>Central Province</v>
      </c>
      <c r="C471">
        <v>-1.103637</v>
      </c>
      <c r="D471">
        <v>226.447509765625</v>
      </c>
      <c r="E471">
        <v>7.7600879669189453</v>
      </c>
      <c r="F471">
        <v>3.4269001334905624E-2</v>
      </c>
      <c r="G471">
        <v>230</v>
      </c>
      <c r="H471">
        <v>0.23000000417232513</v>
      </c>
      <c r="I471">
        <v>42.700000762939453</v>
      </c>
      <c r="J471">
        <v>10</v>
      </c>
    </row>
    <row r="472" spans="1:10" x14ac:dyDescent="0.25">
      <c r="A472">
        <v>1679</v>
      </c>
      <c r="B472" t="str">
        <v>Centrum Capital</v>
      </c>
      <c r="C472">
        <v>8.4439869999999999</v>
      </c>
      <c r="D472">
        <v>27.222843170166016</v>
      </c>
      <c r="E472">
        <v>8.7228946685791016</v>
      </c>
      <c r="F472">
        <v>0.32042598724365234</v>
      </c>
      <c r="G472">
        <v>30.802499771118164</v>
      </c>
      <c r="H472">
        <v>0.85000002384185791</v>
      </c>
      <c r="I472">
        <v>1285.9599609375</v>
      </c>
      <c r="J472">
        <v>1359</v>
      </c>
    </row>
    <row r="473" spans="1:10" x14ac:dyDescent="0.25">
      <c r="A473">
        <v>4488</v>
      </c>
      <c r="B473" t="str">
        <v>Centum Electron</v>
      </c>
      <c r="C473">
        <v>35.351878999999997</v>
      </c>
      <c r="D473">
        <v>912.866943359375</v>
      </c>
      <c r="E473">
        <v>609.83953857421875</v>
      </c>
      <c r="F473">
        <v>0.66804897785186768</v>
      </c>
      <c r="G473">
        <v>2344.16259765625</v>
      </c>
      <c r="H473">
        <v>0.34999999403953552</v>
      </c>
      <c r="I473">
        <v>3386.5400390625</v>
      </c>
      <c r="J473">
        <v>1347</v>
      </c>
    </row>
    <row r="474" spans="1:10" x14ac:dyDescent="0.25">
      <c r="A474">
        <v>106</v>
      </c>
      <c r="B474" t="str">
        <v>Century Enka</v>
      </c>
      <c r="C474">
        <v>18.295573000000001</v>
      </c>
      <c r="D474">
        <v>408.89877319335938</v>
      </c>
      <c r="E474">
        <v>151.80245971679688</v>
      </c>
      <c r="F474">
        <v>0.37124699354171753</v>
      </c>
      <c r="G474">
        <v>496.71249389648438</v>
      </c>
      <c r="H474">
        <v>3.9999999105930328E-2</v>
      </c>
      <c r="I474">
        <v>1083.97998046875</v>
      </c>
      <c r="J474">
        <v>1359</v>
      </c>
    </row>
    <row r="475" spans="1:10" x14ac:dyDescent="0.25">
      <c r="A475">
        <v>1741</v>
      </c>
      <c r="B475" t="str">
        <v>Century Extrus.</v>
      </c>
      <c r="C475">
        <v>39.223218000000003</v>
      </c>
      <c r="D475">
        <v>12.373702049255371</v>
      </c>
      <c r="E475">
        <v>7.246985912322998</v>
      </c>
      <c r="F475">
        <v>0.58567601442337036</v>
      </c>
      <c r="G475">
        <v>19.752500534057617</v>
      </c>
      <c r="H475">
        <v>0.68999999761581421</v>
      </c>
      <c r="I475">
        <v>157.03999328613281</v>
      </c>
      <c r="J475">
        <v>1357</v>
      </c>
    </row>
    <row r="476" spans="1:10" x14ac:dyDescent="0.25">
      <c r="A476">
        <v>15783</v>
      </c>
      <c r="B476" t="str">
        <v>Century Plyboard</v>
      </c>
      <c r="C476">
        <v>28.729275000000001</v>
      </c>
      <c r="D476">
        <v>523.451904296875</v>
      </c>
      <c r="E476">
        <v>221.26838684082031</v>
      </c>
      <c r="F476">
        <v>0.42271000146865845</v>
      </c>
      <c r="G476">
        <v>743.29998779296875</v>
      </c>
      <c r="H476">
        <v>0.15999999642372131</v>
      </c>
      <c r="I476">
        <v>16547.439453125</v>
      </c>
      <c r="J476">
        <v>1359</v>
      </c>
    </row>
    <row r="477" spans="1:10" x14ac:dyDescent="0.25">
      <c r="A477">
        <v>22648</v>
      </c>
      <c r="B477" t="str">
        <v>Cera Sanitary.</v>
      </c>
      <c r="C477">
        <v>17.557580999999999</v>
      </c>
      <c r="D477">
        <v>5466.7958984375</v>
      </c>
      <c r="E477">
        <v>2091.562744140625</v>
      </c>
      <c r="F477">
        <v>0.38259398937225342</v>
      </c>
      <c r="G477">
        <v>6909.75048828125</v>
      </c>
      <c r="H477">
        <v>2.9999999329447746E-2</v>
      </c>
      <c r="I477">
        <v>8923.7197265625</v>
      </c>
      <c r="J477">
        <v>1359</v>
      </c>
    </row>
    <row r="478" spans="1:10" x14ac:dyDescent="0.25">
      <c r="A478">
        <v>13214</v>
      </c>
      <c r="B478" t="str">
        <v>Cerebra Integr.</v>
      </c>
      <c r="C478">
        <v>-24.279209999999999</v>
      </c>
      <c r="D478">
        <v>29.683904647827148</v>
      </c>
      <c r="E478">
        <v>24.092090606689453</v>
      </c>
      <c r="F478">
        <v>0.81162101030349731</v>
      </c>
      <c r="G478">
        <v>6.1024999618530273</v>
      </c>
      <c r="H478">
        <v>0.17000000178813934</v>
      </c>
      <c r="I478">
        <v>73.919998168945313</v>
      </c>
      <c r="J478">
        <v>1359</v>
      </c>
    </row>
    <row r="479" spans="1:10" x14ac:dyDescent="0.25">
      <c r="A479">
        <v>5191</v>
      </c>
      <c r="B479" t="str">
        <v>Challani Capital</v>
      </c>
      <c r="C479">
        <v>39.430171999999999</v>
      </c>
      <c r="D479">
        <v>15.093494415283203</v>
      </c>
      <c r="E479">
        <v>6.9373021125793457</v>
      </c>
      <c r="F479">
        <v>0.45962199568748474</v>
      </c>
      <c r="G479">
        <v>27.799999237060547</v>
      </c>
      <c r="H479">
        <v>7.9999998211860657E-2</v>
      </c>
      <c r="I479">
        <v>40.200000762939453</v>
      </c>
      <c r="J479">
        <v>1015</v>
      </c>
    </row>
    <row r="480" spans="1:10" x14ac:dyDescent="0.25">
      <c r="A480">
        <v>4923</v>
      </c>
      <c r="B480" t="str">
        <v>Chamanlal Setia</v>
      </c>
      <c r="C480">
        <v>37.624322999999997</v>
      </c>
      <c r="D480">
        <v>161.59367370605469</v>
      </c>
      <c r="E480">
        <v>89.39776611328125</v>
      </c>
      <c r="F480">
        <v>0.55322599411010742</v>
      </c>
      <c r="G480">
        <v>334.35000610351563</v>
      </c>
      <c r="H480">
        <v>0.25</v>
      </c>
      <c r="I480">
        <v>1718.8499755859375</v>
      </c>
      <c r="J480">
        <v>1359</v>
      </c>
    </row>
    <row r="481" spans="1:10" x14ac:dyDescent="0.25">
      <c r="A481">
        <v>1998</v>
      </c>
      <c r="B481" t="str">
        <v>Chambal Brewer</v>
      </c>
      <c r="C481">
        <v>24.574034999999999</v>
      </c>
      <c r="D481">
        <v>4.4630661010742188</v>
      </c>
      <c r="E481">
        <v>2.7540469169616699</v>
      </c>
      <c r="F481">
        <v>0.61707502603530884</v>
      </c>
      <c r="G481">
        <v>7.3499999046325684</v>
      </c>
      <c r="H481">
        <v>0</v>
      </c>
      <c r="I481">
        <v>5.5100002288818359</v>
      </c>
      <c r="J481">
        <v>967</v>
      </c>
    </row>
    <row r="482" spans="1:10" x14ac:dyDescent="0.25">
      <c r="A482">
        <v>3029</v>
      </c>
      <c r="B482" t="str">
        <v>Chambal Fert.</v>
      </c>
      <c r="C482">
        <v>24.009884</v>
      </c>
      <c r="D482">
        <v>332.15887451171875</v>
      </c>
      <c r="E482">
        <v>128.41058349609375</v>
      </c>
      <c r="F482">
        <v>0.38659399747848511</v>
      </c>
      <c r="G482">
        <v>547.7125244140625</v>
      </c>
      <c r="H482">
        <v>0.36000001430511475</v>
      </c>
      <c r="I482">
        <v>21769.439453125</v>
      </c>
      <c r="J482">
        <v>1359</v>
      </c>
    </row>
    <row r="483" spans="1:10" x14ac:dyDescent="0.25">
      <c r="A483">
        <v>68479</v>
      </c>
      <c r="B483" t="str">
        <v>Chandni Machines</v>
      </c>
      <c r="C483">
        <v>53.073216000000002</v>
      </c>
      <c r="D483">
        <v>27.953361511230469</v>
      </c>
      <c r="E483">
        <v>19.341924667358398</v>
      </c>
      <c r="F483">
        <v>0.69193601608276367</v>
      </c>
      <c r="G483">
        <v>41.737499237060547</v>
      </c>
      <c r="H483">
        <v>5.000000074505806E-2</v>
      </c>
      <c r="I483">
        <v>13.409999847412109</v>
      </c>
      <c r="J483">
        <v>1173</v>
      </c>
    </row>
    <row r="484" spans="1:10" x14ac:dyDescent="0.25">
      <c r="A484">
        <v>4924</v>
      </c>
      <c r="B484" t="str">
        <v>Chandra Pr. Intl</v>
      </c>
      <c r="C484">
        <v>32.273080999999998</v>
      </c>
      <c r="D484">
        <v>23.37364387512207</v>
      </c>
      <c r="E484">
        <v>12.390356063842773</v>
      </c>
      <c r="F484">
        <v>0.53009897470474243</v>
      </c>
      <c r="G484">
        <v>19.915000915527344</v>
      </c>
      <c r="H484">
        <v>0.93000000715255737</v>
      </c>
      <c r="I484">
        <v>36.889999389648438</v>
      </c>
      <c r="J484">
        <v>1291</v>
      </c>
    </row>
    <row r="485" spans="1:10" x14ac:dyDescent="0.25">
      <c r="A485">
        <v>16341</v>
      </c>
      <c r="B485" t="str">
        <v>Chart.Logistics</v>
      </c>
      <c r="C485">
        <v>19.791409999999999</v>
      </c>
      <c r="D485">
        <v>6.5665578842163086</v>
      </c>
      <c r="E485">
        <v>3.1393070220947266</v>
      </c>
      <c r="F485">
        <v>0.47807499766349792</v>
      </c>
      <c r="G485">
        <v>8.5100002288818359</v>
      </c>
      <c r="H485">
        <v>0.67000001668930054</v>
      </c>
      <c r="I485">
        <v>102.19999694824219</v>
      </c>
      <c r="J485">
        <v>1359</v>
      </c>
    </row>
    <row r="486" spans="1:10" x14ac:dyDescent="0.25">
      <c r="A486">
        <v>4590</v>
      </c>
      <c r="B486" t="str">
        <v>Charter. Capital</v>
      </c>
      <c r="C486">
        <v>28.366824999999999</v>
      </c>
      <c r="D486">
        <v>169.47500610351563</v>
      </c>
      <c r="E486">
        <v>83.629066467285156</v>
      </c>
      <c r="F486">
        <v>0.49345999956130981</v>
      </c>
      <c r="G486">
        <v>240.25</v>
      </c>
      <c r="H486">
        <v>0</v>
      </c>
      <c r="I486">
        <v>72.389999389648438</v>
      </c>
      <c r="J486">
        <v>717</v>
      </c>
    </row>
    <row r="487" spans="1:10" x14ac:dyDescent="0.25">
      <c r="A487">
        <v>5564</v>
      </c>
      <c r="B487" t="str">
        <v>Checkpoint Trend</v>
      </c>
      <c r="C487">
        <v>40.491525000000003</v>
      </c>
      <c r="D487">
        <v>7.3079609870910645</v>
      </c>
      <c r="E487">
        <v>5.9390068054199219</v>
      </c>
      <c r="F487">
        <v>0.81267601251602173</v>
      </c>
      <c r="G487">
        <v>23.479999542236328</v>
      </c>
      <c r="H487">
        <v>0.15000000596046448</v>
      </c>
      <c r="I487">
        <v>12.840000152587891</v>
      </c>
      <c r="J487">
        <v>764</v>
      </c>
    </row>
    <row r="488" spans="1:10" x14ac:dyDescent="0.25">
      <c r="A488">
        <v>6033</v>
      </c>
      <c r="B488" t="str">
        <v>Chembond Chem.</v>
      </c>
      <c r="C488">
        <v>21.342099999999999</v>
      </c>
      <c r="D488">
        <v>197.52369689941406</v>
      </c>
      <c r="E488">
        <v>105.17675018310547</v>
      </c>
      <c r="F488">
        <v>0.53247702121734619</v>
      </c>
      <c r="G488">
        <v>385.89749145507813</v>
      </c>
      <c r="H488">
        <v>0</v>
      </c>
      <c r="I488">
        <v>793.25</v>
      </c>
      <c r="J488">
        <v>1238</v>
      </c>
    </row>
    <row r="489" spans="1:10" x14ac:dyDescent="0.25">
      <c r="A489">
        <v>70183</v>
      </c>
      <c r="B489" t="str">
        <v>Chemcrux Enterp.</v>
      </c>
      <c r="C489">
        <v>28.75451</v>
      </c>
      <c r="D489">
        <v>201.90089416503906</v>
      </c>
      <c r="E489">
        <v>111.62079620361328</v>
      </c>
      <c r="F489">
        <v>0.55285000801086426</v>
      </c>
      <c r="G489">
        <v>133.63749694824219</v>
      </c>
      <c r="H489">
        <v>0.28999999165534973</v>
      </c>
      <c r="I489">
        <v>195.11000061035156</v>
      </c>
      <c r="J489">
        <v>1278</v>
      </c>
    </row>
    <row r="490" spans="1:10" x14ac:dyDescent="0.25">
      <c r="A490">
        <v>72555</v>
      </c>
      <c r="B490" t="str">
        <v>Chemfab Alka.</v>
      </c>
      <c r="C490">
        <v>27.694956000000001</v>
      </c>
      <c r="D490">
        <v>371.26031494140625</v>
      </c>
      <c r="E490">
        <v>283.24810791015625</v>
      </c>
      <c r="F490">
        <v>0.76293700933456421</v>
      </c>
      <c r="G490">
        <v>738.13739013671875</v>
      </c>
      <c r="H490">
        <v>2.9999999329447746E-2</v>
      </c>
      <c r="I490">
        <v>1049.050048828125</v>
      </c>
      <c r="J490">
        <v>1338</v>
      </c>
    </row>
    <row r="491" spans="1:10" x14ac:dyDescent="0.25">
      <c r="A491">
        <v>2976</v>
      </c>
      <c r="B491" t="str">
        <v>Chemo Pharma Lab</v>
      </c>
      <c r="C491">
        <v>55.270214000000003</v>
      </c>
      <c r="D491">
        <v>47.830265045166016</v>
      </c>
      <c r="E491">
        <v>29.583057403564453</v>
      </c>
      <c r="F491">
        <v>0.61850100755691528</v>
      </c>
      <c r="G491">
        <v>117.72499847412109</v>
      </c>
      <c r="H491">
        <v>0</v>
      </c>
      <c r="I491">
        <v>17.629999160766602</v>
      </c>
      <c r="J491">
        <v>1160</v>
      </c>
    </row>
    <row r="492" spans="1:10" x14ac:dyDescent="0.25">
      <c r="A492">
        <v>43998</v>
      </c>
      <c r="B492" t="str">
        <v>Chemtech Indust.</v>
      </c>
      <c r="C492">
        <v>57.695078000000002</v>
      </c>
      <c r="D492">
        <v>68.80389404296875</v>
      </c>
      <c r="E492">
        <v>79.949104309082031</v>
      </c>
      <c r="F492">
        <v>1.1619850397109985</v>
      </c>
      <c r="G492">
        <v>130.89999389648438</v>
      </c>
      <c r="H492">
        <v>0.33000001311302185</v>
      </c>
      <c r="I492">
        <v>230.49000549316406</v>
      </c>
      <c r="J492">
        <v>1123</v>
      </c>
    </row>
    <row r="493" spans="1:10" x14ac:dyDescent="0.25">
      <c r="A493">
        <v>40157</v>
      </c>
      <c r="B493" t="str">
        <v>Chennai Ferrous</v>
      </c>
      <c r="C493">
        <v>58.329234999999997</v>
      </c>
      <c r="D493">
        <v>119.87042999267578</v>
      </c>
      <c r="E493">
        <v>57.62139892578125</v>
      </c>
      <c r="F493">
        <v>0.48069700598716736</v>
      </c>
      <c r="G493">
        <v>113.125</v>
      </c>
      <c r="H493">
        <v>0</v>
      </c>
      <c r="I493">
        <v>41.069999694824219</v>
      </c>
      <c r="J493">
        <v>1105</v>
      </c>
    </row>
    <row r="494" spans="1:10" x14ac:dyDescent="0.25">
      <c r="A494">
        <v>2549</v>
      </c>
      <c r="B494" t="str">
        <v>Chennai Meena</v>
      </c>
      <c r="C494">
        <v>26.344101999999999</v>
      </c>
      <c r="D494">
        <v>24.897647857666016</v>
      </c>
      <c r="E494">
        <v>10.496799468994141</v>
      </c>
      <c r="F494">
        <v>0.42159798741340637</v>
      </c>
      <c r="G494">
        <v>33.317501068115234</v>
      </c>
      <c r="H494">
        <v>0</v>
      </c>
      <c r="I494">
        <v>24.850000381469727</v>
      </c>
      <c r="J494">
        <v>1277</v>
      </c>
    </row>
    <row r="495" spans="1:10" x14ac:dyDescent="0.25">
      <c r="A495">
        <v>4773</v>
      </c>
      <c r="B495" t="str">
        <v>Cheviot Company</v>
      </c>
      <c r="C495">
        <v>5.6542310000000002</v>
      </c>
      <c r="D495">
        <v>1114.923828125</v>
      </c>
      <c r="E495">
        <v>284.0072021484375</v>
      </c>
      <c r="F495">
        <v>0.25473201274871826</v>
      </c>
      <c r="G495">
        <v>1094.5625</v>
      </c>
      <c r="H495">
        <v>9.9999997764825821E-3</v>
      </c>
      <c r="I495">
        <v>653.07000732421875</v>
      </c>
      <c r="J495">
        <v>1359</v>
      </c>
    </row>
    <row r="496" spans="1:10" x14ac:dyDescent="0.25">
      <c r="A496">
        <v>6428</v>
      </c>
      <c r="B496" t="str">
        <v>Choice Intl.</v>
      </c>
      <c r="C496">
        <v>75.737035000000006</v>
      </c>
      <c r="D496">
        <v>177.17764282226563</v>
      </c>
      <c r="E496">
        <v>183.25376892089844</v>
      </c>
      <c r="F496">
        <v>1.0342940092086792</v>
      </c>
      <c r="G496">
        <v>693.98748779296875</v>
      </c>
      <c r="H496">
        <v>0.14000000059604645</v>
      </c>
      <c r="I496">
        <v>13765.25</v>
      </c>
      <c r="J496">
        <v>1359</v>
      </c>
    </row>
    <row r="497" spans="1:10" x14ac:dyDescent="0.25">
      <c r="A497">
        <v>5360</v>
      </c>
      <c r="B497" t="str">
        <v>Choksi Asia</v>
      </c>
      <c r="C497">
        <v>38.689897000000002</v>
      </c>
      <c r="D497">
        <v>46.418399810791016</v>
      </c>
      <c r="E497">
        <v>23.139335632324219</v>
      </c>
      <c r="F497">
        <v>0.49849501252174377</v>
      </c>
      <c r="G497">
        <v>104.36250305175781</v>
      </c>
      <c r="H497">
        <v>0</v>
      </c>
      <c r="I497">
        <v>40.009998321533203</v>
      </c>
      <c r="J497">
        <v>1283</v>
      </c>
    </row>
    <row r="498" spans="1:10" x14ac:dyDescent="0.25">
      <c r="A498">
        <v>573</v>
      </c>
      <c r="B498" t="str">
        <v>Chola Financial</v>
      </c>
      <c r="C498">
        <v>26.168306999999999</v>
      </c>
      <c r="D498">
        <v>860.67547607421875</v>
      </c>
      <c r="E498">
        <v>447.769287109375</v>
      </c>
      <c r="F498">
        <v>0.52025300264358521</v>
      </c>
      <c r="G498">
        <v>2002.449951171875</v>
      </c>
      <c r="H498">
        <v>1.9999999552965164E-2</v>
      </c>
      <c r="I498">
        <v>37151.76953125</v>
      </c>
      <c r="J498">
        <v>1359</v>
      </c>
    </row>
    <row r="499" spans="1:10" x14ac:dyDescent="0.25">
      <c r="A499">
        <v>2724</v>
      </c>
      <c r="B499" t="str">
        <v>Chordia Food</v>
      </c>
      <c r="C499">
        <v>-2.660552</v>
      </c>
      <c r="D499">
        <v>88.171646118164063</v>
      </c>
      <c r="E499">
        <v>14.310532569885254</v>
      </c>
      <c r="F499">
        <v>0.16230300068855286</v>
      </c>
      <c r="G499">
        <v>79.25</v>
      </c>
      <c r="H499">
        <v>5.000000074505806E-2</v>
      </c>
      <c r="I499">
        <v>31.819999694824219</v>
      </c>
      <c r="J499">
        <v>1278</v>
      </c>
    </row>
    <row r="500" spans="1:10" x14ac:dyDescent="0.25">
      <c r="A500">
        <v>112</v>
      </c>
      <c r="B500" t="str">
        <v>Chowgule Steam</v>
      </c>
      <c r="C500">
        <v>44.646690999999997</v>
      </c>
      <c r="D500">
        <v>14.762914657592773</v>
      </c>
      <c r="E500">
        <v>8.5028572082519531</v>
      </c>
      <c r="F500">
        <v>0.57596099376678467</v>
      </c>
      <c r="G500">
        <v>25.204999923706055</v>
      </c>
      <c r="H500">
        <v>0</v>
      </c>
      <c r="I500">
        <v>90.879997253417969</v>
      </c>
      <c r="J500">
        <v>1297</v>
      </c>
    </row>
    <row r="501" spans="1:10" x14ac:dyDescent="0.25">
      <c r="A501">
        <v>594</v>
      </c>
      <c r="B501" t="str">
        <v>Chrome Silicon</v>
      </c>
      <c r="C501">
        <v>10.727850999999999</v>
      </c>
      <c r="D501">
        <v>36.027561187744141</v>
      </c>
      <c r="E501">
        <v>13.952494621276855</v>
      </c>
      <c r="F501">
        <v>0.38727301359176636</v>
      </c>
      <c r="G501">
        <v>38.904998779296875</v>
      </c>
      <c r="H501">
        <v>0</v>
      </c>
      <c r="I501">
        <v>63.939998626708984</v>
      </c>
      <c r="J501">
        <v>1214</v>
      </c>
    </row>
    <row r="502" spans="1:10" x14ac:dyDescent="0.25">
      <c r="A502">
        <v>21335</v>
      </c>
      <c r="B502" t="str">
        <v>Cigniti Tech.</v>
      </c>
      <c r="C502">
        <v>33.298703000000003</v>
      </c>
      <c r="D502">
        <v>766.175048828125</v>
      </c>
      <c r="E502">
        <v>427.4254150390625</v>
      </c>
      <c r="F502">
        <v>0.55786901712417603</v>
      </c>
      <c r="G502">
        <v>1678.800048828125</v>
      </c>
      <c r="H502">
        <v>0.10999999940395355</v>
      </c>
      <c r="I502">
        <v>4559.1298828125</v>
      </c>
      <c r="J502">
        <v>1359</v>
      </c>
    </row>
    <row r="503" spans="1:10" x14ac:dyDescent="0.25">
      <c r="A503">
        <v>5232</v>
      </c>
      <c r="B503" t="str">
        <v>Cil Securities</v>
      </c>
      <c r="C503">
        <v>24.666983999999999</v>
      </c>
      <c r="D503">
        <v>29.809505462646484</v>
      </c>
      <c r="E503">
        <v>16.016921997070313</v>
      </c>
      <c r="F503">
        <v>0.53730899095535278</v>
      </c>
      <c r="G503">
        <v>45.419998168945313</v>
      </c>
      <c r="H503">
        <v>0</v>
      </c>
      <c r="I503">
        <v>22.059999465942383</v>
      </c>
      <c r="J503">
        <v>1323</v>
      </c>
    </row>
    <row r="504" spans="1:10" x14ac:dyDescent="0.25">
      <c r="A504">
        <v>6312</v>
      </c>
      <c r="B504" t="str">
        <v>Cindrella Fin.</v>
      </c>
      <c r="C504">
        <v>28.701529000000001</v>
      </c>
      <c r="D504">
        <v>13.106134414672852</v>
      </c>
      <c r="E504">
        <v>4.9087719917297363</v>
      </c>
      <c r="F504">
        <v>0.37454000115394592</v>
      </c>
      <c r="G504">
        <v>14.350000381469727</v>
      </c>
      <c r="H504">
        <v>0</v>
      </c>
      <c r="I504">
        <v>5.9699997901916504</v>
      </c>
      <c r="J504">
        <v>848</v>
      </c>
    </row>
    <row r="505" spans="1:10" x14ac:dyDescent="0.25">
      <c r="A505">
        <v>3489</v>
      </c>
      <c r="B505" t="str">
        <v>Cindrella Hotels</v>
      </c>
      <c r="C505">
        <v>30.248252000000001</v>
      </c>
      <c r="D505">
        <v>45.751052856445313</v>
      </c>
      <c r="E505">
        <v>17.293788909912109</v>
      </c>
      <c r="F505">
        <v>0.3779979944229126</v>
      </c>
      <c r="G505">
        <v>75.569999694824219</v>
      </c>
      <c r="H505">
        <v>7.0000000298023224E-2</v>
      </c>
      <c r="I505">
        <v>27.290000915527344</v>
      </c>
      <c r="J505">
        <v>817</v>
      </c>
    </row>
    <row r="506" spans="1:10" x14ac:dyDescent="0.25">
      <c r="A506">
        <v>14551</v>
      </c>
      <c r="B506" t="str">
        <v>Cinevista</v>
      </c>
      <c r="C506">
        <v>16.610329</v>
      </c>
      <c r="D506">
        <v>13.63422966003418</v>
      </c>
      <c r="E506">
        <v>4.623772144317627</v>
      </c>
      <c r="F506">
        <v>0.33913001418113708</v>
      </c>
      <c r="G506">
        <v>20.610000610351563</v>
      </c>
      <c r="H506">
        <v>0</v>
      </c>
      <c r="I506">
        <v>112.91999816894531</v>
      </c>
      <c r="J506">
        <v>1309</v>
      </c>
    </row>
    <row r="507" spans="1:10" x14ac:dyDescent="0.25">
      <c r="A507">
        <v>114</v>
      </c>
      <c r="B507" t="str">
        <v>Cipla</v>
      </c>
      <c r="C507">
        <v>21.404046000000001</v>
      </c>
      <c r="D507">
        <v>1061.2012939453125</v>
      </c>
      <c r="E507">
        <v>311.73834228515625</v>
      </c>
      <c r="F507">
        <v>0.29376000165939331</v>
      </c>
      <c r="G507">
        <v>1493.300048828125</v>
      </c>
      <c r="H507">
        <v>0</v>
      </c>
      <c r="I507">
        <v>119795.1875</v>
      </c>
      <c r="J507">
        <v>1359</v>
      </c>
    </row>
    <row r="508" spans="1:10" x14ac:dyDescent="0.25">
      <c r="A508">
        <v>14240</v>
      </c>
      <c r="B508" t="str">
        <v>Cistro Telelink</v>
      </c>
      <c r="C508">
        <v>25.937926000000001</v>
      </c>
      <c r="D508">
        <v>0.46475198864936829</v>
      </c>
      <c r="E508">
        <v>0.1662680059671402</v>
      </c>
      <c r="F508">
        <v>0.35775500535964966</v>
      </c>
      <c r="G508">
        <v>0.86000001430511475</v>
      </c>
      <c r="H508">
        <v>9.9999997764825821E-3</v>
      </c>
      <c r="I508">
        <v>4.4200000762939453</v>
      </c>
      <c r="J508">
        <v>212</v>
      </c>
    </row>
    <row r="509" spans="1:10" x14ac:dyDescent="0.25">
      <c r="A509">
        <v>6616</v>
      </c>
      <c r="B509" t="str">
        <v>CitiPort Fin.</v>
      </c>
      <c r="C509">
        <v>6.7881739999999997</v>
      </c>
      <c r="D509">
        <v>18.495822906494141</v>
      </c>
      <c r="E509">
        <v>4.7328729629516602</v>
      </c>
      <c r="F509">
        <v>0.25588899850845337</v>
      </c>
      <c r="G509">
        <v>19.860000610351563</v>
      </c>
      <c r="H509">
        <v>0</v>
      </c>
      <c r="I509">
        <v>6.1599998474121094</v>
      </c>
      <c r="J509">
        <v>754</v>
      </c>
    </row>
    <row r="510" spans="1:10" x14ac:dyDescent="0.25">
      <c r="A510">
        <v>6008</v>
      </c>
      <c r="B510" t="str">
        <v>Citizen Infoline</v>
      </c>
      <c r="C510">
        <v>57.570732</v>
      </c>
      <c r="D510">
        <v>21.865755081176758</v>
      </c>
      <c r="E510">
        <v>13.774027824401855</v>
      </c>
      <c r="F510">
        <v>0.62993597984313965</v>
      </c>
      <c r="G510">
        <v>58.840000152587891</v>
      </c>
      <c r="H510">
        <v>0</v>
      </c>
      <c r="I510">
        <v>31.760000228881836</v>
      </c>
      <c r="J510">
        <v>811</v>
      </c>
    </row>
    <row r="511" spans="1:10" x14ac:dyDescent="0.25">
      <c r="A511">
        <v>21974</v>
      </c>
      <c r="B511" t="str">
        <v>City Online Ser.</v>
      </c>
      <c r="C511">
        <v>14.914033999999999</v>
      </c>
      <c r="D511">
        <v>5.427825927734375</v>
      </c>
      <c r="E511">
        <v>1.6296900510787964</v>
      </c>
      <c r="F511">
        <v>0.30024701356887817</v>
      </c>
      <c r="G511">
        <v>6.695000171661377</v>
      </c>
      <c r="H511">
        <v>0</v>
      </c>
      <c r="I511">
        <v>3.5</v>
      </c>
      <c r="J511">
        <v>774</v>
      </c>
    </row>
    <row r="512" spans="1:10" x14ac:dyDescent="0.25">
      <c r="A512">
        <v>7015</v>
      </c>
      <c r="B512" t="str">
        <v>City Union Bank</v>
      </c>
      <c r="C512">
        <v>-3.6796730000000002</v>
      </c>
      <c r="D512">
        <v>156.38092041015625</v>
      </c>
      <c r="E512">
        <v>24.645008087158203</v>
      </c>
      <c r="F512">
        <v>0.15759600698947906</v>
      </c>
      <c r="G512">
        <v>191.32499694824219</v>
      </c>
      <c r="H512">
        <v>0</v>
      </c>
      <c r="I512">
        <v>14182.8896484375</v>
      </c>
      <c r="J512">
        <v>1359</v>
      </c>
    </row>
    <row r="513" spans="1:10" x14ac:dyDescent="0.25">
      <c r="A513">
        <v>4290</v>
      </c>
      <c r="B513" t="str">
        <v>Cityman</v>
      </c>
      <c r="C513">
        <v>52.254114000000001</v>
      </c>
      <c r="D513">
        <v>12.84161376953125</v>
      </c>
      <c r="E513">
        <v>8.7516269683837891</v>
      </c>
      <c r="F513">
        <v>0.68150502443313599</v>
      </c>
      <c r="G513">
        <v>18.75</v>
      </c>
      <c r="H513">
        <v>0</v>
      </c>
      <c r="I513">
        <v>22.649999618530273</v>
      </c>
      <c r="J513">
        <v>688</v>
      </c>
    </row>
    <row r="514" spans="1:10" x14ac:dyDescent="0.25">
      <c r="A514">
        <v>14123</v>
      </c>
      <c r="B514" t="str">
        <v>Classic Filament</v>
      </c>
      <c r="C514">
        <v>14.619980999999999</v>
      </c>
      <c r="D514">
        <v>23.700910568237305</v>
      </c>
      <c r="E514">
        <v>13.962062835693359</v>
      </c>
      <c r="F514">
        <v>0.58909398317337036</v>
      </c>
      <c r="G514">
        <v>24.112499237060547</v>
      </c>
      <c r="H514">
        <v>1.9999999552965164E-2</v>
      </c>
      <c r="I514">
        <v>15.069999694824219</v>
      </c>
      <c r="J514">
        <v>824</v>
      </c>
    </row>
    <row r="515" spans="1:10" x14ac:dyDescent="0.25">
      <c r="A515">
        <v>12019</v>
      </c>
      <c r="B515" t="str">
        <v>Coal India</v>
      </c>
      <c r="C515">
        <v>11.240717999999999</v>
      </c>
      <c r="D515">
        <v>253.64984130859375</v>
      </c>
      <c r="E515">
        <v>122.61579132080078</v>
      </c>
      <c r="F515">
        <v>0.48340600728988647</v>
      </c>
      <c r="G515">
        <v>387.35000610351563</v>
      </c>
      <c r="H515">
        <v>0</v>
      </c>
      <c r="I515">
        <v>236833.65625</v>
      </c>
      <c r="J515">
        <v>1359</v>
      </c>
    </row>
    <row r="516" spans="1:10" x14ac:dyDescent="0.25">
      <c r="A516">
        <v>5768</v>
      </c>
      <c r="B516" t="str">
        <v>Coastal Corporat</v>
      </c>
      <c r="C516">
        <v>-4.7622169999999997</v>
      </c>
      <c r="D516">
        <v>49.208446502685547</v>
      </c>
      <c r="E516">
        <v>11.354152679443359</v>
      </c>
      <c r="F516">
        <v>0.23073600232601166</v>
      </c>
      <c r="G516">
        <v>39.417499542236328</v>
      </c>
      <c r="H516">
        <v>0.74000000953674316</v>
      </c>
      <c r="I516">
        <v>256.8599853515625</v>
      </c>
      <c r="J516">
        <v>1359</v>
      </c>
    </row>
    <row r="517" spans="1:10" x14ac:dyDescent="0.25">
      <c r="A517">
        <v>4088</v>
      </c>
      <c r="B517" t="str">
        <v>Coastal Roadways</v>
      </c>
      <c r="C517">
        <v>3.5289480000000002</v>
      </c>
      <c r="D517">
        <v>27.740861892700195</v>
      </c>
      <c r="E517">
        <v>9.7303981781005859</v>
      </c>
      <c r="F517">
        <v>0.35076001286506653</v>
      </c>
      <c r="G517">
        <v>30.5</v>
      </c>
      <c r="H517">
        <v>1.9999999552965164E-2</v>
      </c>
      <c r="I517">
        <v>12.659999847412109</v>
      </c>
      <c r="J517">
        <v>486</v>
      </c>
    </row>
    <row r="518" spans="1:10" x14ac:dyDescent="0.25">
      <c r="A518">
        <v>2422</v>
      </c>
      <c r="B518" t="str">
        <v>Cochin Minerals</v>
      </c>
      <c r="C518">
        <v>13.589021000000001</v>
      </c>
      <c r="D518">
        <v>208.92044067382813</v>
      </c>
      <c r="E518">
        <v>86.713088989257813</v>
      </c>
      <c r="F518">
        <v>0.41505300998687744</v>
      </c>
      <c r="G518">
        <v>312.52499389648438</v>
      </c>
      <c r="H518">
        <v>3.9999999105930328E-2</v>
      </c>
      <c r="I518">
        <v>241.32000732421875</v>
      </c>
      <c r="J518">
        <v>1359</v>
      </c>
    </row>
    <row r="519" spans="1:10" x14ac:dyDescent="0.25">
      <c r="A519">
        <v>5762</v>
      </c>
      <c r="B519" t="str">
        <v>Cochin Shipyard</v>
      </c>
      <c r="C519">
        <v>45.440621</v>
      </c>
      <c r="D519">
        <v>583.02996826171875</v>
      </c>
      <c r="E519">
        <v>648.9122314453125</v>
      </c>
      <c r="F519">
        <v>1.1130000352859497</v>
      </c>
      <c r="G519">
        <v>2124.10009765625</v>
      </c>
      <c r="H519">
        <v>0.10999999940395355</v>
      </c>
      <c r="I519">
        <v>54904.9609375</v>
      </c>
      <c r="J519">
        <v>1359</v>
      </c>
    </row>
    <row r="520" spans="1:10" x14ac:dyDescent="0.25">
      <c r="A520">
        <v>54778</v>
      </c>
      <c r="B520" t="str">
        <v>Coffee Day Enter</v>
      </c>
      <c r="C520">
        <v>-3.587107</v>
      </c>
      <c r="D520">
        <v>43.724735260009766</v>
      </c>
      <c r="E520">
        <v>11.494584083557129</v>
      </c>
      <c r="F520">
        <v>0.26288500428199768</v>
      </c>
      <c r="G520">
        <v>33.314998626708984</v>
      </c>
      <c r="H520">
        <v>0.18000000715255737</v>
      </c>
      <c r="I520">
        <v>691.8499755859375</v>
      </c>
      <c r="J520">
        <v>1023</v>
      </c>
    </row>
    <row r="521" spans="1:10" x14ac:dyDescent="0.25">
      <c r="A521">
        <v>24978</v>
      </c>
      <c r="B521" t="str">
        <v>Coforge</v>
      </c>
      <c r="C521">
        <v>33.156523999999997</v>
      </c>
      <c r="D521">
        <v>912.482421875</v>
      </c>
      <c r="E521">
        <v>398.01449584960938</v>
      </c>
      <c r="F521">
        <v>0.43618899583816528</v>
      </c>
      <c r="G521">
        <v>1811.2750244140625</v>
      </c>
      <c r="H521">
        <v>0.14000000059604645</v>
      </c>
      <c r="I521">
        <v>59992.6796875</v>
      </c>
      <c r="J521">
        <v>1359</v>
      </c>
    </row>
    <row r="522" spans="1:10" x14ac:dyDescent="0.25">
      <c r="A522">
        <v>118</v>
      </c>
      <c r="B522" t="str">
        <v>Colgate-Palmoliv</v>
      </c>
      <c r="C522">
        <v>9.1380049999999997</v>
      </c>
      <c r="D522">
        <v>1923.8961181640625</v>
      </c>
      <c r="E522">
        <v>611.54229736328125</v>
      </c>
      <c r="F522">
        <v>0.31786701083183289</v>
      </c>
      <c r="G522">
        <v>2396.324951171875</v>
      </c>
      <c r="H522">
        <v>3.9999999105930328E-2</v>
      </c>
      <c r="I522">
        <v>65243.91015625</v>
      </c>
      <c r="J522">
        <v>1359</v>
      </c>
    </row>
    <row r="523" spans="1:10" x14ac:dyDescent="0.25">
      <c r="A523">
        <v>5989</v>
      </c>
      <c r="B523" t="str">
        <v>Colinz Labs</v>
      </c>
      <c r="C523">
        <v>30.984145000000002</v>
      </c>
      <c r="D523">
        <v>35.451190948486328</v>
      </c>
      <c r="E523">
        <v>17.355546951293945</v>
      </c>
      <c r="F523">
        <v>0.48956200480461121</v>
      </c>
      <c r="G523">
        <v>51.180000305175781</v>
      </c>
      <c r="H523">
        <v>5.000000074505806E-2</v>
      </c>
      <c r="I523">
        <v>23.389999389648438</v>
      </c>
      <c r="J523">
        <v>1219</v>
      </c>
    </row>
    <row r="524" spans="1:10" x14ac:dyDescent="0.25">
      <c r="A524">
        <v>27752</v>
      </c>
      <c r="B524" t="str">
        <v>Colorchips New</v>
      </c>
      <c r="C524">
        <v>-5.2958569999999998</v>
      </c>
      <c r="D524">
        <v>32.3092041015625</v>
      </c>
      <c r="E524">
        <v>21.007440567016602</v>
      </c>
      <c r="F524">
        <v>0.6502000093460083</v>
      </c>
      <c r="G524">
        <v>17.652500152587891</v>
      </c>
      <c r="H524">
        <v>0</v>
      </c>
      <c r="I524">
        <v>29.719999313354492</v>
      </c>
      <c r="J524">
        <v>1189</v>
      </c>
    </row>
    <row r="525" spans="1:10" x14ac:dyDescent="0.25">
      <c r="A525">
        <v>42683</v>
      </c>
      <c r="B525" t="str">
        <v>Comfort Comtrade</v>
      </c>
      <c r="C525">
        <v>48.134216000000002</v>
      </c>
      <c r="D525">
        <v>17.099739074707031</v>
      </c>
      <c r="E525">
        <v>10.661872863769531</v>
      </c>
      <c r="F525">
        <v>0.62351101636886597</v>
      </c>
      <c r="G525">
        <v>25.847499847412109</v>
      </c>
      <c r="H525">
        <v>0.2800000011920929</v>
      </c>
      <c r="I525">
        <v>25.520000457763672</v>
      </c>
      <c r="J525">
        <v>1335</v>
      </c>
    </row>
    <row r="526" spans="1:10" x14ac:dyDescent="0.25">
      <c r="A526">
        <v>40171</v>
      </c>
      <c r="B526" t="str">
        <v>Comfort Fincap</v>
      </c>
      <c r="C526">
        <v>41.488408</v>
      </c>
      <c r="D526">
        <v>8.3475561141967773</v>
      </c>
      <c r="E526">
        <v>4.4610939025878906</v>
      </c>
      <c r="F526">
        <v>0.53441900014877319</v>
      </c>
      <c r="G526">
        <v>8.9724998474121094</v>
      </c>
      <c r="H526">
        <v>0.50999999046325684</v>
      </c>
      <c r="I526">
        <v>78.410003662109375</v>
      </c>
      <c r="J526">
        <v>1213</v>
      </c>
    </row>
    <row r="527" spans="1:10" x14ac:dyDescent="0.25">
      <c r="A527">
        <v>12773</v>
      </c>
      <c r="B527" t="str">
        <v>Comfort Intech</v>
      </c>
      <c r="C527">
        <v>56.407274000000001</v>
      </c>
      <c r="D527">
        <v>4.8045558929443359</v>
      </c>
      <c r="E527">
        <v>4.3836889266967773</v>
      </c>
      <c r="F527">
        <v>0.91240298748016357</v>
      </c>
      <c r="G527">
        <v>9.1049995422363281</v>
      </c>
      <c r="H527">
        <v>0.12999999523162842</v>
      </c>
      <c r="I527">
        <v>291.45999145507813</v>
      </c>
      <c r="J527">
        <v>1355</v>
      </c>
    </row>
    <row r="528" spans="1:10" x14ac:dyDescent="0.25">
      <c r="A528">
        <v>41433</v>
      </c>
      <c r="B528" t="str">
        <v>Commerl. Synbags</v>
      </c>
      <c r="C528">
        <v>39.781731999999998</v>
      </c>
      <c r="D528">
        <v>63.820701599121094</v>
      </c>
      <c r="E528">
        <v>29.688884735107422</v>
      </c>
      <c r="F528">
        <v>0.46519199013710022</v>
      </c>
      <c r="G528">
        <v>131.91250610351563</v>
      </c>
      <c r="H528">
        <v>0.6600000262260437</v>
      </c>
      <c r="I528">
        <v>531.760009765625</v>
      </c>
      <c r="J528">
        <v>1342</v>
      </c>
    </row>
    <row r="529" spans="1:10" x14ac:dyDescent="0.25">
      <c r="A529">
        <v>5326</v>
      </c>
      <c r="B529" t="str">
        <v>Competent Auto</v>
      </c>
      <c r="C529">
        <v>17.010878000000002</v>
      </c>
      <c r="D529">
        <v>276.33270263671875</v>
      </c>
      <c r="E529">
        <v>152.36662292480469</v>
      </c>
      <c r="F529">
        <v>0.55138802528381348</v>
      </c>
      <c r="G529">
        <v>406.625</v>
      </c>
      <c r="H529">
        <v>0.8399999737739563</v>
      </c>
      <c r="I529">
        <v>253.96000671386719</v>
      </c>
      <c r="J529">
        <v>1347</v>
      </c>
    </row>
    <row r="530" spans="1:10" x14ac:dyDescent="0.25">
      <c r="A530">
        <v>22406</v>
      </c>
      <c r="B530" t="str">
        <v>Compuage Info.</v>
      </c>
      <c r="C530">
        <v>-37.544148</v>
      </c>
      <c r="D530">
        <v>16.53880500793457</v>
      </c>
      <c r="E530">
        <v>8.9294013977050781</v>
      </c>
      <c r="F530">
        <v>0.53990602493286133</v>
      </c>
      <c r="G530">
        <v>1.875</v>
      </c>
      <c r="H530">
        <v>0</v>
      </c>
      <c r="I530">
        <v>15.699999809265137</v>
      </c>
      <c r="J530">
        <v>1199</v>
      </c>
    </row>
    <row r="531" spans="1:10" x14ac:dyDescent="0.25">
      <c r="A531">
        <v>8014</v>
      </c>
      <c r="B531" t="str">
        <v>Compucom Soft.</v>
      </c>
      <c r="C531">
        <v>18.401035</v>
      </c>
      <c r="D531">
        <v>19.372283935546875</v>
      </c>
      <c r="E531">
        <v>8.4407558441162109</v>
      </c>
      <c r="F531">
        <v>0.43571299314498901</v>
      </c>
      <c r="G531">
        <v>20.725000381469727</v>
      </c>
      <c r="H531">
        <v>0.14000000059604645</v>
      </c>
      <c r="I531">
        <v>160.94000244140625</v>
      </c>
      <c r="J531">
        <v>1359</v>
      </c>
    </row>
    <row r="532" spans="1:10" x14ac:dyDescent="0.25">
      <c r="A532">
        <v>120</v>
      </c>
      <c r="B532" t="str">
        <v>Computer Point</v>
      </c>
      <c r="C532">
        <v>58.091662999999997</v>
      </c>
      <c r="D532">
        <v>4.0460491180419922</v>
      </c>
      <c r="E532">
        <v>2.2169420719146729</v>
      </c>
      <c r="F532">
        <v>0.54792797565460205</v>
      </c>
      <c r="G532">
        <v>5.9800000190734863</v>
      </c>
      <c r="H532">
        <v>0</v>
      </c>
      <c r="I532">
        <v>17.280000686645508</v>
      </c>
      <c r="J532">
        <v>829</v>
      </c>
    </row>
    <row r="533" spans="1:10" x14ac:dyDescent="0.25">
      <c r="A533">
        <v>3806</v>
      </c>
      <c r="B533" t="str">
        <v>Conart Engineers</v>
      </c>
      <c r="C533">
        <v>42.557640999999997</v>
      </c>
      <c r="D533">
        <v>35.298133850097656</v>
      </c>
      <c r="E533">
        <v>33.427257537841797</v>
      </c>
      <c r="F533">
        <v>0.9469980001449585</v>
      </c>
      <c r="G533">
        <v>107.92500305175781</v>
      </c>
      <c r="H533">
        <v>0</v>
      </c>
      <c r="I533">
        <v>68.19000244140625</v>
      </c>
      <c r="J533">
        <v>1346</v>
      </c>
    </row>
    <row r="534" spans="1:10" x14ac:dyDescent="0.25">
      <c r="A534">
        <v>7690</v>
      </c>
      <c r="B534" t="str">
        <v>Concord Drugs</v>
      </c>
      <c r="C534">
        <v>13.263716000000001</v>
      </c>
      <c r="D534">
        <v>30.180858612060547</v>
      </c>
      <c r="E534">
        <v>7.4654831886291504</v>
      </c>
      <c r="F534">
        <v>0.24735799431800842</v>
      </c>
      <c r="G534">
        <v>30.527500152587891</v>
      </c>
      <c r="H534">
        <v>0.4699999988079071</v>
      </c>
      <c r="I534">
        <v>30.760000228881836</v>
      </c>
      <c r="J534">
        <v>1347</v>
      </c>
    </row>
    <row r="535" spans="1:10" x14ac:dyDescent="0.25">
      <c r="A535">
        <v>26391</v>
      </c>
      <c r="B535" t="str">
        <v>Concrete Infra</v>
      </c>
      <c r="C535">
        <v>-1.1144879999999999</v>
      </c>
      <c r="D535">
        <v>3.398914098739624</v>
      </c>
      <c r="E535">
        <v>0.47991898655891418</v>
      </c>
      <c r="F535">
        <v>0.14119799435138702</v>
      </c>
      <c r="G535">
        <v>4.1050000190734863</v>
      </c>
      <c r="H535">
        <v>0</v>
      </c>
      <c r="I535">
        <v>3.1400001049041748</v>
      </c>
      <c r="J535">
        <v>129</v>
      </c>
    </row>
    <row r="536" spans="1:10" x14ac:dyDescent="0.25">
      <c r="A536">
        <v>68464</v>
      </c>
      <c r="B536" t="str">
        <v>Confidence Fut.</v>
      </c>
      <c r="C536">
        <v>16.248495999999999</v>
      </c>
      <c r="D536">
        <v>120.14289093017578</v>
      </c>
      <c r="E536">
        <v>72.227714538574219</v>
      </c>
      <c r="F536">
        <v>0.60118198394775391</v>
      </c>
      <c r="G536">
        <v>74.089996337890625</v>
      </c>
      <c r="H536">
        <v>1.9999999552965164E-2</v>
      </c>
      <c r="I536">
        <v>186.85000610351563</v>
      </c>
      <c r="J536">
        <v>724</v>
      </c>
    </row>
    <row r="537" spans="1:10" x14ac:dyDescent="0.25">
      <c r="A537">
        <v>4722</v>
      </c>
      <c r="B537" t="str">
        <v>Confidence Petro</v>
      </c>
      <c r="C537">
        <v>13.068735</v>
      </c>
      <c r="D537">
        <v>62.402313232421875</v>
      </c>
      <c r="E537">
        <v>23.248151779174805</v>
      </c>
      <c r="F537">
        <v>0.37255299091339111</v>
      </c>
      <c r="G537">
        <v>57.522499084472656</v>
      </c>
      <c r="H537">
        <v>0.61000001430511475</v>
      </c>
      <c r="I537">
        <v>1869.18994140625</v>
      </c>
      <c r="J537">
        <v>1359</v>
      </c>
    </row>
    <row r="538" spans="1:10" x14ac:dyDescent="0.25">
      <c r="A538">
        <v>1708</v>
      </c>
      <c r="B538" t="str">
        <v>Cont. Chemicals</v>
      </c>
      <c r="C538">
        <v>29.027532999999998</v>
      </c>
      <c r="D538">
        <v>89.100318908691406</v>
      </c>
      <c r="E538">
        <v>52.772083282470703</v>
      </c>
      <c r="F538">
        <v>0.59227699041366577</v>
      </c>
      <c r="G538">
        <v>69.50250244140625</v>
      </c>
      <c r="H538">
        <v>1.9999999552965164E-2</v>
      </c>
      <c r="I538">
        <v>15.939999580383301</v>
      </c>
      <c r="J538">
        <v>936</v>
      </c>
    </row>
    <row r="539" spans="1:10" x14ac:dyDescent="0.25">
      <c r="A539">
        <v>13870</v>
      </c>
      <c r="B539" t="str">
        <v>Cont. Controls</v>
      </c>
      <c r="C539">
        <v>16.129791999999998</v>
      </c>
      <c r="D539">
        <v>6.8014931678771973</v>
      </c>
      <c r="E539">
        <v>3.4202919006347656</v>
      </c>
      <c r="F539">
        <v>0.50287401676177979</v>
      </c>
      <c r="G539">
        <v>9.9399995803833008</v>
      </c>
      <c r="H539">
        <v>0.62000000476837158</v>
      </c>
      <c r="I539">
        <v>6.2899999618530273</v>
      </c>
      <c r="J539">
        <v>1155</v>
      </c>
    </row>
    <row r="540" spans="1:10" x14ac:dyDescent="0.25">
      <c r="A540">
        <v>1156</v>
      </c>
      <c r="B540" t="str">
        <v>Cont. Petroleums</v>
      </c>
      <c r="C540">
        <v>52.355888</v>
      </c>
      <c r="D540">
        <v>55.077133178710938</v>
      </c>
      <c r="E540">
        <v>31.726724624633789</v>
      </c>
      <c r="F540">
        <v>0.57604199647903442</v>
      </c>
      <c r="G540">
        <v>123.98750305175781</v>
      </c>
      <c r="H540">
        <v>0.40999999642372131</v>
      </c>
      <c r="I540">
        <v>67.870002746582031</v>
      </c>
      <c r="J540">
        <v>1325</v>
      </c>
    </row>
    <row r="541" spans="1:10" x14ac:dyDescent="0.25">
      <c r="A541">
        <v>7127</v>
      </c>
      <c r="B541" t="str">
        <v>Cont. Securities</v>
      </c>
      <c r="C541">
        <v>40.228220999999998</v>
      </c>
      <c r="D541">
        <v>8.1326322555541992</v>
      </c>
      <c r="E541">
        <v>5.4196858406066895</v>
      </c>
      <c r="F541">
        <v>0.66641199588775635</v>
      </c>
      <c r="G541">
        <v>14.479999542236328</v>
      </c>
      <c r="H541">
        <v>9.9999997764825821E-3</v>
      </c>
      <c r="I541">
        <v>40.189998626708984</v>
      </c>
      <c r="J541">
        <v>1154</v>
      </c>
    </row>
    <row r="542" spans="1:10" x14ac:dyDescent="0.25">
      <c r="A542">
        <v>12607</v>
      </c>
      <c r="B542" t="str">
        <v>Container Corpn.</v>
      </c>
      <c r="C542">
        <v>4.5901990000000001</v>
      </c>
      <c r="D542">
        <v>671.8409423828125</v>
      </c>
      <c r="E542">
        <v>176.33151245117188</v>
      </c>
      <c r="F542">
        <v>0.26245999336242676</v>
      </c>
      <c r="G542">
        <v>736.4000244140625</v>
      </c>
      <c r="H542">
        <v>7.0000000298023224E-2</v>
      </c>
      <c r="I542">
        <v>44350.5390625</v>
      </c>
      <c r="J542">
        <v>1359</v>
      </c>
    </row>
    <row r="543" spans="1:10" x14ac:dyDescent="0.25">
      <c r="A543">
        <v>5881</v>
      </c>
      <c r="B543" t="str">
        <v>Containerway Int</v>
      </c>
      <c r="C543">
        <v>57.005974000000002</v>
      </c>
      <c r="D543">
        <v>19.698703765869141</v>
      </c>
      <c r="E543">
        <v>22.31138801574707</v>
      </c>
      <c r="F543">
        <v>1.1326320171356201</v>
      </c>
      <c r="G543">
        <v>37.5</v>
      </c>
      <c r="H543">
        <v>0.18999999761581421</v>
      </c>
      <c r="I543">
        <v>43.400001525878906</v>
      </c>
      <c r="J543">
        <v>592</v>
      </c>
    </row>
    <row r="544" spans="1:10" x14ac:dyDescent="0.25">
      <c r="A544">
        <v>3319</v>
      </c>
      <c r="B544" t="str">
        <v>Control Print</v>
      </c>
      <c r="C544">
        <v>22.606245999999999</v>
      </c>
      <c r="D544">
        <v>511.1072998046875</v>
      </c>
      <c r="E544">
        <v>242.73066711425781</v>
      </c>
      <c r="F544">
        <v>0.47491100430488586</v>
      </c>
      <c r="G544">
        <v>777.61260986328125</v>
      </c>
      <c r="H544">
        <v>1.9999999552965164E-2</v>
      </c>
      <c r="I544">
        <v>1239.7900390625</v>
      </c>
      <c r="J544">
        <v>1352</v>
      </c>
    </row>
    <row r="545" spans="1:10" x14ac:dyDescent="0.25">
      <c r="A545">
        <v>12639</v>
      </c>
      <c r="B545" t="str">
        <v>Coral India Fin.</v>
      </c>
      <c r="C545">
        <v>25.897192</v>
      </c>
      <c r="D545">
        <v>36.879207611083984</v>
      </c>
      <c r="E545">
        <v>12.85299015045166</v>
      </c>
      <c r="F545">
        <v>0.34851598739624023</v>
      </c>
      <c r="G545">
        <v>43.810001373291016</v>
      </c>
      <c r="H545">
        <v>0</v>
      </c>
      <c r="I545">
        <v>177.28999328613281</v>
      </c>
      <c r="J545">
        <v>1355</v>
      </c>
    </row>
    <row r="546" spans="1:10" x14ac:dyDescent="0.25">
      <c r="A546">
        <v>3676</v>
      </c>
      <c r="B546" t="str">
        <v>Coral Labs.</v>
      </c>
      <c r="C546">
        <v>27.087793999999999</v>
      </c>
      <c r="D546">
        <v>392.63702392578125</v>
      </c>
      <c r="E546">
        <v>198.46954345703125</v>
      </c>
      <c r="F546">
        <v>0.50547802448272705</v>
      </c>
      <c r="G546">
        <v>593.6624755859375</v>
      </c>
      <c r="H546">
        <v>0</v>
      </c>
      <c r="I546">
        <v>212.11000061035156</v>
      </c>
      <c r="J546">
        <v>1358</v>
      </c>
    </row>
    <row r="547" spans="1:10" x14ac:dyDescent="0.25">
      <c r="A547">
        <v>5686</v>
      </c>
      <c r="B547" t="str">
        <v>Coral Newsprints</v>
      </c>
      <c r="C547">
        <v>11.52782</v>
      </c>
      <c r="D547">
        <v>9.8830528259277344</v>
      </c>
      <c r="E547">
        <v>4.058845043182373</v>
      </c>
      <c r="F547">
        <v>0.41068699955940247</v>
      </c>
      <c r="G547">
        <v>10.720000267028809</v>
      </c>
      <c r="H547">
        <v>0</v>
      </c>
      <c r="I547">
        <v>5.5300002098083496</v>
      </c>
      <c r="J547">
        <v>1172</v>
      </c>
    </row>
    <row r="548" spans="1:10" x14ac:dyDescent="0.25">
      <c r="A548">
        <v>28292</v>
      </c>
      <c r="B548" t="str">
        <v>Cords Cable</v>
      </c>
      <c r="C548">
        <v>29.25395</v>
      </c>
      <c r="D548">
        <v>95.79827880859375</v>
      </c>
      <c r="E548">
        <v>63.402069091796875</v>
      </c>
      <c r="F548">
        <v>0.66182899475097656</v>
      </c>
      <c r="G548">
        <v>192.97500610351563</v>
      </c>
      <c r="H548">
        <v>0.50999999046325684</v>
      </c>
      <c r="I548">
        <v>245.82000732421875</v>
      </c>
      <c r="J548">
        <v>1354</v>
      </c>
    </row>
    <row r="549" spans="1:10" x14ac:dyDescent="0.25">
      <c r="A549">
        <v>123</v>
      </c>
      <c r="B549" t="str">
        <v>Coromandel Inter</v>
      </c>
      <c r="C549">
        <v>27.667449999999999</v>
      </c>
      <c r="D549">
        <v>1063.4815673828125</v>
      </c>
      <c r="E549">
        <v>420.02322387695313</v>
      </c>
      <c r="F549">
        <v>0.3949509859085083</v>
      </c>
      <c r="G549">
        <v>2293.89990234375</v>
      </c>
      <c r="H549">
        <v>5.000000074505806E-2</v>
      </c>
      <c r="I549">
        <v>67827.46875</v>
      </c>
      <c r="J549">
        <v>1359</v>
      </c>
    </row>
    <row r="550" spans="1:10" x14ac:dyDescent="0.25">
      <c r="A550">
        <v>4560</v>
      </c>
      <c r="B550" t="str">
        <v>Corporate Courie</v>
      </c>
      <c r="C550">
        <v>-25.979410999999999</v>
      </c>
      <c r="D550">
        <v>6.0611982345581055</v>
      </c>
      <c r="E550">
        <v>3.0571410655975342</v>
      </c>
      <c r="F550">
        <v>0.50437897443771362</v>
      </c>
      <c r="G550">
        <v>3.059999942779541</v>
      </c>
      <c r="H550">
        <v>0.31000000238418579</v>
      </c>
      <c r="I550">
        <v>2.1500000953674316</v>
      </c>
      <c r="J550">
        <v>866</v>
      </c>
    </row>
    <row r="551" spans="1:10" x14ac:dyDescent="0.25">
      <c r="A551">
        <v>124</v>
      </c>
      <c r="B551" t="str">
        <v>Cosmo First</v>
      </c>
      <c r="C551">
        <v>38.311855999999999</v>
      </c>
      <c r="D551">
        <v>661.54833984375</v>
      </c>
      <c r="E551">
        <v>286.22756958007813</v>
      </c>
      <c r="F551">
        <v>0.43266299366950989</v>
      </c>
      <c r="G551">
        <v>1228.262451171875</v>
      </c>
      <c r="H551">
        <v>0.81999999284744263</v>
      </c>
      <c r="I551">
        <v>3228.590087890625</v>
      </c>
      <c r="J551">
        <v>1359</v>
      </c>
    </row>
    <row r="552" spans="1:10" x14ac:dyDescent="0.25">
      <c r="A552">
        <v>3985</v>
      </c>
      <c r="B552" t="str">
        <v>Country Club Hos</v>
      </c>
      <c r="C552">
        <v>30.964862</v>
      </c>
      <c r="D552">
        <v>9.554417610168457</v>
      </c>
      <c r="E552">
        <v>5.8856019973754883</v>
      </c>
      <c r="F552">
        <v>0.61600798368453979</v>
      </c>
      <c r="G552">
        <v>16.629999160766602</v>
      </c>
      <c r="H552">
        <v>0.25999999046325684</v>
      </c>
      <c r="I552">
        <v>269.3900146484375</v>
      </c>
      <c r="J552">
        <v>1356</v>
      </c>
    </row>
    <row r="553" spans="1:10" x14ac:dyDescent="0.25">
      <c r="A553">
        <v>6279</v>
      </c>
      <c r="B553" t="str">
        <v>Country Condo</v>
      </c>
      <c r="C553">
        <v>25.317858999999999</v>
      </c>
      <c r="D553">
        <v>4.4311738014221191</v>
      </c>
      <c r="E553">
        <v>1.8551609516143799</v>
      </c>
      <c r="F553">
        <v>0.41866099834442139</v>
      </c>
      <c r="G553">
        <v>6.8575000762939453</v>
      </c>
      <c r="H553">
        <v>7.9999998211860657E-2</v>
      </c>
      <c r="I553">
        <v>53.389999389648438</v>
      </c>
      <c r="J553">
        <v>1310</v>
      </c>
    </row>
    <row r="554" spans="1:10" x14ac:dyDescent="0.25">
      <c r="A554">
        <v>43151</v>
      </c>
      <c r="B554" t="str">
        <v>Covidh Technolog</v>
      </c>
      <c r="C554">
        <v>27.21003</v>
      </c>
      <c r="D554">
        <v>1.22188401222229</v>
      </c>
      <c r="E554">
        <v>0.38225099444389343</v>
      </c>
      <c r="F554">
        <v>0.31283700466156006</v>
      </c>
      <c r="G554">
        <v>2.0299999713897705</v>
      </c>
      <c r="H554">
        <v>0</v>
      </c>
      <c r="I554">
        <v>2.1500000953674316</v>
      </c>
      <c r="J554">
        <v>138</v>
      </c>
    </row>
    <row r="555" spans="1:10" x14ac:dyDescent="0.25">
      <c r="A555">
        <v>28152</v>
      </c>
      <c r="B555" t="str">
        <v>Crane Infra</v>
      </c>
      <c r="C555">
        <v>32.099625000000003</v>
      </c>
      <c r="D555">
        <v>13.755921363830566</v>
      </c>
      <c r="E555">
        <v>8.1916303634643555</v>
      </c>
      <c r="F555">
        <v>0.59549802541732788</v>
      </c>
      <c r="G555">
        <v>20.129999160766602</v>
      </c>
      <c r="H555">
        <v>0</v>
      </c>
      <c r="I555">
        <v>14.319999694824219</v>
      </c>
      <c r="J555">
        <v>1203</v>
      </c>
    </row>
    <row r="556" spans="1:10" x14ac:dyDescent="0.25">
      <c r="A556">
        <v>5895</v>
      </c>
      <c r="B556" t="str">
        <v>Cranes Software</v>
      </c>
      <c r="C556">
        <v>27.253267000000001</v>
      </c>
      <c r="D556">
        <v>3.0684249401092529</v>
      </c>
      <c r="E556">
        <v>1.6327899694442749</v>
      </c>
      <c r="F556">
        <v>0.53212600946426392</v>
      </c>
      <c r="G556">
        <v>3.6600000858306885</v>
      </c>
      <c r="H556">
        <v>0</v>
      </c>
      <c r="I556">
        <v>56.680000305175781</v>
      </c>
      <c r="J556">
        <v>1359</v>
      </c>
    </row>
    <row r="557" spans="1:10" x14ac:dyDescent="0.25">
      <c r="A557">
        <v>1529</v>
      </c>
      <c r="B557" t="str">
        <v>Cravatex</v>
      </c>
      <c r="C557">
        <v>3.0024999999999999</v>
      </c>
      <c r="D557">
        <v>381.22225952148438</v>
      </c>
      <c r="E557">
        <v>76.282859802246094</v>
      </c>
      <c r="F557">
        <v>0.20010100305080414</v>
      </c>
      <c r="G557">
        <v>449.92498779296875</v>
      </c>
      <c r="H557">
        <v>0</v>
      </c>
      <c r="I557">
        <v>112.45999908447266</v>
      </c>
      <c r="J557">
        <v>1273</v>
      </c>
    </row>
    <row r="558" spans="1:10" x14ac:dyDescent="0.25">
      <c r="A558">
        <v>16248</v>
      </c>
      <c r="B558" t="str">
        <v>Creative Casting</v>
      </c>
      <c r="C558">
        <v>10.985514999999999</v>
      </c>
      <c r="D558">
        <v>544.05474853515625</v>
      </c>
      <c r="E558">
        <v>182.55059814453125</v>
      </c>
      <c r="F558">
        <v>0.33553698658943176</v>
      </c>
      <c r="G558">
        <v>620</v>
      </c>
      <c r="H558">
        <v>0</v>
      </c>
      <c r="I558">
        <v>80.599998474121094</v>
      </c>
      <c r="J558">
        <v>1183</v>
      </c>
    </row>
    <row r="559" spans="1:10" x14ac:dyDescent="0.25">
      <c r="A559">
        <v>14369</v>
      </c>
      <c r="B559" t="str">
        <v>Creative Eye</v>
      </c>
      <c r="C559">
        <v>40.672075999999997</v>
      </c>
      <c r="D559">
        <v>4.4804239273071289</v>
      </c>
      <c r="E559">
        <v>1.7222690582275391</v>
      </c>
      <c r="F559">
        <v>0.38439899682998657</v>
      </c>
      <c r="G559">
        <v>8.7950000762939453</v>
      </c>
      <c r="H559">
        <v>0.2800000011920929</v>
      </c>
      <c r="I559">
        <v>17.629999160766602</v>
      </c>
      <c r="J559">
        <v>1250</v>
      </c>
    </row>
    <row r="560" spans="1:10" x14ac:dyDescent="0.25">
      <c r="A560">
        <v>5395</v>
      </c>
      <c r="B560" t="str">
        <v>Credent Global</v>
      </c>
      <c r="C560">
        <v>45.681282000000003</v>
      </c>
      <c r="D560">
        <v>21.441707611083984</v>
      </c>
      <c r="E560">
        <v>11.233845710754395</v>
      </c>
      <c r="F560">
        <v>0.52392500638961792</v>
      </c>
      <c r="G560">
        <v>23.454999923706055</v>
      </c>
      <c r="H560">
        <v>0.41999998688697815</v>
      </c>
      <c r="I560">
        <v>118.87999725341797</v>
      </c>
      <c r="J560">
        <v>1053</v>
      </c>
    </row>
    <row r="561" spans="1:10" x14ac:dyDescent="0.25">
      <c r="A561">
        <v>4127</v>
      </c>
      <c r="B561" t="str">
        <v>Cressanda Railwa</v>
      </c>
      <c r="C561">
        <v>61.313636000000002</v>
      </c>
      <c r="D561">
        <v>13.495624542236328</v>
      </c>
      <c r="E561">
        <v>11.915504455566406</v>
      </c>
      <c r="F561">
        <v>0.88291597366333008</v>
      </c>
      <c r="G561">
        <v>4.307499885559082</v>
      </c>
      <c r="H561">
        <v>0</v>
      </c>
      <c r="I561">
        <v>174.66999816894531</v>
      </c>
      <c r="J561">
        <v>1279</v>
      </c>
    </row>
    <row r="562" spans="1:10" x14ac:dyDescent="0.25">
      <c r="A562">
        <v>3420</v>
      </c>
      <c r="B562" t="str">
        <v>Crest Ventures</v>
      </c>
      <c r="C562">
        <v>28.113894999999999</v>
      </c>
      <c r="D562">
        <v>221.80361938476563</v>
      </c>
      <c r="E562">
        <v>134.7244873046875</v>
      </c>
      <c r="F562">
        <v>0.60740399360656738</v>
      </c>
      <c r="G562">
        <v>402.85000610351563</v>
      </c>
      <c r="H562">
        <v>0.17000000178813934</v>
      </c>
      <c r="I562">
        <v>1123.77001953125</v>
      </c>
      <c r="J562">
        <v>1315</v>
      </c>
    </row>
    <row r="563" spans="1:10" x14ac:dyDescent="0.25">
      <c r="A563">
        <v>3283</v>
      </c>
      <c r="B563" t="str">
        <v>Crestchem</v>
      </c>
      <c r="C563">
        <v>52.292810000000003</v>
      </c>
      <c r="D563">
        <v>91.993362426757813</v>
      </c>
      <c r="E563">
        <v>70.704742431640625</v>
      </c>
      <c r="F563">
        <v>0.76858502626419067</v>
      </c>
      <c r="G563">
        <v>172.125</v>
      </c>
      <c r="H563">
        <v>0</v>
      </c>
      <c r="I563">
        <v>50.549999237060547</v>
      </c>
      <c r="J563">
        <v>1210</v>
      </c>
    </row>
    <row r="564" spans="1:10" x14ac:dyDescent="0.25">
      <c r="A564">
        <v>6173</v>
      </c>
      <c r="B564" t="str">
        <v>Croissance Ltd</v>
      </c>
      <c r="C564">
        <v>-13.771411000000001</v>
      </c>
      <c r="D564">
        <v>5.6612238883972168</v>
      </c>
      <c r="E564">
        <v>2.0337240695953369</v>
      </c>
      <c r="F564">
        <v>0.35923799872398376</v>
      </c>
      <c r="G564">
        <v>2.7925000190734863</v>
      </c>
      <c r="H564">
        <v>7.0000000298023224E-2</v>
      </c>
      <c r="I564">
        <v>18.579999923706055</v>
      </c>
      <c r="J564">
        <v>1121</v>
      </c>
    </row>
    <row r="565" spans="1:10" x14ac:dyDescent="0.25">
      <c r="A565">
        <v>65733</v>
      </c>
      <c r="B565" t="str">
        <v>Crompton Gr. Con</v>
      </c>
      <c r="C565">
        <v>6.5020170000000004</v>
      </c>
      <c r="D565">
        <v>347.99075317382813</v>
      </c>
      <c r="E565">
        <v>69.877571105957031</v>
      </c>
      <c r="F565">
        <v>0.2008029967546463</v>
      </c>
      <c r="G565">
        <v>343.33749389648438</v>
      </c>
      <c r="H565">
        <v>0.2800000011920929</v>
      </c>
      <c r="I565">
        <v>21868.4609375</v>
      </c>
      <c r="J565">
        <v>1359</v>
      </c>
    </row>
    <row r="566" spans="1:10" x14ac:dyDescent="0.25">
      <c r="A566">
        <v>6024</v>
      </c>
      <c r="B566" t="str">
        <v>Crystal Business</v>
      </c>
      <c r="C566">
        <v>10.12007</v>
      </c>
      <c r="D566">
        <v>5.238004207611084</v>
      </c>
      <c r="E566">
        <v>5.1973128318786621</v>
      </c>
      <c r="F566">
        <v>0.99223202466964722</v>
      </c>
      <c r="G566">
        <v>2.6175000667572021</v>
      </c>
      <c r="H566">
        <v>0.18999999761581421</v>
      </c>
      <c r="I566">
        <v>25.770000457763672</v>
      </c>
      <c r="J566">
        <v>1051</v>
      </c>
    </row>
    <row r="567" spans="1:10" x14ac:dyDescent="0.25">
      <c r="A567">
        <v>3021</v>
      </c>
      <c r="B567" t="str">
        <v>Cubex Tubings</v>
      </c>
      <c r="C567">
        <v>42.849578000000001</v>
      </c>
      <c r="D567">
        <v>46.220237731933594</v>
      </c>
      <c r="E567">
        <v>33.517208099365234</v>
      </c>
      <c r="F567">
        <v>0.72516298294067383</v>
      </c>
      <c r="G567">
        <v>105.71499633789063</v>
      </c>
      <c r="H567">
        <v>0.20999999344348907</v>
      </c>
      <c r="I567">
        <v>148.22000122070313</v>
      </c>
      <c r="J567">
        <v>1326</v>
      </c>
    </row>
    <row r="568" spans="1:10" x14ac:dyDescent="0.25">
      <c r="A568">
        <v>4743</v>
      </c>
      <c r="B568" t="str">
        <v>Cubical Finan</v>
      </c>
      <c r="C568">
        <v>16.542463000000001</v>
      </c>
      <c r="D568">
        <v>2.0019209384918213</v>
      </c>
      <c r="E568">
        <v>0.67314600944519043</v>
      </c>
      <c r="F568">
        <v>0.33625000715255737</v>
      </c>
      <c r="G568">
        <v>2.4275000095367432</v>
      </c>
      <c r="H568">
        <v>0</v>
      </c>
      <c r="I568">
        <v>15.970000267028809</v>
      </c>
      <c r="J568">
        <v>1197</v>
      </c>
    </row>
    <row r="569" spans="1:10" x14ac:dyDescent="0.25">
      <c r="A569">
        <v>337</v>
      </c>
      <c r="B569" t="str">
        <v>Cummins India</v>
      </c>
      <c r="C569">
        <v>33.859914000000003</v>
      </c>
      <c r="D569">
        <v>1621.331298828125</v>
      </c>
      <c r="E569">
        <v>1074.4024658203125</v>
      </c>
      <c r="F569">
        <v>0.66266697645187378</v>
      </c>
      <c r="G569">
        <v>3265.52490234375</v>
      </c>
      <c r="H569">
        <v>3.9999999105930328E-2</v>
      </c>
      <c r="I569">
        <v>89765.6796875</v>
      </c>
      <c r="J569">
        <v>1359</v>
      </c>
    </row>
    <row r="570" spans="1:10" x14ac:dyDescent="0.25">
      <c r="A570">
        <v>5185</v>
      </c>
      <c r="B570" t="str">
        <v>Cupid</v>
      </c>
      <c r="C570">
        <v>40.361662000000003</v>
      </c>
      <c r="D570">
        <v>33.480674743652344</v>
      </c>
      <c r="E570">
        <v>34.8443603515625</v>
      </c>
      <c r="F570">
        <v>1.0407299995422363</v>
      </c>
      <c r="G570">
        <v>91.074996948242188</v>
      </c>
      <c r="H570">
        <v>3.9999999105930328E-2</v>
      </c>
      <c r="I570">
        <v>2420.22998046875</v>
      </c>
      <c r="J570">
        <v>1359</v>
      </c>
    </row>
    <row r="571" spans="1:10" x14ac:dyDescent="0.25">
      <c r="A571">
        <v>6618</v>
      </c>
      <c r="B571" t="str">
        <v>Cybele Industrie</v>
      </c>
      <c r="C571">
        <v>29.335899999999999</v>
      </c>
      <c r="D571">
        <v>20.249187469482422</v>
      </c>
      <c r="E571">
        <v>13.798095703125</v>
      </c>
      <c r="F571">
        <v>0.68141502141952515</v>
      </c>
      <c r="G571">
        <v>24.200000762939453</v>
      </c>
      <c r="H571">
        <v>0.63999998569488525</v>
      </c>
      <c r="I571">
        <v>25.879999160766602</v>
      </c>
      <c r="J571">
        <v>1220</v>
      </c>
    </row>
    <row r="572" spans="1:10" x14ac:dyDescent="0.25">
      <c r="A572">
        <v>13425</v>
      </c>
      <c r="B572" t="str">
        <v>Cyber Media Ind</v>
      </c>
      <c r="C572">
        <v>37.992362999999997</v>
      </c>
      <c r="D572">
        <v>19.065607070922852</v>
      </c>
      <c r="E572">
        <v>7.3517279624938965</v>
      </c>
      <c r="F572">
        <v>0.38560199737548828</v>
      </c>
      <c r="G572">
        <v>18.902500152587891</v>
      </c>
      <c r="H572">
        <v>0</v>
      </c>
      <c r="I572">
        <v>28.799999237060547</v>
      </c>
      <c r="J572">
        <v>1110</v>
      </c>
    </row>
    <row r="573" spans="1:10" x14ac:dyDescent="0.25">
      <c r="A573">
        <v>7436</v>
      </c>
      <c r="B573" t="str">
        <v>Cybertech Sys.</v>
      </c>
      <c r="C573">
        <v>24.140720999999999</v>
      </c>
      <c r="D573">
        <v>141.61372375488281</v>
      </c>
      <c r="E573">
        <v>50.557071685791016</v>
      </c>
      <c r="F573">
        <v>0.35700699687004089</v>
      </c>
      <c r="G573">
        <v>159.27499389648438</v>
      </c>
      <c r="H573">
        <v>2.9999999329447746E-2</v>
      </c>
      <c r="I573">
        <v>491.8599853515625</v>
      </c>
      <c r="J573">
        <v>1356</v>
      </c>
    </row>
    <row r="574" spans="1:10" x14ac:dyDescent="0.25">
      <c r="A574">
        <v>13660</v>
      </c>
      <c r="B574" t="str">
        <v>Cyient</v>
      </c>
      <c r="C574">
        <v>21.301542999999999</v>
      </c>
      <c r="D574">
        <v>1104.0518798828125</v>
      </c>
      <c r="E574">
        <v>564.93096923828125</v>
      </c>
      <c r="F574">
        <v>0.51168900728225708</v>
      </c>
      <c r="G574">
        <v>1322.8499755859375</v>
      </c>
      <c r="H574">
        <v>5.000000074505806E-2</v>
      </c>
      <c r="I574">
        <v>14298.8896484375</v>
      </c>
      <c r="J574">
        <v>1359</v>
      </c>
    </row>
    <row r="575" spans="1:10" x14ac:dyDescent="0.25">
      <c r="A575">
        <v>4323</v>
      </c>
      <c r="B575" t="str">
        <v>D &amp; H India</v>
      </c>
      <c r="C575">
        <v>46.731428000000001</v>
      </c>
      <c r="D575">
        <v>67.070915222167969</v>
      </c>
      <c r="E575">
        <v>60.916107177734375</v>
      </c>
      <c r="F575">
        <v>0.90823400020599365</v>
      </c>
      <c r="G575">
        <v>228.98750305175781</v>
      </c>
      <c r="H575">
        <v>0.93000000715255737</v>
      </c>
      <c r="I575">
        <v>187.6300048828125</v>
      </c>
      <c r="J575">
        <v>1351</v>
      </c>
    </row>
    <row r="576" spans="1:10" x14ac:dyDescent="0.25">
      <c r="A576">
        <v>28589</v>
      </c>
      <c r="B576" t="str">
        <v>D B Corp</v>
      </c>
      <c r="C576">
        <v>12.906885000000001</v>
      </c>
      <c r="D576">
        <v>162.71234130859375</v>
      </c>
      <c r="E576">
        <v>93.350914001464844</v>
      </c>
      <c r="F576">
        <v>0.57371801137924194</v>
      </c>
      <c r="G576">
        <v>268.375</v>
      </c>
      <c r="H576">
        <v>0.10999999940395355</v>
      </c>
      <c r="I576">
        <v>4804.89990234375</v>
      </c>
      <c r="J576">
        <v>1359</v>
      </c>
    </row>
    <row r="577" spans="1:10" x14ac:dyDescent="0.25">
      <c r="A577">
        <v>31785</v>
      </c>
      <c r="B577" t="str">
        <v>D-Link India</v>
      </c>
      <c r="C577">
        <v>30.846415</v>
      </c>
      <c r="D577">
        <v>248.06094360351563</v>
      </c>
      <c r="E577">
        <v>159.24578857421875</v>
      </c>
      <c r="F577">
        <v>0.64196199178695679</v>
      </c>
      <c r="G577">
        <v>530.1500244140625</v>
      </c>
      <c r="H577">
        <v>1.9999999552965164E-2</v>
      </c>
      <c r="I577">
        <v>1860.6300048828125</v>
      </c>
      <c r="J577">
        <v>1359</v>
      </c>
    </row>
    <row r="578" spans="1:10" x14ac:dyDescent="0.25">
      <c r="A578">
        <v>4993</v>
      </c>
      <c r="B578" t="str">
        <v>DB Intl.Stock</v>
      </c>
      <c r="C578">
        <v>19.029605</v>
      </c>
      <c r="D578">
        <v>28.59916877746582</v>
      </c>
      <c r="E578">
        <v>12.926535606384277</v>
      </c>
      <c r="F578">
        <v>0.45199000835418701</v>
      </c>
      <c r="G578">
        <v>30.442499160766602</v>
      </c>
      <c r="H578">
        <v>7.0000000298023224E-2</v>
      </c>
      <c r="I578">
        <v>105.52999877929688</v>
      </c>
      <c r="J578">
        <v>1149</v>
      </c>
    </row>
    <row r="579" spans="1:10" x14ac:dyDescent="0.25">
      <c r="A579">
        <v>14602</v>
      </c>
      <c r="B579" t="str">
        <v>DCB Bank</v>
      </c>
      <c r="C579">
        <v>-3.6525620000000001</v>
      </c>
      <c r="D579">
        <v>109.87831115722656</v>
      </c>
      <c r="E579">
        <v>23.708423614501953</v>
      </c>
      <c r="F579">
        <v>0.21577000617980957</v>
      </c>
      <c r="G579">
        <v>142.86250305175781</v>
      </c>
      <c r="H579">
        <v>0</v>
      </c>
      <c r="I579">
        <v>4433.35986328125</v>
      </c>
      <c r="J579">
        <v>1359</v>
      </c>
    </row>
    <row r="580" spans="1:10" x14ac:dyDescent="0.25">
      <c r="A580">
        <v>128</v>
      </c>
      <c r="B580" t="str">
        <v>DCM</v>
      </c>
      <c r="C580">
        <v>31.132618000000001</v>
      </c>
      <c r="D580">
        <v>67.829002380371094</v>
      </c>
      <c r="E580">
        <v>31.427328109741211</v>
      </c>
      <c r="F580">
        <v>0.46333199739456177</v>
      </c>
      <c r="G580">
        <v>101.58750152587891</v>
      </c>
      <c r="H580">
        <v>0</v>
      </c>
      <c r="I580">
        <v>189.66999816894531</v>
      </c>
      <c r="J580">
        <v>1331</v>
      </c>
    </row>
    <row r="581" spans="1:10" x14ac:dyDescent="0.25">
      <c r="A581">
        <v>4378</v>
      </c>
      <c r="B581" t="str">
        <v>DCM Financial</v>
      </c>
      <c r="C581">
        <v>42.588000000000001</v>
      </c>
      <c r="D581">
        <v>4.5485539436340332</v>
      </c>
      <c r="E581">
        <v>2.209089994430542</v>
      </c>
      <c r="F581">
        <v>0.48566898703575134</v>
      </c>
      <c r="G581">
        <v>6.682499885559082</v>
      </c>
      <c r="H581">
        <v>0</v>
      </c>
      <c r="I581">
        <v>14.890000343322754</v>
      </c>
      <c r="J581">
        <v>1134</v>
      </c>
    </row>
    <row r="582" spans="1:10" x14ac:dyDescent="0.25">
      <c r="A582">
        <v>69008</v>
      </c>
      <c r="B582" t="str">
        <v>DCM Nouvelle</v>
      </c>
      <c r="C582">
        <v>32.157415999999998</v>
      </c>
      <c r="D582">
        <v>157.87443542480469</v>
      </c>
      <c r="E582">
        <v>76.600784301757813</v>
      </c>
      <c r="F582">
        <v>0.48520100116729736</v>
      </c>
      <c r="G582">
        <v>168.11250305175781</v>
      </c>
      <c r="H582">
        <v>0.99000000953674316</v>
      </c>
      <c r="I582">
        <v>319.1099853515625</v>
      </c>
      <c r="J582">
        <v>1330</v>
      </c>
    </row>
    <row r="583" spans="1:10" x14ac:dyDescent="0.25">
      <c r="A583">
        <v>2337</v>
      </c>
      <c r="B583" t="str">
        <v>DCM Shriram</v>
      </c>
      <c r="C583">
        <v>19.866078999999999</v>
      </c>
      <c r="D583">
        <v>833.72808837890625</v>
      </c>
      <c r="E583">
        <v>283.20281982421875</v>
      </c>
      <c r="F583">
        <v>0.33968201279640198</v>
      </c>
      <c r="G583">
        <v>1170.012451171875</v>
      </c>
      <c r="H583">
        <v>0.30000001192092896</v>
      </c>
      <c r="I583">
        <v>18217.9609375</v>
      </c>
      <c r="J583">
        <v>1359</v>
      </c>
    </row>
    <row r="584" spans="1:10" x14ac:dyDescent="0.25">
      <c r="A584">
        <v>2336</v>
      </c>
      <c r="B584" t="str">
        <v>DCM Shriram Inds</v>
      </c>
      <c r="C584">
        <v>29.877058000000002</v>
      </c>
      <c r="D584">
        <v>103.66503143310547</v>
      </c>
      <c r="E584">
        <v>60.805889129638672</v>
      </c>
      <c r="F584">
        <v>0.58656102418899536</v>
      </c>
      <c r="G584">
        <v>165.23750305175781</v>
      </c>
      <c r="H584">
        <v>0.68999999761581421</v>
      </c>
      <c r="I584">
        <v>1358.3800048828125</v>
      </c>
      <c r="J584">
        <v>1359</v>
      </c>
    </row>
    <row r="585" spans="1:10" x14ac:dyDescent="0.25">
      <c r="A585">
        <v>141</v>
      </c>
      <c r="B585" t="str">
        <v>DCW</v>
      </c>
      <c r="C585">
        <v>31.152536000000001</v>
      </c>
      <c r="D585">
        <v>46.478256225585938</v>
      </c>
      <c r="E585">
        <v>23.309635162353516</v>
      </c>
      <c r="F585">
        <v>0.50151699781417847</v>
      </c>
      <c r="G585">
        <v>74.19000244140625</v>
      </c>
      <c r="H585">
        <v>0.46000000834465027</v>
      </c>
      <c r="I585">
        <v>2161.719970703125</v>
      </c>
      <c r="J585">
        <v>1359</v>
      </c>
    </row>
    <row r="586" spans="1:10" x14ac:dyDescent="0.25">
      <c r="A586">
        <v>1988</v>
      </c>
      <c r="B586" t="str">
        <v>DE Nora India</v>
      </c>
      <c r="C586">
        <v>25.103142999999999</v>
      </c>
      <c r="D586">
        <v>831.49566650390625</v>
      </c>
      <c r="E586">
        <v>566.0196533203125</v>
      </c>
      <c r="F586">
        <v>0.68072497844696045</v>
      </c>
      <c r="G586">
        <v>850.0875244140625</v>
      </c>
      <c r="H586">
        <v>0</v>
      </c>
      <c r="I586">
        <v>444.07998657226563</v>
      </c>
      <c r="J586">
        <v>1355</v>
      </c>
    </row>
    <row r="587" spans="1:10" x14ac:dyDescent="0.25">
      <c r="A587">
        <v>6224</v>
      </c>
      <c r="B587" t="str">
        <v>DHP India</v>
      </c>
      <c r="C587">
        <v>6.0073259999999999</v>
      </c>
      <c r="D587">
        <v>686.15277099609375</v>
      </c>
      <c r="E587">
        <v>272.96884155273438</v>
      </c>
      <c r="F587">
        <v>0.39782500267028809</v>
      </c>
      <c r="G587">
        <v>649.42498779296875</v>
      </c>
      <c r="H587">
        <v>9.9999997764825821E-3</v>
      </c>
      <c r="I587">
        <v>193.64999389648438</v>
      </c>
      <c r="J587">
        <v>1359</v>
      </c>
    </row>
    <row r="588" spans="1:10" x14ac:dyDescent="0.25">
      <c r="A588">
        <v>117</v>
      </c>
      <c r="B588" t="str">
        <v>DIC India</v>
      </c>
      <c r="C588">
        <v>12.785432999999999</v>
      </c>
      <c r="D588">
        <v>452.19052124023438</v>
      </c>
      <c r="E588">
        <v>113.54205322265625</v>
      </c>
      <c r="F588">
        <v>0.25109300017356873</v>
      </c>
      <c r="G588">
        <v>649.0250244140625</v>
      </c>
      <c r="H588">
        <v>2.9999999329447746E-2</v>
      </c>
      <c r="I588">
        <v>599.02001953125</v>
      </c>
      <c r="J588">
        <v>1324</v>
      </c>
    </row>
    <row r="589" spans="1:10" x14ac:dyDescent="0.25">
      <c r="A589">
        <v>6890</v>
      </c>
      <c r="B589" t="str">
        <v>DLF</v>
      </c>
      <c r="C589">
        <v>24.500321</v>
      </c>
      <c r="D589">
        <v>462.78103637695313</v>
      </c>
      <c r="E589">
        <v>237.45710754394531</v>
      </c>
      <c r="F589">
        <v>0.51310902833938599</v>
      </c>
      <c r="G589">
        <v>842.6875</v>
      </c>
      <c r="H589">
        <v>0.10999999940395355</v>
      </c>
      <c r="I589">
        <v>207777.65625</v>
      </c>
      <c r="J589">
        <v>1359</v>
      </c>
    </row>
    <row r="590" spans="1:10" x14ac:dyDescent="0.25">
      <c r="A590">
        <v>140</v>
      </c>
      <c r="B590" t="str">
        <v>DMCC Speciality</v>
      </c>
      <c r="C590">
        <v>16.073972000000001</v>
      </c>
      <c r="D590">
        <v>281.238037109375</v>
      </c>
      <c r="E590">
        <v>89.04119873046875</v>
      </c>
      <c r="F590">
        <v>0.31660398840904236</v>
      </c>
      <c r="G590">
        <v>256.88751220703125</v>
      </c>
      <c r="H590">
        <v>0.46000000834465027</v>
      </c>
      <c r="I590">
        <v>631.8499755859375</v>
      </c>
      <c r="J590">
        <v>1359</v>
      </c>
    </row>
    <row r="591" spans="1:10" x14ac:dyDescent="0.25">
      <c r="A591">
        <v>3392</v>
      </c>
      <c r="B591" t="str">
        <v>Dabur India</v>
      </c>
      <c r="C591">
        <v>0.395644</v>
      </c>
      <c r="D591">
        <v>540.050537109375</v>
      </c>
      <c r="E591">
        <v>45.450637817382813</v>
      </c>
      <c r="F591">
        <v>8.4160000085830688E-2</v>
      </c>
      <c r="G591">
        <v>469.54998779296875</v>
      </c>
      <c r="H591">
        <v>0.10999999940395355</v>
      </c>
      <c r="I591">
        <v>82503.203125</v>
      </c>
      <c r="J591">
        <v>1359</v>
      </c>
    </row>
    <row r="592" spans="1:10" x14ac:dyDescent="0.25">
      <c r="A592">
        <v>4711</v>
      </c>
      <c r="B592" t="str">
        <v>Dai-ichi Karkari</v>
      </c>
      <c r="C592">
        <v>3.8076240000000001</v>
      </c>
      <c r="D592">
        <v>380.02197265625</v>
      </c>
      <c r="E592">
        <v>108.63040161132813</v>
      </c>
      <c r="F592">
        <v>0.28585299849510193</v>
      </c>
      <c r="G592">
        <v>402.92498779296875</v>
      </c>
      <c r="H592">
        <v>0.18999999761581421</v>
      </c>
      <c r="I592">
        <v>298.48001098632813</v>
      </c>
      <c r="J592">
        <v>1359</v>
      </c>
    </row>
    <row r="593" spans="1:10" x14ac:dyDescent="0.25">
      <c r="A593">
        <v>5255</v>
      </c>
      <c r="B593" t="str">
        <v>Daikaffil Chem</v>
      </c>
      <c r="C593">
        <v>37.112183000000002</v>
      </c>
      <c r="D593">
        <v>63.910850524902344</v>
      </c>
      <c r="E593">
        <v>63.743148803710938</v>
      </c>
      <c r="F593">
        <v>0.99737602472305298</v>
      </c>
      <c r="G593">
        <v>152.83749389648438</v>
      </c>
      <c r="H593">
        <v>0</v>
      </c>
      <c r="I593">
        <v>90</v>
      </c>
      <c r="J593">
        <v>1354</v>
      </c>
    </row>
    <row r="594" spans="1:10" x14ac:dyDescent="0.25">
      <c r="A594">
        <v>1999</v>
      </c>
      <c r="B594" t="str">
        <v>Dalal Street Inv</v>
      </c>
      <c r="C594">
        <v>11.793145000000001</v>
      </c>
      <c r="D594">
        <v>314.34774780273438</v>
      </c>
      <c r="E594">
        <v>105.40974426269531</v>
      </c>
      <c r="F594">
        <v>0.33532801270484924</v>
      </c>
      <c r="G594">
        <v>382.75</v>
      </c>
      <c r="H594">
        <v>0.41999998688697815</v>
      </c>
      <c r="I594">
        <v>12.119999885559082</v>
      </c>
      <c r="J594">
        <v>1163</v>
      </c>
    </row>
    <row r="595" spans="1:10" x14ac:dyDescent="0.25">
      <c r="A595">
        <v>131</v>
      </c>
      <c r="B595" t="str">
        <v>Dalmia Bharat</v>
      </c>
      <c r="C595">
        <v>23.785874</v>
      </c>
      <c r="D595">
        <v>329.77688598632813</v>
      </c>
      <c r="E595">
        <v>127.184326171875</v>
      </c>
      <c r="F595">
        <v>0.38566800951957703</v>
      </c>
      <c r="G595">
        <v>408.26251220703125</v>
      </c>
      <c r="H595">
        <v>0.40000000596046448</v>
      </c>
      <c r="I595">
        <v>3254.570068359375</v>
      </c>
      <c r="J595">
        <v>1359</v>
      </c>
    </row>
    <row r="596" spans="1:10" x14ac:dyDescent="0.25">
      <c r="A596">
        <v>70921</v>
      </c>
      <c r="B596" t="str">
        <v>Dalmia BharatLtd</v>
      </c>
      <c r="C596">
        <v>17.259145</v>
      </c>
      <c r="D596">
        <v>1642.5347900390625</v>
      </c>
      <c r="E596">
        <v>495.15609741210938</v>
      </c>
      <c r="F596">
        <v>0.30145800113677979</v>
      </c>
      <c r="G596">
        <v>2029.875</v>
      </c>
      <c r="H596">
        <v>0</v>
      </c>
      <c r="I596">
        <v>38324.25</v>
      </c>
      <c r="J596">
        <v>1359</v>
      </c>
    </row>
    <row r="597" spans="1:10" x14ac:dyDescent="0.25">
      <c r="A597">
        <v>68258</v>
      </c>
      <c r="B597" t="str">
        <v>Dalmia Industria</v>
      </c>
      <c r="C597">
        <v>-4.4525920000000001</v>
      </c>
      <c r="D597">
        <v>11.547334671020508</v>
      </c>
      <c r="E597">
        <v>2.9202020168304443</v>
      </c>
      <c r="F597">
        <v>0.25288999080657959</v>
      </c>
      <c r="G597">
        <v>8.3050003051757813</v>
      </c>
      <c r="H597">
        <v>0</v>
      </c>
      <c r="I597">
        <v>16.969999313354492</v>
      </c>
      <c r="J597">
        <v>45</v>
      </c>
    </row>
    <row r="598" spans="1:10" x14ac:dyDescent="0.25">
      <c r="A598">
        <v>7282</v>
      </c>
      <c r="B598" t="str">
        <v>Danlaw Tech.</v>
      </c>
      <c r="C598">
        <v>55.111401999999998</v>
      </c>
      <c r="D598">
        <v>644.30126953125</v>
      </c>
      <c r="E598">
        <v>648.552001953125</v>
      </c>
      <c r="F598">
        <v>1.0065970420837402</v>
      </c>
      <c r="G598">
        <v>905.07501220703125</v>
      </c>
      <c r="H598">
        <v>0.73000001907348633</v>
      </c>
      <c r="I598">
        <v>440.239990234375</v>
      </c>
      <c r="J598">
        <v>1349</v>
      </c>
    </row>
    <row r="599" spans="1:10" x14ac:dyDescent="0.25">
      <c r="A599">
        <v>70254</v>
      </c>
      <c r="B599" t="str">
        <v>Danube Industrie</v>
      </c>
      <c r="C599">
        <v>32.293846000000002</v>
      </c>
      <c r="D599">
        <v>7.0088157653808594</v>
      </c>
      <c r="E599">
        <v>6.0083980560302734</v>
      </c>
      <c r="F599">
        <v>0.85726302862167358</v>
      </c>
      <c r="G599">
        <v>4.2624998092651367</v>
      </c>
      <c r="H599">
        <v>0.9100000262260437</v>
      </c>
      <c r="I599">
        <v>38.119998931884766</v>
      </c>
      <c r="J599">
        <v>1289</v>
      </c>
    </row>
    <row r="600" spans="1:10" x14ac:dyDescent="0.25">
      <c r="A600">
        <v>26095</v>
      </c>
      <c r="B600" t="str">
        <v>Darjeeling Ropew</v>
      </c>
      <c r="C600">
        <v>-5.363048</v>
      </c>
      <c r="D600">
        <v>11.449010848999023</v>
      </c>
      <c r="E600">
        <v>11.523750305175781</v>
      </c>
      <c r="F600">
        <v>1.0065280199050903</v>
      </c>
      <c r="G600">
        <v>35.127498626708984</v>
      </c>
      <c r="H600">
        <v>0.43999999761581421</v>
      </c>
      <c r="I600">
        <v>10.350000381469727</v>
      </c>
      <c r="J600">
        <v>807</v>
      </c>
    </row>
    <row r="601" spans="1:10" x14ac:dyDescent="0.25">
      <c r="A601">
        <v>67251</v>
      </c>
      <c r="B601" t="str">
        <v>Darshan Orna</v>
      </c>
      <c r="C601">
        <v>-25.854686000000001</v>
      </c>
      <c r="D601">
        <v>5.878324031829834</v>
      </c>
      <c r="E601">
        <v>4.8702349662780762</v>
      </c>
      <c r="F601">
        <v>0.82850700616836548</v>
      </c>
      <c r="G601">
        <v>2.372499942779541</v>
      </c>
      <c r="H601">
        <v>0.11999999731779099</v>
      </c>
      <c r="I601">
        <v>11.659999847412109</v>
      </c>
      <c r="J601">
        <v>1265</v>
      </c>
    </row>
    <row r="602" spans="1:10" x14ac:dyDescent="0.25">
      <c r="A602">
        <v>21187</v>
      </c>
      <c r="B602" t="str">
        <v>Datamatics Glob.</v>
      </c>
      <c r="C602">
        <v>40.121003999999999</v>
      </c>
      <c r="D602">
        <v>359.79583740234375</v>
      </c>
      <c r="E602">
        <v>217.55523681640625</v>
      </c>
      <c r="F602">
        <v>0.60466301441192627</v>
      </c>
      <c r="G602">
        <v>600.92498779296875</v>
      </c>
      <c r="H602">
        <v>0</v>
      </c>
      <c r="I602">
        <v>3502.97998046875</v>
      </c>
      <c r="J602">
        <v>1359</v>
      </c>
    </row>
    <row r="603" spans="1:10" x14ac:dyDescent="0.25">
      <c r="A603">
        <v>3824</v>
      </c>
      <c r="B603" t="str">
        <v>Datiware Mari.</v>
      </c>
      <c r="C603">
        <v>-2.1089020000000001</v>
      </c>
      <c r="D603">
        <v>14.968466758728027</v>
      </c>
      <c r="E603">
        <v>3.4228060245513916</v>
      </c>
      <c r="F603">
        <v>0.22866800427436829</v>
      </c>
      <c r="G603">
        <v>16.940000534057617</v>
      </c>
      <c r="H603">
        <v>0</v>
      </c>
      <c r="I603">
        <v>8.4700002670288086</v>
      </c>
      <c r="J603">
        <v>44</v>
      </c>
    </row>
    <row r="604" spans="1:10" x14ac:dyDescent="0.25">
      <c r="A604">
        <v>4869</v>
      </c>
      <c r="B604" t="str">
        <v>Daulat Securitie</v>
      </c>
      <c r="C604">
        <v>48.846153000000001</v>
      </c>
      <c r="D604">
        <v>27.841630935668945</v>
      </c>
      <c r="E604">
        <v>14.576415061950684</v>
      </c>
      <c r="F604">
        <v>0.52354699373245239</v>
      </c>
      <c r="G604">
        <v>39.580001831054688</v>
      </c>
      <c r="H604">
        <v>0</v>
      </c>
      <c r="I604">
        <v>19.610000610351563</v>
      </c>
      <c r="J604">
        <v>1119</v>
      </c>
    </row>
    <row r="605" spans="1:10" x14ac:dyDescent="0.25">
      <c r="A605">
        <v>6863</v>
      </c>
      <c r="B605" t="str">
        <v>Dec.Gold Mines</v>
      </c>
      <c r="C605">
        <v>37.727901000000003</v>
      </c>
      <c r="D605">
        <v>59.008075714111328</v>
      </c>
      <c r="E605">
        <v>46.647781372070313</v>
      </c>
      <c r="F605">
        <v>0.79053199291229248</v>
      </c>
      <c r="G605">
        <v>134.07499694824219</v>
      </c>
      <c r="H605">
        <v>0.14000000059604645</v>
      </c>
      <c r="I605">
        <v>2090.18994140625</v>
      </c>
      <c r="J605">
        <v>1359</v>
      </c>
    </row>
    <row r="606" spans="1:10" x14ac:dyDescent="0.25">
      <c r="A606">
        <v>2326</v>
      </c>
      <c r="B606" t="str">
        <v>Deccan Bearings</v>
      </c>
      <c r="C606">
        <v>60.966022000000002</v>
      </c>
      <c r="D606">
        <v>41.635265350341797</v>
      </c>
      <c r="E606">
        <v>21.752786636352539</v>
      </c>
      <c r="F606">
        <v>0.52246099710464478</v>
      </c>
      <c r="G606">
        <v>103.52999877929688</v>
      </c>
      <c r="H606">
        <v>0</v>
      </c>
      <c r="I606">
        <v>22.600000381469727</v>
      </c>
      <c r="J606">
        <v>453</v>
      </c>
    </row>
    <row r="607" spans="1:10" x14ac:dyDescent="0.25">
      <c r="A607">
        <v>134</v>
      </c>
      <c r="B607" t="str">
        <v>Deccan Cements</v>
      </c>
      <c r="C607">
        <v>18.998519000000002</v>
      </c>
      <c r="D607">
        <v>520.85400390625</v>
      </c>
      <c r="E607">
        <v>151.07588195800781</v>
      </c>
      <c r="F607">
        <v>0.29005399346351624</v>
      </c>
      <c r="G607">
        <v>754.42498779296875</v>
      </c>
      <c r="H607">
        <v>0.56000000238418579</v>
      </c>
      <c r="I607">
        <v>1039.010009765625</v>
      </c>
      <c r="J607">
        <v>1356</v>
      </c>
    </row>
    <row r="608" spans="1:10" x14ac:dyDescent="0.25">
      <c r="A608">
        <v>30148</v>
      </c>
      <c r="B608" t="str">
        <v>Deccan Healthcar</v>
      </c>
      <c r="C608">
        <v>-23.053457999999999</v>
      </c>
      <c r="D608">
        <v>32.083736419677734</v>
      </c>
      <c r="E608">
        <v>8.2746238708496094</v>
      </c>
      <c r="F608">
        <v>0.25790700316429138</v>
      </c>
      <c r="G608">
        <v>20.325000762939453</v>
      </c>
      <c r="H608">
        <v>1.9999999552965164E-2</v>
      </c>
      <c r="I608">
        <v>44.860000610351563</v>
      </c>
      <c r="J608">
        <v>1298</v>
      </c>
    </row>
    <row r="609" spans="1:10" x14ac:dyDescent="0.25">
      <c r="A609">
        <v>3045</v>
      </c>
      <c r="B609" t="str">
        <v>Deccan Polypacks</v>
      </c>
      <c r="C609">
        <v>36.184499000000002</v>
      </c>
      <c r="D609">
        <v>6.4227862358093262</v>
      </c>
      <c r="E609">
        <v>4.3669261932373047</v>
      </c>
      <c r="F609">
        <v>0.67991197109222412</v>
      </c>
      <c r="G609">
        <v>15.430000305175781</v>
      </c>
      <c r="H609">
        <v>0</v>
      </c>
      <c r="I609">
        <v>3.2599999904632568</v>
      </c>
      <c r="J609">
        <v>280</v>
      </c>
    </row>
    <row r="610" spans="1:10" x14ac:dyDescent="0.25">
      <c r="A610">
        <v>4491</v>
      </c>
      <c r="B610" t="str">
        <v>Decipher Labs</v>
      </c>
      <c r="C610">
        <v>-18.045366999999999</v>
      </c>
      <c r="D610">
        <v>28.702920913696289</v>
      </c>
      <c r="E610">
        <v>17.353370666503906</v>
      </c>
      <c r="F610">
        <v>0.60458600521087646</v>
      </c>
      <c r="G610">
        <v>11.087499618530273</v>
      </c>
      <c r="H610">
        <v>0</v>
      </c>
      <c r="I610">
        <v>11.350000381469727</v>
      </c>
      <c r="J610">
        <v>1330</v>
      </c>
    </row>
    <row r="611" spans="1:10" x14ac:dyDescent="0.25">
      <c r="A611">
        <v>6119</v>
      </c>
      <c r="B611" t="str">
        <v>Deco-Mica</v>
      </c>
      <c r="C611">
        <v>35.402312999999999</v>
      </c>
      <c r="D611">
        <v>61.686210632324219</v>
      </c>
      <c r="E611">
        <v>23.522117614746094</v>
      </c>
      <c r="F611">
        <v>0.38131898641586304</v>
      </c>
      <c r="G611">
        <v>79.580001831054688</v>
      </c>
      <c r="H611">
        <v>0.81000000238418579</v>
      </c>
      <c r="I611">
        <v>33.419998168945313</v>
      </c>
      <c r="J611">
        <v>834</v>
      </c>
    </row>
    <row r="612" spans="1:10" x14ac:dyDescent="0.25">
      <c r="A612">
        <v>73124</v>
      </c>
      <c r="B612" t="str">
        <v>Deep Polymers</v>
      </c>
      <c r="C612">
        <v>3.680974</v>
      </c>
      <c r="D612">
        <v>115.05625915527344</v>
      </c>
      <c r="E612">
        <v>73.742683410644531</v>
      </c>
      <c r="F612">
        <v>0.6409270167350769</v>
      </c>
      <c r="G612">
        <v>53.060001373291016</v>
      </c>
      <c r="H612">
        <v>0.5899999737739563</v>
      </c>
      <c r="I612">
        <v>129.85000610351563</v>
      </c>
      <c r="J612">
        <v>1124</v>
      </c>
    </row>
    <row r="613" spans="1:10" x14ac:dyDescent="0.25">
      <c r="A613">
        <v>135</v>
      </c>
      <c r="B613" t="str">
        <v>Deepak Fertiliz.</v>
      </c>
      <c r="C613">
        <v>54.465896000000001</v>
      </c>
      <c r="D613">
        <v>578.3714599609375</v>
      </c>
      <c r="E613">
        <v>353.38436889648438</v>
      </c>
      <c r="F613">
        <v>0.61099898815155029</v>
      </c>
      <c r="G613">
        <v>1537.050048828125</v>
      </c>
      <c r="H613">
        <v>0.11999999731779099</v>
      </c>
      <c r="I613">
        <v>19264.51953125</v>
      </c>
      <c r="J613">
        <v>1359</v>
      </c>
    </row>
    <row r="614" spans="1:10" x14ac:dyDescent="0.25">
      <c r="A614">
        <v>136</v>
      </c>
      <c r="B614" t="str">
        <v>Deepak Nitrite</v>
      </c>
      <c r="C614">
        <v>30.732952000000001</v>
      </c>
      <c r="D614">
        <v>1855.0625</v>
      </c>
      <c r="E614">
        <v>695.62725830078125</v>
      </c>
      <c r="F614">
        <v>0.37498900294303894</v>
      </c>
      <c r="G614">
        <v>1894.412353515625</v>
      </c>
      <c r="H614">
        <v>9.9999997764825821E-3</v>
      </c>
      <c r="I614">
        <v>25607.7890625</v>
      </c>
      <c r="J614">
        <v>1359</v>
      </c>
    </row>
    <row r="615" spans="1:10" x14ac:dyDescent="0.25">
      <c r="A615">
        <v>1132</v>
      </c>
      <c r="B615" t="str">
        <v>Deepak Spinners</v>
      </c>
      <c r="C615">
        <v>11.060437</v>
      </c>
      <c r="D615">
        <v>196.8038330078125</v>
      </c>
      <c r="E615">
        <v>77.929336547851563</v>
      </c>
      <c r="F615">
        <v>0.39597499370574951</v>
      </c>
      <c r="G615">
        <v>144.80000305175781</v>
      </c>
      <c r="H615">
        <v>0.20000000298023224</v>
      </c>
      <c r="I615">
        <v>104.25</v>
      </c>
      <c r="J615">
        <v>1334</v>
      </c>
    </row>
    <row r="616" spans="1:10" x14ac:dyDescent="0.25">
      <c r="A616">
        <v>41315</v>
      </c>
      <c r="B616" t="str">
        <v>Delphi World</v>
      </c>
      <c r="C616">
        <v>-8.9561849999999996</v>
      </c>
      <c r="D616">
        <v>392.08990478515625</v>
      </c>
      <c r="E616">
        <v>141.02641296386719</v>
      </c>
      <c r="F616">
        <v>0.35967901349067688</v>
      </c>
      <c r="G616">
        <v>150.88749694824219</v>
      </c>
      <c r="H616">
        <v>7.0000000298023224E-2</v>
      </c>
      <c r="I616">
        <v>165.36000061035156</v>
      </c>
      <c r="J616">
        <v>1337</v>
      </c>
    </row>
    <row r="617" spans="1:10" x14ac:dyDescent="0.25">
      <c r="A617">
        <v>17211</v>
      </c>
      <c r="B617" t="str">
        <v>Delta Corp</v>
      </c>
      <c r="C617">
        <v>-14.496066000000001</v>
      </c>
      <c r="D617">
        <v>166.12474060058594</v>
      </c>
      <c r="E617">
        <v>59.716705322265625</v>
      </c>
      <c r="F617">
        <v>0.35946899652481079</v>
      </c>
      <c r="G617">
        <v>87.642501831054688</v>
      </c>
      <c r="H617">
        <v>9.9999997764825821E-3</v>
      </c>
      <c r="I617">
        <v>2321.840087890625</v>
      </c>
      <c r="J617">
        <v>1359</v>
      </c>
    </row>
    <row r="618" spans="1:10" x14ac:dyDescent="0.25">
      <c r="A618">
        <v>31438</v>
      </c>
      <c r="B618" t="str">
        <v>Delta Industrial</v>
      </c>
      <c r="C618">
        <v>24.014921000000001</v>
      </c>
      <c r="D618">
        <v>16.042160034179688</v>
      </c>
      <c r="E618">
        <v>11.793047904968262</v>
      </c>
      <c r="F618">
        <v>0.73512798547744751</v>
      </c>
      <c r="G618">
        <v>11.520000457763672</v>
      </c>
      <c r="H618">
        <v>0</v>
      </c>
      <c r="I618">
        <v>6.4899997711181641</v>
      </c>
      <c r="J618">
        <v>831</v>
      </c>
    </row>
    <row r="619" spans="1:10" x14ac:dyDescent="0.25">
      <c r="A619">
        <v>35066</v>
      </c>
      <c r="B619" t="str">
        <v>Den Networks</v>
      </c>
      <c r="C619">
        <v>-5.7227319999999997</v>
      </c>
      <c r="D619">
        <v>47.728031158447266</v>
      </c>
      <c r="E619">
        <v>13.723053932189941</v>
      </c>
      <c r="F619">
        <v>0.28752601146697998</v>
      </c>
      <c r="G619">
        <v>34.935001373291016</v>
      </c>
      <c r="H619">
        <v>9.9999997764825821E-3</v>
      </c>
      <c r="I619">
        <v>1653.5799560546875</v>
      </c>
      <c r="J619">
        <v>1359</v>
      </c>
    </row>
    <row r="620" spans="1:10" x14ac:dyDescent="0.25">
      <c r="A620">
        <v>13342</v>
      </c>
      <c r="B620" t="str">
        <v>Denis Chem Lab</v>
      </c>
      <c r="C620">
        <v>19.400300000000001</v>
      </c>
      <c r="D620">
        <v>87.791191101074219</v>
      </c>
      <c r="E620">
        <v>45.222213745117188</v>
      </c>
      <c r="F620">
        <v>0.51511102914810181</v>
      </c>
      <c r="G620">
        <v>100.65000152587891</v>
      </c>
      <c r="H620">
        <v>1.9999999552965164E-2</v>
      </c>
      <c r="I620">
        <v>140.02000427246094</v>
      </c>
      <c r="J620">
        <v>1355</v>
      </c>
    </row>
    <row r="621" spans="1:10" x14ac:dyDescent="0.25">
      <c r="A621">
        <v>6847</v>
      </c>
      <c r="B621" t="str">
        <v>Devine Impex</v>
      </c>
      <c r="C621">
        <v>10.792097999999999</v>
      </c>
      <c r="D621">
        <v>6.2427220344543457</v>
      </c>
      <c r="E621">
        <v>2.2827420234680176</v>
      </c>
      <c r="F621">
        <v>0.36566498875617981</v>
      </c>
      <c r="G621">
        <v>9.3450002670288086</v>
      </c>
      <c r="H621">
        <v>0</v>
      </c>
      <c r="I621">
        <v>8.6700000762939453</v>
      </c>
      <c r="J621">
        <v>1060</v>
      </c>
    </row>
    <row r="622" spans="1:10" x14ac:dyDescent="0.25">
      <c r="A622">
        <v>2626</v>
      </c>
      <c r="B622" t="str">
        <v>Dhampur Sugar</v>
      </c>
      <c r="C622">
        <v>-6.2782790000000004</v>
      </c>
      <c r="D622">
        <v>219.1790771484375</v>
      </c>
      <c r="E622">
        <v>77.268264770507813</v>
      </c>
      <c r="F622">
        <v>0.35253500938415527</v>
      </c>
      <c r="G622">
        <v>147.97500610351563</v>
      </c>
      <c r="H622">
        <v>0.81000000238418579</v>
      </c>
      <c r="I622">
        <v>951.719970703125</v>
      </c>
      <c r="J622">
        <v>1359</v>
      </c>
    </row>
    <row r="623" spans="1:10" x14ac:dyDescent="0.25">
      <c r="A623">
        <v>7380</v>
      </c>
      <c r="B623" t="str">
        <v>Dhampur.Spl.Sug.</v>
      </c>
      <c r="C623">
        <v>34.109158000000001</v>
      </c>
      <c r="D623">
        <v>53.185195922851563</v>
      </c>
      <c r="E623">
        <v>31.30096435546875</v>
      </c>
      <c r="F623">
        <v>0.58852797746658325</v>
      </c>
      <c r="G623">
        <v>93.230003356933594</v>
      </c>
      <c r="H623">
        <v>0</v>
      </c>
      <c r="I623">
        <v>77.589996337890625</v>
      </c>
      <c r="J623">
        <v>1286</v>
      </c>
    </row>
    <row r="624" spans="1:10" x14ac:dyDescent="0.25">
      <c r="A624">
        <v>4366</v>
      </c>
      <c r="B624" t="str">
        <v>Dhanalaxmi Roto</v>
      </c>
      <c r="C624">
        <v>47.393380999999998</v>
      </c>
      <c r="D624">
        <v>50.265316009521484</v>
      </c>
      <c r="E624">
        <v>33.386638641357422</v>
      </c>
      <c r="F624">
        <v>0.66420799493789673</v>
      </c>
      <c r="G624">
        <v>90.727500915527344</v>
      </c>
      <c r="H624">
        <v>3.9999999105930328E-2</v>
      </c>
      <c r="I624">
        <v>70.209999084472656</v>
      </c>
      <c r="J624">
        <v>1317</v>
      </c>
    </row>
    <row r="625" spans="1:10" x14ac:dyDescent="0.25">
      <c r="A625">
        <v>26780</v>
      </c>
      <c r="B625" t="str">
        <v>Dhani Services</v>
      </c>
      <c r="C625">
        <v>-20.532595000000001</v>
      </c>
      <c r="D625">
        <v>106.58116912841797</v>
      </c>
      <c r="E625">
        <v>82.7423095703125</v>
      </c>
      <c r="F625">
        <v>0.77633100748062134</v>
      </c>
      <c r="G625">
        <v>67.702499389648438</v>
      </c>
      <c r="H625">
        <v>9.0000003576278687E-2</v>
      </c>
      <c r="I625">
        <v>4000.639892578125</v>
      </c>
      <c r="J625">
        <v>1359</v>
      </c>
    </row>
    <row r="626" spans="1:10" x14ac:dyDescent="0.25">
      <c r="A626">
        <v>5523</v>
      </c>
      <c r="B626" t="str">
        <v>Dhanlaxmi Bank</v>
      </c>
      <c r="C626">
        <v>16.398052</v>
      </c>
      <c r="D626">
        <v>17.777128219604492</v>
      </c>
      <c r="E626">
        <v>9.2408781051635742</v>
      </c>
      <c r="F626">
        <v>0.5198180079460144</v>
      </c>
      <c r="G626">
        <v>28.440000534057617</v>
      </c>
      <c r="H626">
        <v>0</v>
      </c>
      <c r="I626">
        <v>1093.3199462890625</v>
      </c>
      <c r="J626">
        <v>1359</v>
      </c>
    </row>
    <row r="627" spans="1:10" x14ac:dyDescent="0.25">
      <c r="A627">
        <v>2076</v>
      </c>
      <c r="B627" t="str">
        <v>Dhanlaxmi Cotex</v>
      </c>
      <c r="C627">
        <v>41.976050000000001</v>
      </c>
      <c r="D627">
        <v>98.056434631347656</v>
      </c>
      <c r="E627">
        <v>59.948890686035156</v>
      </c>
      <c r="F627">
        <v>0.61137098073959351</v>
      </c>
      <c r="G627">
        <v>176</v>
      </c>
      <c r="H627">
        <v>0</v>
      </c>
      <c r="I627">
        <v>85.739997863769531</v>
      </c>
      <c r="J627">
        <v>786</v>
      </c>
    </row>
    <row r="628" spans="1:10" x14ac:dyDescent="0.25">
      <c r="A628">
        <v>3784</v>
      </c>
      <c r="B628" t="str">
        <v>Dhanlaxmi Fabric</v>
      </c>
      <c r="C628">
        <v>19.125166</v>
      </c>
      <c r="D628">
        <v>45.645412445068359</v>
      </c>
      <c r="E628">
        <v>22.562200546264648</v>
      </c>
      <c r="F628">
        <v>0.49429300427436829</v>
      </c>
      <c r="G628">
        <v>58.917499542236328</v>
      </c>
      <c r="H628">
        <v>0.10000000149011612</v>
      </c>
      <c r="I628">
        <v>51.479999542236328</v>
      </c>
      <c r="J628">
        <v>1186</v>
      </c>
    </row>
    <row r="629" spans="1:10" x14ac:dyDescent="0.25">
      <c r="A629">
        <v>1774</v>
      </c>
      <c r="B629" t="str">
        <v>Dhanuka Agritech</v>
      </c>
      <c r="C629">
        <v>26.201063000000001</v>
      </c>
      <c r="D629">
        <v>916.49639892578125</v>
      </c>
      <c r="E629">
        <v>344.18289184570313</v>
      </c>
      <c r="F629">
        <v>0.37554201483726501</v>
      </c>
      <c r="G629">
        <v>1648.675048828125</v>
      </c>
      <c r="H629">
        <v>2.9999999329447746E-2</v>
      </c>
      <c r="I629">
        <v>7506.75</v>
      </c>
      <c r="J629">
        <v>1359</v>
      </c>
    </row>
    <row r="630" spans="1:10" x14ac:dyDescent="0.25">
      <c r="A630">
        <v>5398</v>
      </c>
      <c r="B630" t="str">
        <v>Dhanvantri Jeev.</v>
      </c>
      <c r="C630">
        <v>17.344245999999998</v>
      </c>
      <c r="D630">
        <v>14.548556327819824</v>
      </c>
      <c r="E630">
        <v>5.4665260314941406</v>
      </c>
      <c r="F630">
        <v>0.37574398517608643</v>
      </c>
      <c r="G630">
        <v>20.809999465942383</v>
      </c>
      <c r="H630">
        <v>0</v>
      </c>
      <c r="I630">
        <v>8.5299997329711914</v>
      </c>
      <c r="J630">
        <v>1053</v>
      </c>
    </row>
    <row r="631" spans="1:10" x14ac:dyDescent="0.25">
      <c r="A631">
        <v>3689</v>
      </c>
      <c r="B631" t="str">
        <v>Dharani Finance</v>
      </c>
      <c r="C631">
        <v>36.801310999999998</v>
      </c>
      <c r="D631">
        <v>6.914696216583252</v>
      </c>
      <c r="E631">
        <v>2.359450101852417</v>
      </c>
      <c r="F631">
        <v>0.34122198820114136</v>
      </c>
      <c r="G631">
        <v>10.274999618530273</v>
      </c>
      <c r="H631">
        <v>1.9999999552965164E-2</v>
      </c>
      <c r="I631">
        <v>5.119999885559082</v>
      </c>
      <c r="J631">
        <v>1059</v>
      </c>
    </row>
    <row r="632" spans="1:10" x14ac:dyDescent="0.25">
      <c r="A632">
        <v>1225</v>
      </c>
      <c r="B632" t="str">
        <v>Dharani Sugars</v>
      </c>
      <c r="C632">
        <v>4.1481310000000002</v>
      </c>
      <c r="D632">
        <v>11.872259140014648</v>
      </c>
      <c r="E632">
        <v>6.0048561096191406</v>
      </c>
      <c r="F632">
        <v>0.50578898191452026</v>
      </c>
      <c r="G632">
        <v>8.5725002288818359</v>
      </c>
      <c r="H632">
        <v>0</v>
      </c>
      <c r="I632">
        <v>28.649999618530273</v>
      </c>
      <c r="J632">
        <v>787</v>
      </c>
    </row>
    <row r="633" spans="1:10" x14ac:dyDescent="0.25">
      <c r="A633">
        <v>66910</v>
      </c>
      <c r="B633" t="str">
        <v>Dhatre Udyog</v>
      </c>
      <c r="C633">
        <v>13.452636999999999</v>
      </c>
      <c r="D633">
        <v>8.0597915649414063</v>
      </c>
      <c r="E633">
        <v>6.8188362121582031</v>
      </c>
      <c r="F633">
        <v>0.84603101015090942</v>
      </c>
      <c r="G633">
        <v>8.3325004577636719</v>
      </c>
      <c r="H633">
        <v>9.9999997764825821E-3</v>
      </c>
      <c r="I633">
        <v>89.55999755859375</v>
      </c>
      <c r="J633">
        <v>1078</v>
      </c>
    </row>
    <row r="634" spans="1:10" x14ac:dyDescent="0.25">
      <c r="A634">
        <v>4801</v>
      </c>
      <c r="B634" t="str">
        <v>Dhoot Indl.Fin</v>
      </c>
      <c r="C634">
        <v>51.026912000000003</v>
      </c>
      <c r="D634">
        <v>129.27980041503906</v>
      </c>
      <c r="E634">
        <v>104.28428649902344</v>
      </c>
      <c r="F634">
        <v>0.80665600299835205</v>
      </c>
      <c r="G634">
        <v>239.94999694824219</v>
      </c>
      <c r="H634">
        <v>0.18999999761581421</v>
      </c>
      <c r="I634">
        <v>149.86000061035156</v>
      </c>
      <c r="J634">
        <v>1311</v>
      </c>
    </row>
    <row r="635" spans="1:10" x14ac:dyDescent="0.25">
      <c r="A635">
        <v>72487</v>
      </c>
      <c r="B635" t="str">
        <v>Dhruv Consultanc</v>
      </c>
      <c r="C635">
        <v>16.970994000000001</v>
      </c>
      <c r="D635">
        <v>63.218257904052734</v>
      </c>
      <c r="E635">
        <v>33.939720153808594</v>
      </c>
      <c r="F635">
        <v>0.53686600923538208</v>
      </c>
      <c r="G635">
        <v>66.910003662109375</v>
      </c>
      <c r="H635">
        <v>0.31999999284744263</v>
      </c>
      <c r="I635">
        <v>124.83999633789063</v>
      </c>
      <c r="J635">
        <v>1209</v>
      </c>
    </row>
    <row r="636" spans="1:10" x14ac:dyDescent="0.25">
      <c r="A636">
        <v>6140</v>
      </c>
      <c r="B636" t="str">
        <v>Dhruva Cap.Serv.</v>
      </c>
      <c r="C636">
        <v>60.546883000000001</v>
      </c>
      <c r="D636">
        <v>152.73637390136719</v>
      </c>
      <c r="E636">
        <v>161.15217590332031</v>
      </c>
      <c r="F636">
        <v>1.0550999641418457</v>
      </c>
      <c r="G636">
        <v>141.75</v>
      </c>
      <c r="H636">
        <v>0</v>
      </c>
      <c r="I636">
        <v>57.569999694824219</v>
      </c>
      <c r="J636">
        <v>868</v>
      </c>
    </row>
    <row r="637" spans="1:10" x14ac:dyDescent="0.25">
      <c r="A637">
        <v>37265</v>
      </c>
      <c r="B637" t="str">
        <v>Dhunseri Invest.</v>
      </c>
      <c r="C637">
        <v>34.597740999999999</v>
      </c>
      <c r="D637">
        <v>820.1676025390625</v>
      </c>
      <c r="E637">
        <v>562.4427490234375</v>
      </c>
      <c r="F637">
        <v>0.68576598167419434</v>
      </c>
      <c r="G637">
        <v>1439.487548828125</v>
      </c>
      <c r="H637">
        <v>0</v>
      </c>
      <c r="I637">
        <v>876.530029296875</v>
      </c>
      <c r="J637">
        <v>1350</v>
      </c>
    </row>
    <row r="638" spans="1:10" x14ac:dyDescent="0.25">
      <c r="A638">
        <v>44085</v>
      </c>
      <c r="B638" t="str">
        <v>Dhunseri Tea</v>
      </c>
      <c r="C638">
        <v>9.3109079999999995</v>
      </c>
      <c r="D638">
        <v>212.02980041503906</v>
      </c>
      <c r="E638">
        <v>54.093769073486328</v>
      </c>
      <c r="F638">
        <v>0.25512298941612244</v>
      </c>
      <c r="G638">
        <v>192.60000610351563</v>
      </c>
      <c r="H638">
        <v>0.17000000178813934</v>
      </c>
      <c r="I638">
        <v>199.42999267578125</v>
      </c>
      <c r="J638">
        <v>1350</v>
      </c>
    </row>
    <row r="639" spans="1:10" x14ac:dyDescent="0.25">
      <c r="A639">
        <v>737</v>
      </c>
      <c r="B639" t="str">
        <v>Dhunseri Vent.</v>
      </c>
      <c r="C639">
        <v>28.988896</v>
      </c>
      <c r="D639">
        <v>240.18632507324219</v>
      </c>
      <c r="E639">
        <v>119.02970886230469</v>
      </c>
      <c r="F639">
        <v>0.49557200074195862</v>
      </c>
      <c r="G639">
        <v>330.60000610351563</v>
      </c>
      <c r="H639">
        <v>1.9999999552965164E-2</v>
      </c>
      <c r="I639">
        <v>1161.260009765625</v>
      </c>
      <c r="J639">
        <v>1356</v>
      </c>
    </row>
    <row r="640" spans="1:10" x14ac:dyDescent="0.25">
      <c r="A640">
        <v>142</v>
      </c>
      <c r="B640" t="str">
        <v>Diamines &amp; Chem.</v>
      </c>
      <c r="C640">
        <v>20.033276000000001</v>
      </c>
      <c r="D640">
        <v>400.11184692382813</v>
      </c>
      <c r="E640">
        <v>127.55504608154297</v>
      </c>
      <c r="F640">
        <v>0.3187980055809021</v>
      </c>
      <c r="G640">
        <v>376.22500610351563</v>
      </c>
      <c r="H640">
        <v>0</v>
      </c>
      <c r="I640">
        <v>365.67999267578125</v>
      </c>
      <c r="J640">
        <v>1359</v>
      </c>
    </row>
    <row r="641" spans="1:10" x14ac:dyDescent="0.25">
      <c r="A641">
        <v>3225</v>
      </c>
      <c r="B641" t="str">
        <v>Diamond Power</v>
      </c>
      <c r="C641">
        <v>166.57455899999999</v>
      </c>
      <c r="D641">
        <v>45.458507537841797</v>
      </c>
      <c r="E641">
        <v>58.456707000732422</v>
      </c>
      <c r="F641">
        <v>1.2859359979629517</v>
      </c>
      <c r="G641">
        <v>101.83750152587891</v>
      </c>
      <c r="H641">
        <v>0</v>
      </c>
      <c r="I641">
        <v>5359.2998046875</v>
      </c>
      <c r="J641">
        <v>839</v>
      </c>
    </row>
    <row r="642" spans="1:10" x14ac:dyDescent="0.25">
      <c r="A642">
        <v>5664</v>
      </c>
      <c r="B642" t="str">
        <v>Diana Tea Co</v>
      </c>
      <c r="C642">
        <v>20.654655000000002</v>
      </c>
      <c r="D642">
        <v>24.630342483520508</v>
      </c>
      <c r="E642">
        <v>8.6158151626586914</v>
      </c>
      <c r="F642">
        <v>0.34980499744415283</v>
      </c>
      <c r="G642">
        <v>29.344999313354492</v>
      </c>
      <c r="H642">
        <v>0.49000000953674316</v>
      </c>
      <c r="I642">
        <v>43.380001068115234</v>
      </c>
      <c r="J642">
        <v>1358</v>
      </c>
    </row>
    <row r="643" spans="1:10" x14ac:dyDescent="0.25">
      <c r="A643">
        <v>1520</v>
      </c>
      <c r="B643" t="str">
        <v>DigiSpice Tech.</v>
      </c>
      <c r="C643">
        <v>30.831334999999999</v>
      </c>
      <c r="D643">
        <v>29.501762390136719</v>
      </c>
      <c r="E643">
        <v>15.127259254455566</v>
      </c>
      <c r="F643">
        <v>0.51275801658630371</v>
      </c>
      <c r="G643">
        <v>23.120000839233398</v>
      </c>
      <c r="H643">
        <v>2.9999999329447746E-2</v>
      </c>
      <c r="I643">
        <v>525.17999267578125</v>
      </c>
      <c r="J643">
        <v>1314</v>
      </c>
    </row>
    <row r="644" spans="1:10" x14ac:dyDescent="0.25">
      <c r="A644">
        <v>67942</v>
      </c>
      <c r="B644" t="str">
        <v>Digjam</v>
      </c>
      <c r="C644">
        <v>70.730125000000001</v>
      </c>
      <c r="D644">
        <v>73.654678344726563</v>
      </c>
      <c r="E644">
        <v>61.142822265625</v>
      </c>
      <c r="F644">
        <v>0.830128014087677</v>
      </c>
      <c r="G644">
        <v>34.662498474121094</v>
      </c>
      <c r="H644">
        <v>0.70999997854232788</v>
      </c>
      <c r="I644">
        <v>68.720001220703125</v>
      </c>
      <c r="J644">
        <v>1102</v>
      </c>
    </row>
    <row r="645" spans="1:10" x14ac:dyDescent="0.25">
      <c r="A645">
        <v>43950</v>
      </c>
      <c r="B645" t="str">
        <v>Diligent Media</v>
      </c>
      <c r="C645">
        <v>48.406427999999998</v>
      </c>
      <c r="D645">
        <v>3.1783590316772461</v>
      </c>
      <c r="E645">
        <v>1.820673942565918</v>
      </c>
      <c r="F645">
        <v>0.57283502817153931</v>
      </c>
      <c r="G645">
        <v>4.994999885559082</v>
      </c>
      <c r="H645">
        <v>0</v>
      </c>
      <c r="I645">
        <v>59.090000152587891</v>
      </c>
      <c r="J645">
        <v>1292</v>
      </c>
    </row>
    <row r="646" spans="1:10" x14ac:dyDescent="0.25">
      <c r="A646">
        <v>36662</v>
      </c>
      <c r="B646" t="str">
        <v>Dilip Buildcon</v>
      </c>
      <c r="C646">
        <v>3.8395190000000001</v>
      </c>
      <c r="D646">
        <v>381.00006103515625</v>
      </c>
      <c r="E646">
        <v>130.11483764648438</v>
      </c>
      <c r="F646">
        <v>0.34150901436805725</v>
      </c>
      <c r="G646">
        <v>496.66250610351563</v>
      </c>
      <c r="H646">
        <v>0.4699999988079071</v>
      </c>
      <c r="I646">
        <v>7136.02001953125</v>
      </c>
      <c r="J646">
        <v>1359</v>
      </c>
    </row>
    <row r="647" spans="1:10" x14ac:dyDescent="0.25">
      <c r="A647">
        <v>4775</v>
      </c>
      <c r="B647" t="str">
        <v>Dion Global</v>
      </c>
      <c r="C647">
        <v>-22.536224000000001</v>
      </c>
      <c r="D647">
        <v>2.4431819915771484</v>
      </c>
      <c r="E647">
        <v>0.14381000399589539</v>
      </c>
      <c r="F647">
        <v>5.8862000703811646E-2</v>
      </c>
      <c r="G647">
        <v>2.25</v>
      </c>
      <c r="H647">
        <v>0</v>
      </c>
      <c r="I647">
        <v>7.25</v>
      </c>
      <c r="J647">
        <v>11</v>
      </c>
    </row>
    <row r="648" spans="1:10" x14ac:dyDescent="0.25">
      <c r="A648">
        <v>824</v>
      </c>
      <c r="B648" t="str">
        <v>Disa India</v>
      </c>
      <c r="C648">
        <v>19.531834</v>
      </c>
      <c r="D648">
        <v>9077.3251953125</v>
      </c>
      <c r="E648">
        <v>4926.5068359375</v>
      </c>
      <c r="F648">
        <v>0.54272699356079102</v>
      </c>
      <c r="G648">
        <v>13698.1376953125</v>
      </c>
      <c r="H648">
        <v>9.9999997764825821E-3</v>
      </c>
      <c r="I648">
        <v>2003.489990234375</v>
      </c>
      <c r="J648">
        <v>1358</v>
      </c>
    </row>
    <row r="649" spans="1:10" x14ac:dyDescent="0.25">
      <c r="A649">
        <v>20631</v>
      </c>
      <c r="B649" t="str">
        <v>Dish TV India</v>
      </c>
      <c r="C649">
        <v>-17.639099999999999</v>
      </c>
      <c r="D649">
        <v>13.840884208679199</v>
      </c>
      <c r="E649">
        <v>4.4233560562133789</v>
      </c>
      <c r="F649">
        <v>0.31958600878715515</v>
      </c>
      <c r="G649">
        <v>4.8449997901916504</v>
      </c>
      <c r="H649">
        <v>0</v>
      </c>
      <c r="I649">
        <v>894.8699951171875</v>
      </c>
      <c r="J649">
        <v>1359</v>
      </c>
    </row>
    <row r="650" spans="1:10" x14ac:dyDescent="0.25">
      <c r="A650">
        <v>6981</v>
      </c>
      <c r="B650" t="str">
        <v>Disha Resources</v>
      </c>
      <c r="C650">
        <v>14.756570999999999</v>
      </c>
      <c r="D650">
        <v>18.032012939453125</v>
      </c>
      <c r="E650">
        <v>6.3005971908569336</v>
      </c>
      <c r="F650">
        <v>0.34941199421882629</v>
      </c>
      <c r="G650">
        <v>20.847499847412109</v>
      </c>
      <c r="H650">
        <v>5.9999998658895493E-2</v>
      </c>
      <c r="I650">
        <v>15.510000228881836</v>
      </c>
      <c r="J650">
        <v>751</v>
      </c>
    </row>
    <row r="651" spans="1:10" x14ac:dyDescent="0.25">
      <c r="A651">
        <v>67697</v>
      </c>
      <c r="B651" t="str">
        <v>Dishman Carbogen</v>
      </c>
      <c r="C651">
        <v>21.546780999999999</v>
      </c>
      <c r="D651">
        <v>163.44564819335938</v>
      </c>
      <c r="E651">
        <v>51.478069305419922</v>
      </c>
      <c r="F651">
        <v>0.31495499610900879</v>
      </c>
      <c r="G651">
        <v>247.94999694824219</v>
      </c>
      <c r="H651">
        <v>0.14000000059604645</v>
      </c>
      <c r="I651">
        <v>3778.469970703125</v>
      </c>
      <c r="J651">
        <v>1359</v>
      </c>
    </row>
    <row r="652" spans="1:10" x14ac:dyDescent="0.25">
      <c r="A652">
        <v>21188</v>
      </c>
      <c r="B652" t="str">
        <v>Divi's Lab.</v>
      </c>
      <c r="C652">
        <v>23.884383</v>
      </c>
      <c r="D652">
        <v>3979.047119140625</v>
      </c>
      <c r="E652">
        <v>1087.563720703125</v>
      </c>
      <c r="F652">
        <v>0.27332299947738647</v>
      </c>
      <c r="G652">
        <v>6518.1875</v>
      </c>
      <c r="H652">
        <v>0</v>
      </c>
      <c r="I652">
        <v>172374.0625</v>
      </c>
      <c r="J652">
        <v>1359</v>
      </c>
    </row>
    <row r="653" spans="1:10" x14ac:dyDescent="0.25">
      <c r="A653">
        <v>3428</v>
      </c>
      <c r="B653" t="str">
        <v>Divyashakti</v>
      </c>
      <c r="C653">
        <v>6.5962759999999996</v>
      </c>
      <c r="D653">
        <v>65.9671630859375</v>
      </c>
      <c r="E653">
        <v>15.80888843536377</v>
      </c>
      <c r="F653">
        <v>0.2396479994058609</v>
      </c>
      <c r="G653">
        <v>69.285003662109375</v>
      </c>
      <c r="H653">
        <v>1.9999999552965164E-2</v>
      </c>
      <c r="I653">
        <v>68.379997253417969</v>
      </c>
      <c r="J653">
        <v>1338</v>
      </c>
    </row>
    <row r="654" spans="1:10" x14ac:dyDescent="0.25">
      <c r="A654">
        <v>35727</v>
      </c>
      <c r="B654" t="str">
        <v>Dixon Technolog.</v>
      </c>
      <c r="C654">
        <v>57.285783000000002</v>
      </c>
      <c r="D654">
        <v>5875.5244140625</v>
      </c>
      <c r="E654">
        <v>4520.6103515625</v>
      </c>
      <c r="F654">
        <v>0.76939702033996582</v>
      </c>
      <c r="G654">
        <v>14227.0380859375</v>
      </c>
      <c r="H654">
        <v>0.18999999761581421</v>
      </c>
      <c r="I654">
        <v>84646.3671875</v>
      </c>
      <c r="J654">
        <v>1359</v>
      </c>
    </row>
    <row r="655" spans="1:10" x14ac:dyDescent="0.25">
      <c r="A655">
        <v>3648</v>
      </c>
      <c r="B655" t="str">
        <v>Dolat Algotech</v>
      </c>
      <c r="C655">
        <v>7.7660159999999996</v>
      </c>
      <c r="D655">
        <v>76.91705322265625</v>
      </c>
      <c r="E655">
        <v>30.52787971496582</v>
      </c>
      <c r="F655">
        <v>0.39689400792121887</v>
      </c>
      <c r="G655">
        <v>98</v>
      </c>
      <c r="H655">
        <v>0.15999999642372131</v>
      </c>
      <c r="I655">
        <v>1692.239990234375</v>
      </c>
      <c r="J655">
        <v>1359</v>
      </c>
    </row>
    <row r="656" spans="1:10" x14ac:dyDescent="0.25">
      <c r="A656">
        <v>73277</v>
      </c>
      <c r="B656" t="str">
        <v>Dolfin Rubbers</v>
      </c>
      <c r="C656">
        <v>35.491627999999999</v>
      </c>
      <c r="D656">
        <v>125.28238677978516</v>
      </c>
      <c r="E656">
        <v>65.898590087890625</v>
      </c>
      <c r="F656">
        <v>0.52600002288818359</v>
      </c>
      <c r="G656">
        <v>202.66250610351563</v>
      </c>
      <c r="H656">
        <v>0.51999998092651367</v>
      </c>
      <c r="I656">
        <v>204.00999450683594</v>
      </c>
      <c r="J656">
        <v>1071</v>
      </c>
    </row>
    <row r="657" spans="1:10" x14ac:dyDescent="0.25">
      <c r="A657">
        <v>15362</v>
      </c>
      <c r="B657" t="str">
        <v>Dollar Industrie</v>
      </c>
      <c r="C657">
        <v>18.788253000000001</v>
      </c>
      <c r="D657">
        <v>379.9713134765625</v>
      </c>
      <c r="E657">
        <v>139.80046081542969</v>
      </c>
      <c r="F657">
        <v>0.36792400479316711</v>
      </c>
      <c r="G657">
        <v>389.28750610351563</v>
      </c>
      <c r="H657">
        <v>0.31999999284744263</v>
      </c>
      <c r="I657">
        <v>2125.43994140625</v>
      </c>
      <c r="J657">
        <v>1358</v>
      </c>
    </row>
    <row r="658" spans="1:10" x14ac:dyDescent="0.25">
      <c r="A658">
        <v>3907</v>
      </c>
      <c r="B658" t="str">
        <v>Dolphin Medical</v>
      </c>
      <c r="C658">
        <v>32.943705000000001</v>
      </c>
      <c r="D658">
        <v>1.9941819906234741</v>
      </c>
      <c r="E658">
        <v>1.0065799951553345</v>
      </c>
      <c r="F658">
        <v>0.50475800037384033</v>
      </c>
      <c r="G658">
        <v>2.255000114440918</v>
      </c>
      <c r="H658">
        <v>7.9999998211860657E-2</v>
      </c>
      <c r="I658">
        <v>3.3199999332427979</v>
      </c>
      <c r="J658">
        <v>636</v>
      </c>
    </row>
    <row r="659" spans="1:10" x14ac:dyDescent="0.25">
      <c r="A659">
        <v>4261</v>
      </c>
      <c r="B659" t="str">
        <v>Dolphin Offshore</v>
      </c>
      <c r="C659">
        <v>137.99900099999999</v>
      </c>
      <c r="D659">
        <v>375.31756591796875</v>
      </c>
      <c r="E659">
        <v>236.11082458496094</v>
      </c>
      <c r="F659">
        <v>0.62909597158432007</v>
      </c>
      <c r="G659">
        <v>365.54998779296875</v>
      </c>
      <c r="H659">
        <v>7.9999998211860657E-2</v>
      </c>
      <c r="I659">
        <v>1455.3699951171875</v>
      </c>
      <c r="J659">
        <v>464</v>
      </c>
    </row>
    <row r="660" spans="1:10" x14ac:dyDescent="0.25">
      <c r="A660">
        <v>41261</v>
      </c>
      <c r="B660" t="str">
        <v>Dr Lal Pathlabs</v>
      </c>
      <c r="C660">
        <v>11.975656000000001</v>
      </c>
      <c r="D660">
        <v>2524.75244140625</v>
      </c>
      <c r="E660">
        <v>598.2010498046875</v>
      </c>
      <c r="F660">
        <v>0.23693500459194183</v>
      </c>
      <c r="G660">
        <v>2894.71240234375</v>
      </c>
      <c r="H660">
        <v>5.000000074505806E-2</v>
      </c>
      <c r="I660">
        <v>24092.580078125</v>
      </c>
      <c r="J660">
        <v>1359</v>
      </c>
    </row>
    <row r="661" spans="1:10" x14ac:dyDescent="0.25">
      <c r="A661">
        <v>815</v>
      </c>
      <c r="B661" t="str">
        <v>Dr Reddy's Labs</v>
      </c>
      <c r="C661">
        <v>15.457705000000001</v>
      </c>
      <c r="D661">
        <v>1006.9324951171875</v>
      </c>
      <c r="E661">
        <v>189.16532897949219</v>
      </c>
      <c r="F661">
        <v>0.18786300718784332</v>
      </c>
      <c r="G661">
        <v>1320.5374755859375</v>
      </c>
      <c r="H661">
        <v>1.9999999552965164E-2</v>
      </c>
      <c r="I661">
        <v>110689.828125</v>
      </c>
      <c r="J661">
        <v>1359</v>
      </c>
    </row>
    <row r="662" spans="1:10" x14ac:dyDescent="0.25">
      <c r="A662">
        <v>2335</v>
      </c>
      <c r="B662" t="str">
        <v>Dredging Corpn.</v>
      </c>
      <c r="C662">
        <v>13.948544</v>
      </c>
      <c r="D662">
        <v>469.98574829101563</v>
      </c>
      <c r="E662">
        <v>249.76982116699219</v>
      </c>
      <c r="F662">
        <v>0.53144097328186035</v>
      </c>
      <c r="G662">
        <v>706.3125</v>
      </c>
      <c r="H662">
        <v>0.2800000011920929</v>
      </c>
      <c r="I662">
        <v>1971.3399658203125</v>
      </c>
      <c r="J662">
        <v>1359</v>
      </c>
    </row>
    <row r="663" spans="1:10" x14ac:dyDescent="0.25">
      <c r="A663">
        <v>34917</v>
      </c>
      <c r="B663" t="str">
        <v>Ducon Tech</v>
      </c>
      <c r="C663">
        <v>5.4321200000000003</v>
      </c>
      <c r="D663">
        <v>8.6648483276367188</v>
      </c>
      <c r="E663">
        <v>4.8740758895874023</v>
      </c>
      <c r="F663">
        <v>0.56251102685928345</v>
      </c>
      <c r="G663">
        <v>6.005000114440918</v>
      </c>
      <c r="H663">
        <v>0.85000002384185791</v>
      </c>
      <c r="I663">
        <v>190.08000183105469</v>
      </c>
      <c r="J663">
        <v>1359</v>
      </c>
    </row>
    <row r="664" spans="1:10" x14ac:dyDescent="0.25">
      <c r="A664">
        <v>13864</v>
      </c>
      <c r="B664" t="str">
        <v>Duke Offshore</v>
      </c>
      <c r="C664">
        <v>6.9045019999999999</v>
      </c>
      <c r="D664">
        <v>11.900500297546387</v>
      </c>
      <c r="E664">
        <v>4.771061897277832</v>
      </c>
      <c r="F664">
        <v>0.40091300010681152</v>
      </c>
      <c r="G664">
        <v>17.549999237060547</v>
      </c>
      <c r="H664">
        <v>3.9999999105930328E-2</v>
      </c>
      <c r="I664">
        <v>18.299999237060547</v>
      </c>
      <c r="J664">
        <v>1335</v>
      </c>
    </row>
    <row r="665" spans="1:10" x14ac:dyDescent="0.25">
      <c r="A665">
        <v>1943</v>
      </c>
      <c r="B665" t="str">
        <v>Duncan Engg.</v>
      </c>
      <c r="C665">
        <v>23.113643</v>
      </c>
      <c r="D665">
        <v>317.00595092773438</v>
      </c>
      <c r="E665">
        <v>170.74993896484375</v>
      </c>
      <c r="F665">
        <v>0.53863298892974854</v>
      </c>
      <c r="G665">
        <v>409.53750610351563</v>
      </c>
      <c r="H665">
        <v>1.9999999552965164E-2</v>
      </c>
      <c r="I665">
        <v>150.27999877929688</v>
      </c>
      <c r="J665">
        <v>1325</v>
      </c>
    </row>
    <row r="666" spans="1:10" x14ac:dyDescent="0.25">
      <c r="A666">
        <v>3410</v>
      </c>
      <c r="B666" t="str">
        <v>Duropack</v>
      </c>
      <c r="C666">
        <v>36.527071999999997</v>
      </c>
      <c r="D666">
        <v>62.961582183837891</v>
      </c>
      <c r="E666">
        <v>34.65240478515625</v>
      </c>
      <c r="F666">
        <v>0.55037397146224976</v>
      </c>
      <c r="G666">
        <v>79.677497863769531</v>
      </c>
      <c r="H666">
        <v>0</v>
      </c>
      <c r="I666">
        <v>40.540000915527344</v>
      </c>
      <c r="J666">
        <v>1218</v>
      </c>
    </row>
    <row r="667" spans="1:10" x14ac:dyDescent="0.25">
      <c r="A667">
        <v>706</v>
      </c>
      <c r="B667" t="str">
        <v>Duroply Indust.</v>
      </c>
      <c r="C667">
        <v>30.663489999999999</v>
      </c>
      <c r="D667">
        <v>146.3333740234375</v>
      </c>
      <c r="E667">
        <v>84.012901306152344</v>
      </c>
      <c r="F667">
        <v>0.57411998510360718</v>
      </c>
      <c r="G667">
        <v>233.51249694824219</v>
      </c>
      <c r="H667">
        <v>0.43999999761581421</v>
      </c>
      <c r="I667">
        <v>224.47999572753906</v>
      </c>
      <c r="J667">
        <v>1359</v>
      </c>
    </row>
    <row r="668" spans="1:10" x14ac:dyDescent="0.25">
      <c r="A668">
        <v>3908</v>
      </c>
      <c r="B668" t="str">
        <v>Dutron Polymers</v>
      </c>
      <c r="C668">
        <v>2.0158489999999998</v>
      </c>
      <c r="D668">
        <v>149.85708618164063</v>
      </c>
      <c r="E668">
        <v>33.345664978027344</v>
      </c>
      <c r="F668">
        <v>0.22251600027084351</v>
      </c>
      <c r="G668">
        <v>132.94999694824219</v>
      </c>
      <c r="H668">
        <v>0.31000000238418579</v>
      </c>
      <c r="I668">
        <v>79.769996643066406</v>
      </c>
      <c r="J668">
        <v>1176</v>
      </c>
    </row>
    <row r="669" spans="1:10" x14ac:dyDescent="0.25">
      <c r="A669">
        <v>15825</v>
      </c>
      <c r="B669" t="str">
        <v>Dwarikesh Sugar</v>
      </c>
      <c r="C669">
        <v>4.770143</v>
      </c>
      <c r="D669">
        <v>68.605140686035156</v>
      </c>
      <c r="E669">
        <v>29.271921157836914</v>
      </c>
      <c r="F669">
        <v>0.42667201161384583</v>
      </c>
      <c r="G669">
        <v>46.549999237060547</v>
      </c>
      <c r="H669">
        <v>0.52999997138977051</v>
      </c>
      <c r="I669">
        <v>849.6099853515625</v>
      </c>
      <c r="J669">
        <v>1359</v>
      </c>
    </row>
    <row r="670" spans="1:10" x14ac:dyDescent="0.25">
      <c r="A670">
        <v>26050</v>
      </c>
      <c r="B670" t="str">
        <v>Dwitiya Trading</v>
      </c>
      <c r="C670">
        <v>4.654738</v>
      </c>
      <c r="D670">
        <v>2.4175000190734863</v>
      </c>
      <c r="E670">
        <v>4.9244001507759094E-2</v>
      </c>
      <c r="F670">
        <v>2.03699991106987E-2</v>
      </c>
      <c r="G670">
        <v>2.4000000953674316</v>
      </c>
      <c r="H670">
        <v>0</v>
      </c>
      <c r="I670">
        <v>6.0100002288818359</v>
      </c>
      <c r="J670">
        <v>4</v>
      </c>
    </row>
    <row r="671" spans="1:10" x14ac:dyDescent="0.25">
      <c r="A671">
        <v>20947</v>
      </c>
      <c r="B671" t="str">
        <v>Dynacons Sys.</v>
      </c>
      <c r="C671">
        <v>76.076031</v>
      </c>
      <c r="D671">
        <v>491.4053955078125</v>
      </c>
      <c r="E671">
        <v>463.338623046875</v>
      </c>
      <c r="F671">
        <v>0.94288498163223267</v>
      </c>
      <c r="G671">
        <v>1084.0999755859375</v>
      </c>
      <c r="H671">
        <v>0.40000000596046448</v>
      </c>
      <c r="I671">
        <v>1367.530029296875</v>
      </c>
      <c r="J671">
        <v>1345</v>
      </c>
    </row>
    <row r="672" spans="1:10" x14ac:dyDescent="0.25">
      <c r="A672">
        <v>651</v>
      </c>
      <c r="B672" t="str">
        <v>Dynamatic Tech.</v>
      </c>
      <c r="C672">
        <v>37.981203000000001</v>
      </c>
      <c r="D672">
        <v>3431.284912109375</v>
      </c>
      <c r="E672">
        <v>2532.088623046875</v>
      </c>
      <c r="F672">
        <v>0.73794198036193848</v>
      </c>
      <c r="G672">
        <v>7136.17529296875</v>
      </c>
      <c r="H672">
        <v>0.75</v>
      </c>
      <c r="I672">
        <v>4780.83984375</v>
      </c>
      <c r="J672">
        <v>1348</v>
      </c>
    </row>
    <row r="673" spans="1:10" x14ac:dyDescent="0.25">
      <c r="A673">
        <v>37752</v>
      </c>
      <c r="B673" t="str">
        <v>Dynamic Cables</v>
      </c>
      <c r="C673">
        <v>67.067548000000002</v>
      </c>
      <c r="D673">
        <v>275.04495239257813</v>
      </c>
      <c r="E673">
        <v>264.59445190429688</v>
      </c>
      <c r="F673">
        <v>0.96200400590896606</v>
      </c>
      <c r="G673">
        <v>899.5999755859375</v>
      </c>
      <c r="H673">
        <v>0.30000001192092896</v>
      </c>
      <c r="I673">
        <v>2157.02001953125</v>
      </c>
      <c r="J673">
        <v>1313</v>
      </c>
    </row>
    <row r="674" spans="1:10" x14ac:dyDescent="0.25">
      <c r="A674">
        <v>4698</v>
      </c>
      <c r="B674" t="str">
        <v>Dynamic Industri</v>
      </c>
      <c r="C674">
        <v>15.442735000000001</v>
      </c>
      <c r="D674">
        <v>69.452835083007813</v>
      </c>
      <c r="E674">
        <v>19.900001525878906</v>
      </c>
      <c r="F674">
        <v>0.28652501106262207</v>
      </c>
      <c r="G674">
        <v>118.27500152587891</v>
      </c>
      <c r="H674">
        <v>0.18999999761581421</v>
      </c>
      <c r="I674">
        <v>35.950000762939453</v>
      </c>
      <c r="J674">
        <v>1357</v>
      </c>
    </row>
    <row r="675" spans="1:10" x14ac:dyDescent="0.25">
      <c r="A675">
        <v>5215</v>
      </c>
      <c r="B675" t="str">
        <v>Dynamic Portfol</v>
      </c>
      <c r="C675">
        <v>48.122100000000003</v>
      </c>
      <c r="D675">
        <v>29.136177062988281</v>
      </c>
      <c r="E675">
        <v>20.967304229736328</v>
      </c>
      <c r="F675">
        <v>0.71963101625442505</v>
      </c>
      <c r="G675">
        <v>32.080001831054688</v>
      </c>
      <c r="H675">
        <v>0.33000001311302185</v>
      </c>
      <c r="I675">
        <v>37.130001068115234</v>
      </c>
      <c r="J675">
        <v>855</v>
      </c>
    </row>
    <row r="676" spans="1:10" x14ac:dyDescent="0.25">
      <c r="A676">
        <v>1821</v>
      </c>
      <c r="B676" t="str">
        <v>Dynavision</v>
      </c>
      <c r="C676">
        <v>33.647827999999997</v>
      </c>
      <c r="D676">
        <v>176.60887145996094</v>
      </c>
      <c r="E676">
        <v>99.409698486328125</v>
      </c>
      <c r="F676">
        <v>0.5628809928894043</v>
      </c>
      <c r="G676">
        <v>257.70001220703125</v>
      </c>
      <c r="H676">
        <v>0</v>
      </c>
      <c r="I676">
        <v>98.959999084472656</v>
      </c>
      <c r="J676">
        <v>1251</v>
      </c>
    </row>
    <row r="677" spans="1:10" x14ac:dyDescent="0.25">
      <c r="A677">
        <v>26865</v>
      </c>
      <c r="B677" t="str">
        <v>Dynemic Products</v>
      </c>
      <c r="C677">
        <v>11.909694</v>
      </c>
      <c r="D677">
        <v>353.90390014648438</v>
      </c>
      <c r="E677">
        <v>136.9024658203125</v>
      </c>
      <c r="F677">
        <v>0.3868350088596344</v>
      </c>
      <c r="G677">
        <v>280.17498779296875</v>
      </c>
      <c r="H677">
        <v>0.68999999761581421</v>
      </c>
      <c r="I677">
        <v>344.45001220703125</v>
      </c>
      <c r="J677">
        <v>1358</v>
      </c>
    </row>
    <row r="678" spans="1:10" x14ac:dyDescent="0.25">
      <c r="A678">
        <v>27612</v>
      </c>
      <c r="B678" t="str">
        <v>E-Land Apparel</v>
      </c>
      <c r="C678">
        <v>30.183171000000002</v>
      </c>
      <c r="D678">
        <v>7.3192000389099121</v>
      </c>
      <c r="E678">
        <v>3.4740259647369385</v>
      </c>
      <c r="F678">
        <v>0.47464600205421448</v>
      </c>
      <c r="G678">
        <v>24.520000457763672</v>
      </c>
      <c r="H678">
        <v>0</v>
      </c>
      <c r="I678">
        <v>117.66999816894531</v>
      </c>
      <c r="J678">
        <v>1289</v>
      </c>
    </row>
    <row r="679" spans="1:10" x14ac:dyDescent="0.25">
      <c r="A679">
        <v>43666</v>
      </c>
      <c r="B679" t="str">
        <v>ECS Biztech</v>
      </c>
      <c r="C679">
        <v>14.646037</v>
      </c>
      <c r="D679">
        <v>7.5532622337341309</v>
      </c>
      <c r="E679">
        <v>3.1319780349731445</v>
      </c>
      <c r="F679">
        <v>0.41465198993682861</v>
      </c>
      <c r="G679">
        <v>8.0024995803833008</v>
      </c>
      <c r="H679">
        <v>0</v>
      </c>
      <c r="I679">
        <v>15.850000381469727</v>
      </c>
      <c r="J679">
        <v>924</v>
      </c>
    </row>
    <row r="680" spans="1:10" x14ac:dyDescent="0.25">
      <c r="A680">
        <v>1690</v>
      </c>
      <c r="B680" t="str">
        <v>EFC (I)</v>
      </c>
      <c r="C680">
        <v>78.840916000000007</v>
      </c>
      <c r="D680">
        <v>174.9051513671875</v>
      </c>
      <c r="E680">
        <v>93.466667175292969</v>
      </c>
      <c r="F680">
        <v>0.53438502550125122</v>
      </c>
      <c r="G680">
        <v>312.13751220703125</v>
      </c>
      <c r="H680">
        <v>7.0000000298023224E-2</v>
      </c>
      <c r="I680">
        <v>2988.590087890625</v>
      </c>
      <c r="J680">
        <v>671</v>
      </c>
    </row>
    <row r="681" spans="1:10" x14ac:dyDescent="0.25">
      <c r="A681">
        <v>148</v>
      </c>
      <c r="B681" t="str">
        <v>EID Parry</v>
      </c>
      <c r="C681">
        <v>29.151776000000002</v>
      </c>
      <c r="D681">
        <v>511.93994140625</v>
      </c>
      <c r="E681">
        <v>194.94187927246094</v>
      </c>
      <c r="F681">
        <v>0.38078999519348145</v>
      </c>
      <c r="G681">
        <v>962.95001220703125</v>
      </c>
      <c r="H681">
        <v>0.2800000011920929</v>
      </c>
      <c r="I681">
        <v>16991.16015625</v>
      </c>
      <c r="J681">
        <v>1359</v>
      </c>
    </row>
    <row r="682" spans="1:10" x14ac:dyDescent="0.25">
      <c r="A682">
        <v>150</v>
      </c>
      <c r="B682" t="str">
        <v>EIH</v>
      </c>
      <c r="C682">
        <v>17.063371</v>
      </c>
      <c r="D682">
        <v>207.25140380859375</v>
      </c>
      <c r="E682">
        <v>122.38285064697266</v>
      </c>
      <c r="F682">
        <v>0.590503990650177</v>
      </c>
      <c r="G682">
        <v>351.58749389648438</v>
      </c>
      <c r="H682">
        <v>5.9999998658895493E-2</v>
      </c>
      <c r="I682">
        <v>21687.630859375</v>
      </c>
      <c r="J682">
        <v>1359</v>
      </c>
    </row>
    <row r="683" spans="1:10" x14ac:dyDescent="0.25">
      <c r="A683">
        <v>1095</v>
      </c>
      <c r="B683" t="str">
        <v>EIH Assoc.Hotels</v>
      </c>
      <c r="C683">
        <v>16.388669</v>
      </c>
      <c r="D683">
        <v>235.40391540527344</v>
      </c>
      <c r="E683">
        <v>100.90018463134766</v>
      </c>
      <c r="F683">
        <v>0.42862600088119507</v>
      </c>
      <c r="G683">
        <v>370.8125</v>
      </c>
      <c r="H683">
        <v>9.9999997764825821E-3</v>
      </c>
      <c r="I683">
        <v>2247.639892578125</v>
      </c>
      <c r="J683">
        <v>1348</v>
      </c>
    </row>
    <row r="684" spans="1:10" x14ac:dyDescent="0.25">
      <c r="A684">
        <v>884</v>
      </c>
      <c r="B684" t="str">
        <v>EMA India</v>
      </c>
      <c r="C684">
        <v>67.305098999999998</v>
      </c>
      <c r="D684">
        <v>37.456329345703125</v>
      </c>
      <c r="E684">
        <v>39.116004943847656</v>
      </c>
      <c r="F684">
        <v>1.0443099737167358</v>
      </c>
      <c r="G684">
        <v>105.0625</v>
      </c>
      <c r="H684">
        <v>0</v>
      </c>
      <c r="I684">
        <v>10.859999656677246</v>
      </c>
      <c r="J684">
        <v>786</v>
      </c>
    </row>
    <row r="685" spans="1:10" x14ac:dyDescent="0.25">
      <c r="A685">
        <v>164</v>
      </c>
      <c r="B685" t="str">
        <v>EPL Ltd</v>
      </c>
      <c r="C685">
        <v>5.0861700000000001</v>
      </c>
      <c r="D685">
        <v>206.50331115722656</v>
      </c>
      <c r="E685">
        <v>36.703079223632813</v>
      </c>
      <c r="F685">
        <v>0.17773599922657013</v>
      </c>
      <c r="G685">
        <v>235.01249694824219</v>
      </c>
      <c r="H685">
        <v>0.23999999463558197</v>
      </c>
      <c r="I685">
        <v>7383.919921875</v>
      </c>
      <c r="J685">
        <v>1359</v>
      </c>
    </row>
    <row r="686" spans="1:10" x14ac:dyDescent="0.25">
      <c r="A686">
        <v>66197</v>
      </c>
      <c r="B686" t="str">
        <v>ERIS Lifescience</v>
      </c>
      <c r="C686">
        <v>24.062037</v>
      </c>
      <c r="D686">
        <v>796.59326171875</v>
      </c>
      <c r="E686">
        <v>289.99716186523438</v>
      </c>
      <c r="F686">
        <v>0.36404699087142944</v>
      </c>
      <c r="G686">
        <v>1749.0999755859375</v>
      </c>
      <c r="H686">
        <v>0.60000002384185791</v>
      </c>
      <c r="I686">
        <v>23633.640625</v>
      </c>
      <c r="J686">
        <v>1359</v>
      </c>
    </row>
    <row r="687" spans="1:10" x14ac:dyDescent="0.25">
      <c r="A687">
        <v>5180</v>
      </c>
      <c r="B687" t="str">
        <v>ERP Soft Systems</v>
      </c>
      <c r="C687">
        <v>9.9597160000000002</v>
      </c>
      <c r="D687">
        <v>101.83458709716797</v>
      </c>
      <c r="E687">
        <v>38.558311462402344</v>
      </c>
      <c r="F687">
        <v>0.37863698601722717</v>
      </c>
      <c r="G687">
        <v>127</v>
      </c>
      <c r="H687">
        <v>0</v>
      </c>
      <c r="I687">
        <v>50.290000915527344</v>
      </c>
      <c r="J687">
        <v>631</v>
      </c>
    </row>
    <row r="688" spans="1:10" x14ac:dyDescent="0.25">
      <c r="A688">
        <v>2794</v>
      </c>
      <c r="B688" t="str">
        <v>ESI</v>
      </c>
      <c r="C688">
        <v>15.22424</v>
      </c>
      <c r="D688">
        <v>3.4035160541534424</v>
      </c>
      <c r="E688">
        <v>2.2705960273742676</v>
      </c>
      <c r="F688">
        <v>0.66713201999664307</v>
      </c>
      <c r="G688">
        <v>2.130000114440918</v>
      </c>
      <c r="H688">
        <v>0</v>
      </c>
      <c r="I688">
        <v>16.819999694824219</v>
      </c>
      <c r="J688">
        <v>888</v>
      </c>
    </row>
    <row r="689" spans="1:10" x14ac:dyDescent="0.25">
      <c r="A689">
        <v>2937</v>
      </c>
      <c r="B689" t="str">
        <v>East India Drums</v>
      </c>
      <c r="C689">
        <v>121.384711</v>
      </c>
      <c r="D689">
        <v>3.575951099395752</v>
      </c>
      <c r="E689">
        <v>9.5020627975463867</v>
      </c>
      <c r="F689">
        <v>2.6572120189666748</v>
      </c>
      <c r="G689">
        <v>71.620002746582031</v>
      </c>
      <c r="H689">
        <v>0</v>
      </c>
      <c r="I689">
        <v>105.80999755859375</v>
      </c>
      <c r="J689">
        <v>544</v>
      </c>
    </row>
    <row r="690" spans="1:10" x14ac:dyDescent="0.25">
      <c r="A690">
        <v>6352</v>
      </c>
      <c r="B690" t="str">
        <v>Eastern Treads</v>
      </c>
      <c r="C690">
        <v>4.5214540000000003</v>
      </c>
      <c r="D690">
        <v>38.142776489257813</v>
      </c>
      <c r="E690">
        <v>8.5781478881835938</v>
      </c>
      <c r="F690">
        <v>0.22489599883556366</v>
      </c>
      <c r="G690">
        <v>34.529998779296875</v>
      </c>
      <c r="H690">
        <v>0</v>
      </c>
      <c r="I690">
        <v>18.049999237060547</v>
      </c>
      <c r="J690">
        <v>1326</v>
      </c>
    </row>
    <row r="691" spans="1:10" x14ac:dyDescent="0.25">
      <c r="A691">
        <v>5853</v>
      </c>
      <c r="B691" t="str">
        <v>Eco Recyc.</v>
      </c>
      <c r="C691">
        <v>56.441285000000001</v>
      </c>
      <c r="D691">
        <v>263.35147094726563</v>
      </c>
      <c r="E691">
        <v>290.1785888671875</v>
      </c>
      <c r="F691">
        <v>1.1018680334091187</v>
      </c>
      <c r="G691">
        <v>579.76251220703125</v>
      </c>
      <c r="H691">
        <v>5.9999998658895493E-2</v>
      </c>
      <c r="I691">
        <v>1119.02001953125</v>
      </c>
      <c r="J691">
        <v>1356</v>
      </c>
    </row>
    <row r="692" spans="1:10" x14ac:dyDescent="0.25">
      <c r="A692">
        <v>6347</v>
      </c>
      <c r="B692" t="str">
        <v>Ecofinity Ato</v>
      </c>
      <c r="C692">
        <v>10.608162999999999</v>
      </c>
      <c r="D692">
        <v>24.977027893066406</v>
      </c>
      <c r="E692">
        <v>16.479822158813477</v>
      </c>
      <c r="F692">
        <v>0.65979897975921631</v>
      </c>
      <c r="G692">
        <v>43.977500915527344</v>
      </c>
      <c r="H692">
        <v>0</v>
      </c>
      <c r="I692">
        <v>30.360000610351563</v>
      </c>
      <c r="J692">
        <v>635</v>
      </c>
    </row>
    <row r="693" spans="1:10" x14ac:dyDescent="0.25">
      <c r="A693">
        <v>26112</v>
      </c>
      <c r="B693" t="str">
        <v>Econo Trade Indi</v>
      </c>
      <c r="C693">
        <v>3.0333039999999998</v>
      </c>
      <c r="D693">
        <v>7.3256678581237793</v>
      </c>
      <c r="E693">
        <v>2.0754170417785645</v>
      </c>
      <c r="F693">
        <v>0.2833079993724823</v>
      </c>
      <c r="G693">
        <v>9.3675003051757813</v>
      </c>
      <c r="H693">
        <v>0.62000000476837158</v>
      </c>
      <c r="I693">
        <v>17.030000686645508</v>
      </c>
      <c r="J693">
        <v>1260</v>
      </c>
    </row>
    <row r="694" spans="1:10" x14ac:dyDescent="0.25">
      <c r="A694">
        <v>4465</v>
      </c>
      <c r="B694" t="str">
        <v>Ecoplast</v>
      </c>
      <c r="C694">
        <v>35.096648999999999</v>
      </c>
      <c r="D694">
        <v>213.19630432128906</v>
      </c>
      <c r="E694">
        <v>197.57792663574219</v>
      </c>
      <c r="F694">
        <v>0.92674201726913452</v>
      </c>
      <c r="G694">
        <v>567.9749755859375</v>
      </c>
      <c r="H694">
        <v>2.9999999329447746E-2</v>
      </c>
      <c r="I694">
        <v>193.53999328613281</v>
      </c>
      <c r="J694">
        <v>1291</v>
      </c>
    </row>
    <row r="695" spans="1:10" x14ac:dyDescent="0.25">
      <c r="A695">
        <v>28229</v>
      </c>
      <c r="B695" t="str">
        <v>Edelweiss.Fin.</v>
      </c>
      <c r="C695">
        <v>10.915374999999999</v>
      </c>
      <c r="D695">
        <v>52.961074829101563</v>
      </c>
      <c r="E695">
        <v>28.194448471069336</v>
      </c>
      <c r="F695">
        <v>0.53236198425292969</v>
      </c>
      <c r="G695">
        <v>104.96250152587891</v>
      </c>
      <c r="H695">
        <v>0.43999999761581421</v>
      </c>
      <c r="I695">
        <v>9770.669921875</v>
      </c>
      <c r="J695">
        <v>1359</v>
      </c>
    </row>
    <row r="696" spans="1:10" x14ac:dyDescent="0.25">
      <c r="A696">
        <v>26839</v>
      </c>
      <c r="B696" t="str">
        <v>Educomp Sol.</v>
      </c>
      <c r="C696">
        <v>13.366417999999999</v>
      </c>
      <c r="D696">
        <v>3.0621318817138672</v>
      </c>
      <c r="E696">
        <v>1.1627720594406128</v>
      </c>
      <c r="F696">
        <v>0.37972599267959595</v>
      </c>
      <c r="G696">
        <v>2.0150001049041748</v>
      </c>
      <c r="H696">
        <v>0</v>
      </c>
      <c r="I696">
        <v>24.620000839233398</v>
      </c>
      <c r="J696">
        <v>1048</v>
      </c>
    </row>
    <row r="697" spans="1:10" x14ac:dyDescent="0.25">
      <c r="A697">
        <v>6602</v>
      </c>
      <c r="B697" t="str">
        <v>Edvenswa Enter</v>
      </c>
      <c r="C697">
        <v>31.459548999999999</v>
      </c>
      <c r="D697">
        <v>45.639991760253906</v>
      </c>
      <c r="E697">
        <v>18.632373809814453</v>
      </c>
      <c r="F697">
        <v>0.40824699401855469</v>
      </c>
      <c r="G697">
        <v>42.534999847412109</v>
      </c>
      <c r="H697">
        <v>0</v>
      </c>
      <c r="I697">
        <v>122.52999877929688</v>
      </c>
      <c r="J697">
        <v>869</v>
      </c>
    </row>
    <row r="698" spans="1:10" x14ac:dyDescent="0.25">
      <c r="A698">
        <v>151</v>
      </c>
      <c r="B698" t="str">
        <v>Eicher Motors</v>
      </c>
      <c r="C698">
        <v>16.730149999999998</v>
      </c>
      <c r="D698">
        <v>3289.772705078125</v>
      </c>
      <c r="E698">
        <v>1067.7435302734375</v>
      </c>
      <c r="F698">
        <v>0.32456499338150024</v>
      </c>
      <c r="G698">
        <v>5455.349609375</v>
      </c>
      <c r="H698">
        <v>9.9999997764825821E-3</v>
      </c>
      <c r="I698">
        <v>150716.6875</v>
      </c>
      <c r="J698">
        <v>1359</v>
      </c>
    </row>
    <row r="699" spans="1:10" x14ac:dyDescent="0.25">
      <c r="A699">
        <v>67979</v>
      </c>
      <c r="B699" t="str">
        <v>Eiko Lifescience</v>
      </c>
      <c r="C699">
        <v>25.253582000000002</v>
      </c>
      <c r="D699">
        <v>52.599857330322266</v>
      </c>
      <c r="E699">
        <v>15.44032096862793</v>
      </c>
      <c r="F699">
        <v>0.2935430109500885</v>
      </c>
      <c r="G699">
        <v>50.134998321533203</v>
      </c>
      <c r="H699">
        <v>0</v>
      </c>
      <c r="I699">
        <v>67.919998168945313</v>
      </c>
      <c r="J699">
        <v>1144</v>
      </c>
    </row>
    <row r="700" spans="1:10" x14ac:dyDescent="0.25">
      <c r="A700">
        <v>2747</v>
      </c>
      <c r="B700" t="str">
        <v>Eimco Elecon(I)</v>
      </c>
      <c r="C700">
        <v>39.570348000000003</v>
      </c>
      <c r="D700">
        <v>919.2783203125</v>
      </c>
      <c r="E700">
        <v>832.77166748046875</v>
      </c>
      <c r="F700">
        <v>0.90589702129364014</v>
      </c>
      <c r="G700">
        <v>2356.0751953125</v>
      </c>
      <c r="H700">
        <v>0</v>
      </c>
      <c r="I700">
        <v>1346.050048828125</v>
      </c>
      <c r="J700">
        <v>1332</v>
      </c>
    </row>
    <row r="701" spans="1:10" x14ac:dyDescent="0.25">
      <c r="A701">
        <v>7837</v>
      </c>
      <c r="B701" t="str">
        <v>Elango Industrie</v>
      </c>
      <c r="C701">
        <v>20.801238000000001</v>
      </c>
      <c r="D701">
        <v>9.1890144348144531</v>
      </c>
      <c r="E701">
        <v>3.3195939064025879</v>
      </c>
      <c r="F701">
        <v>0.36125698685646057</v>
      </c>
      <c r="G701">
        <v>10.814999580383301</v>
      </c>
      <c r="H701">
        <v>0</v>
      </c>
      <c r="I701">
        <v>4.130000114440918</v>
      </c>
      <c r="J701">
        <v>1025</v>
      </c>
    </row>
    <row r="702" spans="1:10" x14ac:dyDescent="0.25">
      <c r="A702">
        <v>1231</v>
      </c>
      <c r="B702" t="str">
        <v>Elantas Beck</v>
      </c>
      <c r="C702">
        <v>27.829279</v>
      </c>
      <c r="D702">
        <v>5845.50927734375</v>
      </c>
      <c r="E702">
        <v>3376.14697265625</v>
      </c>
      <c r="F702">
        <v>0.57756197452545166</v>
      </c>
      <c r="G702">
        <v>10882.3125</v>
      </c>
      <c r="H702">
        <v>0</v>
      </c>
      <c r="I702">
        <v>8618.0595703125</v>
      </c>
      <c r="J702">
        <v>1359</v>
      </c>
    </row>
    <row r="703" spans="1:10" x14ac:dyDescent="0.25">
      <c r="A703">
        <v>1505</v>
      </c>
      <c r="B703" t="str">
        <v>Elcid Investment</v>
      </c>
      <c r="C703">
        <v>223.72393600000001</v>
      </c>
      <c r="D703">
        <v>139491.40625</v>
      </c>
      <c r="E703">
        <v>74213.0234375</v>
      </c>
      <c r="F703">
        <v>0.53202599287033081</v>
      </c>
      <c r="G703">
        <v>127986.3515625</v>
      </c>
      <c r="H703">
        <v>0</v>
      </c>
      <c r="I703">
        <v>2542.909912109375</v>
      </c>
      <c r="J703">
        <v>187</v>
      </c>
    </row>
    <row r="704" spans="1:10" x14ac:dyDescent="0.25">
      <c r="A704">
        <v>2097</v>
      </c>
      <c r="B704" t="str">
        <v>Eldeco Housing</v>
      </c>
      <c r="C704">
        <v>18.989281999999999</v>
      </c>
      <c r="D704">
        <v>609.0955810546875</v>
      </c>
      <c r="E704">
        <v>239.92190551757813</v>
      </c>
      <c r="F704">
        <v>0.39389899373054504</v>
      </c>
      <c r="G704">
        <v>794.32501220703125</v>
      </c>
      <c r="H704">
        <v>7.0000000298023224E-2</v>
      </c>
      <c r="I704">
        <v>774.84002685546875</v>
      </c>
      <c r="J704">
        <v>1334</v>
      </c>
    </row>
    <row r="705" spans="1:10" x14ac:dyDescent="0.25">
      <c r="A705">
        <v>152</v>
      </c>
      <c r="B705" t="str">
        <v>Elecon Engg.Co</v>
      </c>
      <c r="C705">
        <v>70.223706000000007</v>
      </c>
      <c r="D705">
        <v>249.21839904785156</v>
      </c>
      <c r="E705">
        <v>225.95353698730469</v>
      </c>
      <c r="F705">
        <v>0.90664899349212646</v>
      </c>
      <c r="G705">
        <v>635.5875244140625</v>
      </c>
      <c r="H705">
        <v>5.9999998658895493E-2</v>
      </c>
      <c r="I705">
        <v>14193.2998046875</v>
      </c>
      <c r="J705">
        <v>1359</v>
      </c>
    </row>
    <row r="706" spans="1:10" x14ac:dyDescent="0.25">
      <c r="A706">
        <v>154</v>
      </c>
      <c r="B706" t="str">
        <v>Electrost.Cast.</v>
      </c>
      <c r="C706">
        <v>44.311850999999997</v>
      </c>
      <c r="D706">
        <v>68.495391845703125</v>
      </c>
      <c r="E706">
        <v>59.507991790771484</v>
      </c>
      <c r="F706">
        <v>0.86878800392150879</v>
      </c>
      <c r="G706">
        <v>124.51249694824219</v>
      </c>
      <c r="H706">
        <v>0.47999998927116394</v>
      </c>
      <c r="I706">
        <v>7566.580078125</v>
      </c>
      <c r="J706">
        <v>1359</v>
      </c>
    </row>
    <row r="707" spans="1:10" x14ac:dyDescent="0.25">
      <c r="A707">
        <v>4169</v>
      </c>
      <c r="B707" t="str">
        <v>Electrotherm(I)</v>
      </c>
      <c r="C707">
        <v>42.828738999999999</v>
      </c>
      <c r="D707">
        <v>305.90521240234375</v>
      </c>
      <c r="E707">
        <v>350.2965087890625</v>
      </c>
      <c r="F707">
        <v>1.1451139450073242</v>
      </c>
      <c r="G707">
        <v>1155.762451171875</v>
      </c>
      <c r="H707">
        <v>0</v>
      </c>
      <c r="I707">
        <v>1476.18994140625</v>
      </c>
      <c r="J707">
        <v>1355</v>
      </c>
    </row>
    <row r="708" spans="1:10" x14ac:dyDescent="0.25">
      <c r="A708">
        <v>4468</v>
      </c>
      <c r="B708" t="str">
        <v>Elegant Marbles</v>
      </c>
      <c r="C708">
        <v>21.203417999999999</v>
      </c>
      <c r="D708">
        <v>170.2589111328125</v>
      </c>
      <c r="E708">
        <v>78.403945922851563</v>
      </c>
      <c r="F708">
        <v>0.46049800515174866</v>
      </c>
      <c r="G708">
        <v>255.80000305175781</v>
      </c>
      <c r="H708">
        <v>0</v>
      </c>
      <c r="I708">
        <v>91.279998779296875</v>
      </c>
      <c r="J708">
        <v>1153</v>
      </c>
    </row>
    <row r="709" spans="1:10" x14ac:dyDescent="0.25">
      <c r="A709">
        <v>155</v>
      </c>
      <c r="B709" t="str">
        <v>Elgi Equipments</v>
      </c>
      <c r="C709">
        <v>26.358388999999999</v>
      </c>
      <c r="D709">
        <v>379.3067626953125</v>
      </c>
      <c r="E709">
        <v>195.87345886230469</v>
      </c>
      <c r="F709">
        <v>0.51639902591705322</v>
      </c>
      <c r="G709">
        <v>523.125</v>
      </c>
      <c r="H709">
        <v>7.9999998211860657E-2</v>
      </c>
      <c r="I709">
        <v>16587.01953125</v>
      </c>
      <c r="J709">
        <v>1359</v>
      </c>
    </row>
    <row r="710" spans="1:10" x14ac:dyDescent="0.25">
      <c r="A710">
        <v>6188</v>
      </c>
      <c r="B710" t="str">
        <v>Elixir Capital</v>
      </c>
      <c r="C710">
        <v>24.315161</v>
      </c>
      <c r="D710">
        <v>68.247100830078125</v>
      </c>
      <c r="E710">
        <v>56.906181335449219</v>
      </c>
      <c r="F710">
        <v>0.83382600545883179</v>
      </c>
      <c r="G710">
        <v>109.46250152587891</v>
      </c>
      <c r="H710">
        <v>0</v>
      </c>
      <c r="I710">
        <v>65.610000610351563</v>
      </c>
      <c r="J710">
        <v>1330</v>
      </c>
    </row>
    <row r="711" spans="1:10" x14ac:dyDescent="0.25">
      <c r="A711">
        <v>5908</v>
      </c>
      <c r="B711" t="str">
        <v>Elnet Technolog</v>
      </c>
      <c r="C711">
        <v>20.644295</v>
      </c>
      <c r="D711">
        <v>216.09513854980469</v>
      </c>
      <c r="E711">
        <v>99.558235168457031</v>
      </c>
      <c r="F711">
        <v>0.46071499586105347</v>
      </c>
      <c r="G711">
        <v>337.96249389648438</v>
      </c>
      <c r="H711">
        <v>2.9999999329447746E-2</v>
      </c>
      <c r="I711">
        <v>135.19999694824219</v>
      </c>
      <c r="J711">
        <v>1353</v>
      </c>
    </row>
    <row r="712" spans="1:10" x14ac:dyDescent="0.25">
      <c r="A712">
        <v>156</v>
      </c>
      <c r="B712" t="str">
        <v>Elpro Internatio</v>
      </c>
      <c r="C712">
        <v>14.745676</v>
      </c>
      <c r="D712">
        <v>67.531410217285156</v>
      </c>
      <c r="E712">
        <v>23.450565338134766</v>
      </c>
      <c r="F712">
        <v>0.34725400805473328</v>
      </c>
      <c r="G712">
        <v>96.285003662109375</v>
      </c>
      <c r="H712">
        <v>0.18000000715255737</v>
      </c>
      <c r="I712">
        <v>1646.489990234375</v>
      </c>
      <c r="J712">
        <v>1358</v>
      </c>
    </row>
    <row r="713" spans="1:10" x14ac:dyDescent="0.25">
      <c r="A713">
        <v>6423</v>
      </c>
      <c r="B713" t="str">
        <v>Emami</v>
      </c>
      <c r="C713">
        <v>11.039769</v>
      </c>
      <c r="D713">
        <v>480.38333129882813</v>
      </c>
      <c r="E713">
        <v>132.22613525390625</v>
      </c>
      <c r="F713">
        <v>0.27525100111961365</v>
      </c>
      <c r="G713">
        <v>566.95001220703125</v>
      </c>
      <c r="H713">
        <v>9.9999997764825821E-3</v>
      </c>
      <c r="I713">
        <v>24557.490234375</v>
      </c>
      <c r="J713">
        <v>1359</v>
      </c>
    </row>
    <row r="714" spans="1:10" x14ac:dyDescent="0.25">
      <c r="A714">
        <v>15840</v>
      </c>
      <c r="B714" t="str">
        <v>Emami Paper</v>
      </c>
      <c r="C714">
        <v>4.22173</v>
      </c>
      <c r="D714">
        <v>123.18031311035156</v>
      </c>
      <c r="E714">
        <v>31.672599792480469</v>
      </c>
      <c r="F714">
        <v>0.25712400674819946</v>
      </c>
      <c r="G714">
        <v>93.114997863769531</v>
      </c>
      <c r="H714">
        <v>0.99000000953674316</v>
      </c>
      <c r="I714">
        <v>561.08001708984375</v>
      </c>
      <c r="J714">
        <v>1354</v>
      </c>
    </row>
    <row r="715" spans="1:10" x14ac:dyDescent="0.25">
      <c r="A715">
        <v>27800</v>
      </c>
      <c r="B715" t="str">
        <v>Embassy Develop</v>
      </c>
      <c r="C715">
        <v>9.4457120000000003</v>
      </c>
      <c r="D715">
        <v>96.593505859375</v>
      </c>
      <c r="E715">
        <v>34.183544158935547</v>
      </c>
      <c r="F715">
        <v>0.35389098525047302</v>
      </c>
      <c r="G715">
        <v>115.47499847412109</v>
      </c>
      <c r="H715">
        <v>5.000000074505806E-2</v>
      </c>
      <c r="I715">
        <v>15673.1103515625</v>
      </c>
      <c r="J715">
        <v>1359</v>
      </c>
    </row>
    <row r="716" spans="1:10" x14ac:dyDescent="0.25">
      <c r="A716">
        <v>74023</v>
      </c>
      <c r="B716" t="str">
        <v>Embassy Off.REIT</v>
      </c>
      <c r="C716">
        <v>-1.688428</v>
      </c>
      <c r="D716">
        <v>354.06790161132813</v>
      </c>
      <c r="E716">
        <v>29.42237663269043</v>
      </c>
      <c r="F716">
        <v>8.3098001778125763E-2</v>
      </c>
      <c r="G716">
        <v>391.41751098632813</v>
      </c>
      <c r="H716">
        <v>0.37000000476837158</v>
      </c>
      <c r="I716">
        <v>37050.3203125</v>
      </c>
      <c r="J716">
        <v>1359</v>
      </c>
    </row>
    <row r="717" spans="1:10" x14ac:dyDescent="0.25">
      <c r="A717">
        <v>54835</v>
      </c>
      <c r="B717" t="str">
        <v>Emerald Finance</v>
      </c>
      <c r="C717">
        <v>44.627571000000003</v>
      </c>
      <c r="D717">
        <v>34.598377227783203</v>
      </c>
      <c r="E717">
        <v>32.818893432617188</v>
      </c>
      <c r="F717">
        <v>0.9485669732093811</v>
      </c>
      <c r="G717">
        <v>84.660003662109375</v>
      </c>
      <c r="H717">
        <v>0.23000000417232513</v>
      </c>
      <c r="I717">
        <v>291.07000732421875</v>
      </c>
      <c r="J717">
        <v>1263</v>
      </c>
    </row>
    <row r="718" spans="1:10" x14ac:dyDescent="0.25">
      <c r="A718">
        <v>6338</v>
      </c>
      <c r="B718" t="str">
        <v>Emerald Leisures</v>
      </c>
      <c r="C718">
        <v>49.830962999999997</v>
      </c>
      <c r="D718">
        <v>76.733123779296875</v>
      </c>
      <c r="E718">
        <v>70.561355590820313</v>
      </c>
      <c r="F718">
        <v>0.91956800222396851</v>
      </c>
      <c r="G718">
        <v>196.875</v>
      </c>
      <c r="H718">
        <v>0</v>
      </c>
      <c r="I718">
        <v>300.3699951171875</v>
      </c>
      <c r="J718">
        <v>773</v>
      </c>
    </row>
    <row r="719" spans="1:10" x14ac:dyDescent="0.25">
      <c r="A719">
        <v>1707</v>
      </c>
      <c r="B719" t="str">
        <v>Emergent Indust.</v>
      </c>
      <c r="C719">
        <v>29.406689</v>
      </c>
      <c r="D719">
        <v>307.71759033203125</v>
      </c>
      <c r="E719">
        <v>179.06509399414063</v>
      </c>
      <c r="F719">
        <v>0.58191400766372681</v>
      </c>
      <c r="G719">
        <v>602.70001220703125</v>
      </c>
      <c r="H719">
        <v>0</v>
      </c>
      <c r="I719">
        <v>276.20999145507813</v>
      </c>
      <c r="J719">
        <v>205</v>
      </c>
    </row>
    <row r="720" spans="1:10" x14ac:dyDescent="0.25">
      <c r="A720">
        <v>27297</v>
      </c>
      <c r="B720" t="str">
        <v>Emk.Global Fin.</v>
      </c>
      <c r="C720">
        <v>23.546113999999999</v>
      </c>
      <c r="D720">
        <v>114.53481292724609</v>
      </c>
      <c r="E720">
        <v>66.572669982910156</v>
      </c>
      <c r="F720">
        <v>0.58124399185180664</v>
      </c>
      <c r="G720">
        <v>233</v>
      </c>
      <c r="H720">
        <v>0.20999999344348907</v>
      </c>
      <c r="I720">
        <v>593.739990234375</v>
      </c>
      <c r="J720">
        <v>1329</v>
      </c>
    </row>
    <row r="721" spans="1:10" x14ac:dyDescent="0.25">
      <c r="A721">
        <v>35595</v>
      </c>
      <c r="B721" t="str">
        <v>Emmbi Industries</v>
      </c>
      <c r="C721">
        <v>0.88370300000000002</v>
      </c>
      <c r="D721">
        <v>98.406875610351563</v>
      </c>
      <c r="E721">
        <v>19.259006500244141</v>
      </c>
      <c r="F721">
        <v>0.1957080066204071</v>
      </c>
      <c r="G721">
        <v>110.02500152587891</v>
      </c>
      <c r="H721">
        <v>0.92000001668930054</v>
      </c>
      <c r="I721">
        <v>200.80999755859375</v>
      </c>
      <c r="J721">
        <v>1350</v>
      </c>
    </row>
    <row r="722" spans="1:10" x14ac:dyDescent="0.25">
      <c r="A722">
        <v>4536</v>
      </c>
      <c r="B722" t="str">
        <v>Emmessar Biotech</v>
      </c>
      <c r="C722">
        <v>20.801476000000001</v>
      </c>
      <c r="D722">
        <v>28.43303108215332</v>
      </c>
      <c r="E722">
        <v>9.7327413558959961</v>
      </c>
      <c r="F722">
        <v>0.34230399131774902</v>
      </c>
      <c r="G722">
        <v>32.657501220703125</v>
      </c>
      <c r="H722">
        <v>9.9999997764825821E-3</v>
      </c>
      <c r="I722">
        <v>16.870000839233398</v>
      </c>
      <c r="J722">
        <v>1310</v>
      </c>
    </row>
    <row r="723" spans="1:10" x14ac:dyDescent="0.25">
      <c r="A723">
        <v>7388</v>
      </c>
      <c r="B723" t="str">
        <v>Emmsons Intl.</v>
      </c>
      <c r="C723">
        <v>-20.073217</v>
      </c>
      <c r="D723">
        <v>1.6112769842147827</v>
      </c>
      <c r="E723">
        <v>0.55909401178359985</v>
      </c>
      <c r="F723">
        <v>0.34698799252510071</v>
      </c>
      <c r="G723">
        <v>2.1949999332427979</v>
      </c>
      <c r="H723">
        <v>0</v>
      </c>
      <c r="I723">
        <v>2.6400001049041748</v>
      </c>
      <c r="J723">
        <v>92</v>
      </c>
    </row>
    <row r="724" spans="1:10" x14ac:dyDescent="0.25">
      <c r="A724">
        <v>2342</v>
      </c>
      <c r="B724" t="str">
        <v>Empee Sugars</v>
      </c>
      <c r="C724">
        <v>21.63252</v>
      </c>
      <c r="D724">
        <v>0.57749998569488525</v>
      </c>
      <c r="E724">
        <v>3.5359999164938927E-3</v>
      </c>
      <c r="F724">
        <v>6.1220000497996807E-3</v>
      </c>
      <c r="G724">
        <v>0.57999998331069946</v>
      </c>
      <c r="H724">
        <v>0</v>
      </c>
      <c r="I724">
        <v>2.4300000667572021</v>
      </c>
      <c r="J724">
        <v>2</v>
      </c>
    </row>
    <row r="725" spans="1:10" x14ac:dyDescent="0.25">
      <c r="A725">
        <v>653</v>
      </c>
      <c r="B725" t="str">
        <v>Empire Inds.</v>
      </c>
      <c r="C725">
        <v>7.4511000000000003</v>
      </c>
      <c r="D725">
        <v>806.317626953125</v>
      </c>
      <c r="E725">
        <v>196.30656433105469</v>
      </c>
      <c r="F725">
        <v>0.2434609979391098</v>
      </c>
      <c r="G725">
        <v>1068.762451171875</v>
      </c>
      <c r="H725">
        <v>0.60000002384185791</v>
      </c>
      <c r="I725">
        <v>643.02001953125</v>
      </c>
      <c r="J725">
        <v>1359</v>
      </c>
    </row>
    <row r="726" spans="1:10" x14ac:dyDescent="0.25">
      <c r="A726">
        <v>7752</v>
      </c>
      <c r="B726" t="str">
        <v>Empower India</v>
      </c>
      <c r="C726">
        <v>39.725948000000002</v>
      </c>
      <c r="D726">
        <v>1.3468669652938843</v>
      </c>
      <c r="E726">
        <v>0.97308897972106934</v>
      </c>
      <c r="F726">
        <v>0.72248399257659912</v>
      </c>
      <c r="G726">
        <v>1.5075000524520874</v>
      </c>
      <c r="H726">
        <v>0</v>
      </c>
      <c r="I726">
        <v>172.24000549316406</v>
      </c>
      <c r="J726">
        <v>711</v>
      </c>
    </row>
    <row r="727" spans="1:10" x14ac:dyDescent="0.25">
      <c r="A727">
        <v>5934</v>
      </c>
      <c r="B727" t="str">
        <v>Encode Packaging</v>
      </c>
      <c r="C727">
        <v>-3.13483</v>
      </c>
      <c r="D727">
        <v>13.516608238220215</v>
      </c>
      <c r="E727">
        <v>5.5559840202331543</v>
      </c>
      <c r="F727">
        <v>0.4110490083694458</v>
      </c>
      <c r="G727">
        <v>13.185000419616699</v>
      </c>
      <c r="H727">
        <v>2.9999999329447746E-2</v>
      </c>
      <c r="I727">
        <v>4.0900001525878906</v>
      </c>
      <c r="J727">
        <v>1096</v>
      </c>
    </row>
    <row r="728" spans="1:10" x14ac:dyDescent="0.25">
      <c r="A728">
        <v>40457</v>
      </c>
      <c r="B728" t="str">
        <v>Endurance Tech.</v>
      </c>
      <c r="C728">
        <v>15.142825</v>
      </c>
      <c r="D728">
        <v>1574.8509521484375</v>
      </c>
      <c r="E728">
        <v>468.71038818359375</v>
      </c>
      <c r="F728">
        <v>0.29762199521064758</v>
      </c>
      <c r="G728">
        <v>2432.199951171875</v>
      </c>
      <c r="H728">
        <v>9.9999997764825821E-3</v>
      </c>
      <c r="I728">
        <v>34090.33984375</v>
      </c>
      <c r="J728">
        <v>1359</v>
      </c>
    </row>
    <row r="729" spans="1:10" x14ac:dyDescent="0.25">
      <c r="A729">
        <v>15639</v>
      </c>
      <c r="B729" t="str">
        <v>Energy Devl.Co.</v>
      </c>
      <c r="C729">
        <v>23.620936</v>
      </c>
      <c r="D729">
        <v>16.946140289306641</v>
      </c>
      <c r="E729">
        <v>7.4336352348327637</v>
      </c>
      <c r="F729">
        <v>0.43866199254989624</v>
      </c>
      <c r="G729">
        <v>21.780000686645508</v>
      </c>
      <c r="H729">
        <v>0.15999999642372131</v>
      </c>
      <c r="I729">
        <v>100.94000244140625</v>
      </c>
      <c r="J729">
        <v>1353</v>
      </c>
    </row>
    <row r="730" spans="1:10" x14ac:dyDescent="0.25">
      <c r="A730">
        <v>12029</v>
      </c>
      <c r="B730" t="str">
        <v>Engineers India</v>
      </c>
      <c r="C730">
        <v>14.711460000000001</v>
      </c>
      <c r="D730">
        <v>116.65790557861328</v>
      </c>
      <c r="E730">
        <v>61.971542358398438</v>
      </c>
      <c r="F730">
        <v>0.53122502565383911</v>
      </c>
      <c r="G730">
        <v>218.53750610351563</v>
      </c>
      <c r="H730">
        <v>9.9999997764825821E-3</v>
      </c>
      <c r="I730">
        <v>12069.8603515625</v>
      </c>
      <c r="J730">
        <v>1359</v>
      </c>
    </row>
    <row r="731" spans="1:10" x14ac:dyDescent="0.25">
      <c r="A731">
        <v>37926</v>
      </c>
      <c r="B731" t="str">
        <v>Enkei Wheels</v>
      </c>
      <c r="C731">
        <v>10.022080000000001</v>
      </c>
      <c r="D731">
        <v>447.661865234375</v>
      </c>
      <c r="E731">
        <v>150.23429870605469</v>
      </c>
      <c r="F731">
        <v>0.33559799194335938</v>
      </c>
      <c r="G731">
        <v>518.75</v>
      </c>
      <c r="H731">
        <v>0.80000001192092896</v>
      </c>
      <c r="I731">
        <v>934.69000244140625</v>
      </c>
      <c r="J731">
        <v>1358</v>
      </c>
    </row>
    <row r="732" spans="1:10" x14ac:dyDescent="0.25">
      <c r="A732">
        <v>25537</v>
      </c>
      <c r="B732" t="str">
        <v>Ent.Network</v>
      </c>
      <c r="C732">
        <v>-10.403864</v>
      </c>
      <c r="D732">
        <v>177.62934875488281</v>
      </c>
      <c r="E732">
        <v>41.412067413330078</v>
      </c>
      <c r="F732">
        <v>0.23313799500465393</v>
      </c>
      <c r="G732">
        <v>142.77499389648438</v>
      </c>
      <c r="H732">
        <v>0.27000001072883606</v>
      </c>
      <c r="I732">
        <v>661.19000244140625</v>
      </c>
      <c r="J732">
        <v>1348</v>
      </c>
    </row>
    <row r="733" spans="1:10" x14ac:dyDescent="0.25">
      <c r="A733">
        <v>4091</v>
      </c>
      <c r="B733" t="str">
        <v>Enterprise Intl.</v>
      </c>
      <c r="C733">
        <v>33.980829</v>
      </c>
      <c r="D733">
        <v>19.818906784057617</v>
      </c>
      <c r="E733">
        <v>8.0470151901245117</v>
      </c>
      <c r="F733">
        <v>0.40602698922157288</v>
      </c>
      <c r="G733">
        <v>28.360000610351563</v>
      </c>
      <c r="H733">
        <v>0</v>
      </c>
      <c r="I733">
        <v>8.0500001907348633</v>
      </c>
      <c r="J733">
        <v>1142</v>
      </c>
    </row>
    <row r="734" spans="1:10" x14ac:dyDescent="0.25">
      <c r="A734">
        <v>3521</v>
      </c>
      <c r="B734" t="str">
        <v>Envair Electrody</v>
      </c>
      <c r="C734">
        <v>22.475061</v>
      </c>
      <c r="D734">
        <v>85.709053039550781</v>
      </c>
      <c r="E734">
        <v>67.694053649902344</v>
      </c>
      <c r="F734">
        <v>0.78981202840805054</v>
      </c>
      <c r="G734">
        <v>96.974998474121094</v>
      </c>
      <c r="H734">
        <v>0</v>
      </c>
      <c r="I734">
        <v>41.759998321533203</v>
      </c>
      <c r="J734">
        <v>1159</v>
      </c>
    </row>
    <row r="735" spans="1:10" x14ac:dyDescent="0.25">
      <c r="A735">
        <v>14192</v>
      </c>
      <c r="B735" t="str">
        <v>Eon Elect.</v>
      </c>
      <c r="C735">
        <v>-73.076660000000004</v>
      </c>
      <c r="D735">
        <v>10.452327728271484</v>
      </c>
      <c r="E735">
        <v>3.4794731140136719</v>
      </c>
      <c r="F735">
        <v>0.33289000391960144</v>
      </c>
      <c r="G735">
        <v>7.002500057220459</v>
      </c>
      <c r="H735">
        <v>0.6600000262260437</v>
      </c>
      <c r="I735">
        <v>11.779999732971191</v>
      </c>
      <c r="J735">
        <v>87</v>
      </c>
    </row>
    <row r="736" spans="1:10" x14ac:dyDescent="0.25">
      <c r="A736">
        <v>5008</v>
      </c>
      <c r="B736" t="str">
        <v>Epic Energy</v>
      </c>
      <c r="C736">
        <v>39.608750000000001</v>
      </c>
      <c r="D736">
        <v>19.026403427124023</v>
      </c>
      <c r="E736">
        <v>27.849130630493164</v>
      </c>
      <c r="F736">
        <v>1.4637099504470825</v>
      </c>
      <c r="G736">
        <v>59.5</v>
      </c>
      <c r="H736">
        <v>0</v>
      </c>
      <c r="I736">
        <v>41.540000915527344</v>
      </c>
      <c r="J736">
        <v>1122</v>
      </c>
    </row>
    <row r="737" spans="1:10" x14ac:dyDescent="0.25">
      <c r="A737">
        <v>5576</v>
      </c>
      <c r="B737" t="str">
        <v>Epsom Properties</v>
      </c>
      <c r="C737">
        <v>7.9659750000000003</v>
      </c>
      <c r="D737">
        <v>6.1837859153747559</v>
      </c>
      <c r="E737">
        <v>1.9279930591583252</v>
      </c>
      <c r="F737">
        <v>0.31178200244903564</v>
      </c>
      <c r="G737">
        <v>9.0799999237060547</v>
      </c>
      <c r="H737">
        <v>0</v>
      </c>
      <c r="I737">
        <v>6.7699999809265137</v>
      </c>
      <c r="J737">
        <v>884</v>
      </c>
    </row>
    <row r="738" spans="1:10" x14ac:dyDescent="0.25">
      <c r="A738">
        <v>7474</v>
      </c>
      <c r="B738" t="str">
        <v>Epuja Spiritech</v>
      </c>
      <c r="C738">
        <v>-20.874433</v>
      </c>
      <c r="D738">
        <v>4.9782991409301758</v>
      </c>
      <c r="E738">
        <v>2.5345580577850342</v>
      </c>
      <c r="F738">
        <v>0.50912100076675415</v>
      </c>
      <c r="G738">
        <v>3.5950000286102295</v>
      </c>
      <c r="H738">
        <v>9.0000003576278687E-2</v>
      </c>
      <c r="I738">
        <v>28.200000762939453</v>
      </c>
      <c r="J738">
        <v>1208</v>
      </c>
    </row>
    <row r="739" spans="1:10" x14ac:dyDescent="0.25">
      <c r="A739">
        <v>24642</v>
      </c>
      <c r="B739" t="str">
        <v>Equippp Social</v>
      </c>
      <c r="C739">
        <v>86.790692000000007</v>
      </c>
      <c r="D739">
        <v>37.898521423339844</v>
      </c>
      <c r="E739">
        <v>30.709333419799805</v>
      </c>
      <c r="F739">
        <v>0.81030398607254028</v>
      </c>
      <c r="G739">
        <v>19.850000381469727</v>
      </c>
      <c r="H739">
        <v>0.23000000417232513</v>
      </c>
      <c r="I739">
        <v>202.07000732421875</v>
      </c>
      <c r="J739">
        <v>995</v>
      </c>
    </row>
    <row r="740" spans="1:10" x14ac:dyDescent="0.25">
      <c r="A740">
        <v>34697</v>
      </c>
      <c r="B740" t="str">
        <v>Equitas Holdings</v>
      </c>
      <c r="C740">
        <v>3.8413599999999999</v>
      </c>
      <c r="D740">
        <v>92.095672607421875</v>
      </c>
      <c r="E740">
        <v>27.317947387695313</v>
      </c>
      <c r="F740">
        <v>0.29662600159645081</v>
      </c>
      <c r="G740">
        <v>119.92500305175781</v>
      </c>
      <c r="H740">
        <v>0</v>
      </c>
      <c r="I740">
        <v>4098.06005859375</v>
      </c>
      <c r="J740">
        <v>771</v>
      </c>
    </row>
    <row r="741" spans="1:10" x14ac:dyDescent="0.25">
      <c r="A741">
        <v>37832</v>
      </c>
      <c r="B741" t="str">
        <v>Eros Intl.Media</v>
      </c>
      <c r="C741">
        <v>-12.641441</v>
      </c>
      <c r="D741">
        <v>22.268556594848633</v>
      </c>
      <c r="E741">
        <v>5.8944611549377441</v>
      </c>
      <c r="F741">
        <v>0.26469901204109192</v>
      </c>
      <c r="G741">
        <v>7.0875000953674316</v>
      </c>
      <c r="H741">
        <v>0</v>
      </c>
      <c r="I741">
        <v>69.44000244140625</v>
      </c>
      <c r="J741">
        <v>1256</v>
      </c>
    </row>
    <row r="742" spans="1:10" x14ac:dyDescent="0.25">
      <c r="A742">
        <v>1147</v>
      </c>
      <c r="B742" t="str">
        <v>Esab India</v>
      </c>
      <c r="C742">
        <v>25.419992000000001</v>
      </c>
      <c r="D742">
        <v>3571.436767578125</v>
      </c>
      <c r="E742">
        <v>1674.675048828125</v>
      </c>
      <c r="F742">
        <v>0.46890801191329956</v>
      </c>
      <c r="G742">
        <v>5062.10009765625</v>
      </c>
      <c r="H742">
        <v>1.9999999552965164E-2</v>
      </c>
      <c r="I742">
        <v>7740.52978515625</v>
      </c>
      <c r="J742">
        <v>1359</v>
      </c>
    </row>
    <row r="743" spans="1:10" x14ac:dyDescent="0.25">
      <c r="A743">
        <v>161</v>
      </c>
      <c r="B743" t="str">
        <v>Escorts Kubota</v>
      </c>
      <c r="C743">
        <v>31.540534999999998</v>
      </c>
      <c r="D743">
        <v>2150.273681640625</v>
      </c>
      <c r="E743">
        <v>980.65155029296875</v>
      </c>
      <c r="F743">
        <v>0.45605900883674622</v>
      </c>
      <c r="G743">
        <v>3257.71240234375</v>
      </c>
      <c r="H743">
        <v>9.9999997764825821E-3</v>
      </c>
      <c r="I743">
        <v>36409.5</v>
      </c>
      <c r="J743">
        <v>1359</v>
      </c>
    </row>
    <row r="744" spans="1:10" x14ac:dyDescent="0.25">
      <c r="A744">
        <v>1247</v>
      </c>
      <c r="B744" t="str">
        <v>Eskay Kn'IT(I)</v>
      </c>
      <c r="C744">
        <v>7.6672450000000003</v>
      </c>
      <c r="D744">
        <v>0.19249999523162842</v>
      </c>
      <c r="E744">
        <v>6.3459998928010464E-3</v>
      </c>
      <c r="F744">
        <v>3.2969001680612564E-2</v>
      </c>
      <c r="G744">
        <v>0.20999999344348907</v>
      </c>
      <c r="H744">
        <v>0</v>
      </c>
      <c r="I744">
        <v>5.9000000953674316</v>
      </c>
      <c r="J744">
        <v>10</v>
      </c>
    </row>
    <row r="745" spans="1:10" x14ac:dyDescent="0.25">
      <c r="A745">
        <v>40738</v>
      </c>
      <c r="B745" t="str">
        <v>Essar Shipping</v>
      </c>
      <c r="C745">
        <v>27.731393000000001</v>
      </c>
      <c r="D745">
        <v>16.633520126342773</v>
      </c>
      <c r="E745">
        <v>12.588846206665039</v>
      </c>
      <c r="F745">
        <v>0.75683599710464478</v>
      </c>
      <c r="G745">
        <v>29.159999847412109</v>
      </c>
      <c r="H745">
        <v>0</v>
      </c>
      <c r="I745">
        <v>598.989990234375</v>
      </c>
      <c r="J745">
        <v>1358</v>
      </c>
    </row>
    <row r="746" spans="1:10" x14ac:dyDescent="0.25">
      <c r="A746">
        <v>1058</v>
      </c>
      <c r="B746" t="str">
        <v>Ester Industries</v>
      </c>
      <c r="C746">
        <v>24.911304000000001</v>
      </c>
      <c r="D746">
        <v>115.41873931884766</v>
      </c>
      <c r="E746">
        <v>35.384101867675781</v>
      </c>
      <c r="F746">
        <v>0.30657199025154114</v>
      </c>
      <c r="G746">
        <v>127.27500152587891</v>
      </c>
      <c r="H746">
        <v>0.4699999988079071</v>
      </c>
      <c r="I746">
        <v>1226.1700439453125</v>
      </c>
      <c r="J746">
        <v>1359</v>
      </c>
    </row>
    <row r="747" spans="1:10" x14ac:dyDescent="0.25">
      <c r="A747">
        <v>6195</v>
      </c>
      <c r="B747" t="str">
        <v>Euro Asia Export</v>
      </c>
      <c r="C747">
        <v>61.257437000000003</v>
      </c>
      <c r="D747">
        <v>31.984142303466797</v>
      </c>
      <c r="E747">
        <v>35.763450622558594</v>
      </c>
      <c r="F747">
        <v>1.1181620359420776</v>
      </c>
      <c r="G747">
        <v>148.10000610351563</v>
      </c>
      <c r="H747">
        <v>0.15999999642372131</v>
      </c>
      <c r="I747">
        <v>23.25</v>
      </c>
      <c r="J747">
        <v>242</v>
      </c>
    </row>
    <row r="748" spans="1:10" x14ac:dyDescent="0.25">
      <c r="A748">
        <v>27531</v>
      </c>
      <c r="B748" t="str">
        <v>Euro Ceramics</v>
      </c>
      <c r="C748">
        <v>47.500410000000002</v>
      </c>
      <c r="D748">
        <v>1.4066929817199707</v>
      </c>
      <c r="E748">
        <v>0.67132997512817383</v>
      </c>
      <c r="F748">
        <v>0.47723999619483948</v>
      </c>
      <c r="G748">
        <v>1.1599999666213989</v>
      </c>
      <c r="H748">
        <v>0</v>
      </c>
      <c r="I748">
        <v>3.7400000095367432</v>
      </c>
      <c r="J748">
        <v>158</v>
      </c>
    </row>
    <row r="749" spans="1:10" x14ac:dyDescent="0.25">
      <c r="A749">
        <v>28666</v>
      </c>
      <c r="B749" t="str">
        <v>Euro Multivision</v>
      </c>
      <c r="C749">
        <v>53.010931999999997</v>
      </c>
      <c r="D749">
        <v>1.3188849687576294</v>
      </c>
      <c r="E749">
        <v>0.47086399793624878</v>
      </c>
      <c r="F749">
        <v>0.35701701045036316</v>
      </c>
      <c r="G749">
        <v>1.4950000047683716</v>
      </c>
      <c r="H749">
        <v>0</v>
      </c>
      <c r="I749">
        <v>3.4000000953674316</v>
      </c>
      <c r="J749">
        <v>148</v>
      </c>
    </row>
    <row r="750" spans="1:10" x14ac:dyDescent="0.25">
      <c r="A750">
        <v>1208</v>
      </c>
      <c r="B750" t="str">
        <v>Eurotex Industri</v>
      </c>
      <c r="C750">
        <v>5.1061719999999999</v>
      </c>
      <c r="D750">
        <v>11.955705642700195</v>
      </c>
      <c r="E750">
        <v>2.7329549789428711</v>
      </c>
      <c r="F750">
        <v>0.22858999669551849</v>
      </c>
      <c r="G750">
        <v>14.847499847412109</v>
      </c>
      <c r="H750">
        <v>0</v>
      </c>
      <c r="I750">
        <v>12.800000190734863</v>
      </c>
      <c r="J750">
        <v>697</v>
      </c>
    </row>
    <row r="751" spans="1:10" x14ac:dyDescent="0.25">
      <c r="A751">
        <v>165</v>
      </c>
      <c r="B751" t="str">
        <v>Everest Inds.</v>
      </c>
      <c r="C751">
        <v>12.986487</v>
      </c>
      <c r="D751">
        <v>656.91156005859375</v>
      </c>
      <c r="E751">
        <v>343.22750854492188</v>
      </c>
      <c r="F751">
        <v>0.52248698472976685</v>
      </c>
      <c r="G751">
        <v>507</v>
      </c>
      <c r="H751">
        <v>0.14000000059604645</v>
      </c>
      <c r="I751">
        <v>802.07000732421875</v>
      </c>
      <c r="J751">
        <v>1357</v>
      </c>
    </row>
    <row r="752" spans="1:10" x14ac:dyDescent="0.25">
      <c r="A752">
        <v>24993</v>
      </c>
      <c r="B752" t="str">
        <v>Everest Kanto</v>
      </c>
      <c r="C752">
        <v>28.144736999999999</v>
      </c>
      <c r="D752">
        <v>115.91329956054688</v>
      </c>
      <c r="E752">
        <v>58.682151794433594</v>
      </c>
      <c r="F752">
        <v>0.50625902414321899</v>
      </c>
      <c r="G752">
        <v>129.64999389648438</v>
      </c>
      <c r="H752">
        <v>3.9999999105930328E-2</v>
      </c>
      <c r="I752">
        <v>1439.06005859375</v>
      </c>
      <c r="J752">
        <v>1359</v>
      </c>
    </row>
    <row r="753" spans="1:10" x14ac:dyDescent="0.25">
      <c r="A753">
        <v>166</v>
      </c>
      <c r="B753" t="str">
        <v>Excel Industries</v>
      </c>
      <c r="C753">
        <v>6.3726539999999998</v>
      </c>
      <c r="D753">
        <v>1033.4442138671875</v>
      </c>
      <c r="E753">
        <v>246.98039245605469</v>
      </c>
      <c r="F753">
        <v>0.238987997174263</v>
      </c>
      <c r="G753">
        <v>1226.074951171875</v>
      </c>
      <c r="H753">
        <v>0</v>
      </c>
      <c r="I753">
        <v>1524.0699462890625</v>
      </c>
      <c r="J753">
        <v>1359</v>
      </c>
    </row>
    <row r="754" spans="1:10" x14ac:dyDescent="0.25">
      <c r="A754">
        <v>30141</v>
      </c>
      <c r="B754" t="str">
        <v>Excel Realty</v>
      </c>
      <c r="C754">
        <v>50.377428000000002</v>
      </c>
      <c r="D754">
        <v>0.45133799314498901</v>
      </c>
      <c r="E754">
        <v>0.30020999908447266</v>
      </c>
      <c r="F754">
        <v>0.66515499353408813</v>
      </c>
      <c r="G754">
        <v>0.9375</v>
      </c>
      <c r="H754">
        <v>0</v>
      </c>
      <c r="I754">
        <v>126.95999908447266</v>
      </c>
      <c r="J754">
        <v>1300</v>
      </c>
    </row>
    <row r="755" spans="1:10" x14ac:dyDescent="0.25">
      <c r="A755">
        <v>111</v>
      </c>
      <c r="B755" t="str">
        <v>Exide Inds.</v>
      </c>
      <c r="C755">
        <v>13.035740000000001</v>
      </c>
      <c r="D755">
        <v>247.95828247070313</v>
      </c>
      <c r="E755">
        <v>116.06337738037109</v>
      </c>
      <c r="F755">
        <v>0.46807599067687988</v>
      </c>
      <c r="G755">
        <v>375.47500610351563</v>
      </c>
      <c r="H755">
        <v>2.9999999329447746E-2</v>
      </c>
      <c r="I755">
        <v>31849.5</v>
      </c>
      <c r="J755">
        <v>1359</v>
      </c>
    </row>
    <row r="756" spans="1:10" x14ac:dyDescent="0.25">
      <c r="A756">
        <v>33432</v>
      </c>
      <c r="B756" t="str">
        <v>Expleo Solutions</v>
      </c>
      <c r="C756">
        <v>28.456659999999999</v>
      </c>
      <c r="D756">
        <v>1057.11181640625</v>
      </c>
      <c r="E756">
        <v>430.58187866210938</v>
      </c>
      <c r="F756">
        <v>0.40731900930404663</v>
      </c>
      <c r="G756">
        <v>1269.125</v>
      </c>
      <c r="H756">
        <v>5.000000074505806E-2</v>
      </c>
      <c r="I756">
        <v>1953.0799560546875</v>
      </c>
      <c r="J756">
        <v>1356</v>
      </c>
    </row>
    <row r="757" spans="1:10" x14ac:dyDescent="0.25">
      <c r="A757">
        <v>5175</v>
      </c>
      <c r="B757" t="str">
        <v>Explicit Finance</v>
      </c>
      <c r="C757">
        <v>26.301503</v>
      </c>
      <c r="D757">
        <v>4.6823720932006836</v>
      </c>
      <c r="E757">
        <v>1.8990089893341064</v>
      </c>
      <c r="F757">
        <v>0.40556600689888</v>
      </c>
      <c r="G757">
        <v>8.2475004196166992</v>
      </c>
      <c r="H757">
        <v>0</v>
      </c>
      <c r="I757">
        <v>7.4699997901916504</v>
      </c>
      <c r="J757">
        <v>838</v>
      </c>
    </row>
    <row r="758" spans="1:10" x14ac:dyDescent="0.25">
      <c r="A758">
        <v>21275</v>
      </c>
      <c r="B758" t="str">
        <v>FCS Software</v>
      </c>
      <c r="C758">
        <v>47.917242999999999</v>
      </c>
      <c r="D758">
        <v>2.4428958892822266</v>
      </c>
      <c r="E758">
        <v>1.496986985206604</v>
      </c>
      <c r="F758">
        <v>0.61279201507568359</v>
      </c>
      <c r="G758">
        <v>2.557499885559082</v>
      </c>
      <c r="H758">
        <v>1.9999999552965164E-2</v>
      </c>
      <c r="I758">
        <v>430.80999755859375</v>
      </c>
      <c r="J758">
        <v>1359</v>
      </c>
    </row>
    <row r="759" spans="1:10" x14ac:dyDescent="0.25">
      <c r="A759">
        <v>14482</v>
      </c>
      <c r="B759" t="str">
        <v>FDC</v>
      </c>
      <c r="C759">
        <v>14.39091</v>
      </c>
      <c r="D759">
        <v>346.41485595703125</v>
      </c>
      <c r="E759">
        <v>88.368385314941406</v>
      </c>
      <c r="F759">
        <v>0.25509399175643921</v>
      </c>
      <c r="G759">
        <v>462.875</v>
      </c>
      <c r="H759">
        <v>9.9999997764825821E-3</v>
      </c>
      <c r="I759">
        <v>7451.81982421875</v>
      </c>
      <c r="J759">
        <v>1359</v>
      </c>
    </row>
    <row r="760" spans="1:10" x14ac:dyDescent="0.25">
      <c r="A760">
        <v>167</v>
      </c>
      <c r="B760" t="str">
        <v>FGP</v>
      </c>
      <c r="C760">
        <v>36.791522000000001</v>
      </c>
      <c r="D760">
        <v>6.4652237892150879</v>
      </c>
      <c r="E760">
        <v>3.0373539924621582</v>
      </c>
      <c r="F760">
        <v>0.46979901194572449</v>
      </c>
      <c r="G760">
        <v>9.9125003814697266</v>
      </c>
      <c r="H760">
        <v>0</v>
      </c>
      <c r="I760">
        <v>11.300000190734863</v>
      </c>
      <c r="J760">
        <v>1084</v>
      </c>
    </row>
    <row r="761" spans="1:10" x14ac:dyDescent="0.25">
      <c r="A761">
        <v>25144</v>
      </c>
      <c r="B761" t="str">
        <v>Facor Alloys</v>
      </c>
      <c r="C761">
        <v>11.400592</v>
      </c>
      <c r="D761">
        <v>5.5926737785339355</v>
      </c>
      <c r="E761">
        <v>2.6549580097198486</v>
      </c>
      <c r="F761">
        <v>0.47472101449966431</v>
      </c>
      <c r="G761">
        <v>3.2000000476837158</v>
      </c>
      <c r="H761">
        <v>3.9999999105930328E-2</v>
      </c>
      <c r="I761">
        <v>61.790000915527344</v>
      </c>
      <c r="J761">
        <v>1359</v>
      </c>
    </row>
    <row r="762" spans="1:10" x14ac:dyDescent="0.25">
      <c r="A762">
        <v>4608</v>
      </c>
      <c r="B762" t="str">
        <v>Family Care</v>
      </c>
      <c r="C762">
        <v>-16.528147000000001</v>
      </c>
      <c r="D762">
        <v>12.387124061584473</v>
      </c>
      <c r="E762">
        <v>6.6970639228820801</v>
      </c>
      <c r="F762">
        <v>0.54064697027206421</v>
      </c>
      <c r="G762">
        <v>4.4124999046325684</v>
      </c>
      <c r="H762">
        <v>7.9999998211860657E-2</v>
      </c>
      <c r="I762">
        <v>24.040000915527344</v>
      </c>
      <c r="J762">
        <v>1253</v>
      </c>
    </row>
    <row r="763" spans="1:10" x14ac:dyDescent="0.25">
      <c r="A763">
        <v>4808</v>
      </c>
      <c r="B763" t="str">
        <v>Faze Three</v>
      </c>
      <c r="C763">
        <v>49.664875000000002</v>
      </c>
      <c r="D763">
        <v>283.11041259765625</v>
      </c>
      <c r="E763">
        <v>160.05271911621094</v>
      </c>
      <c r="F763">
        <v>0.56533700227737427</v>
      </c>
      <c r="G763">
        <v>557.6500244140625</v>
      </c>
      <c r="H763">
        <v>0.56999999284744263</v>
      </c>
      <c r="I763">
        <v>1346.6600341796875</v>
      </c>
      <c r="J763">
        <v>1357</v>
      </c>
    </row>
    <row r="764" spans="1:10" x14ac:dyDescent="0.25">
      <c r="A764">
        <v>22419</v>
      </c>
      <c r="B764" t="str">
        <v>Faze Three Auto.</v>
      </c>
      <c r="C764">
        <v>30.916855999999999</v>
      </c>
      <c r="D764">
        <v>80.040435791015625</v>
      </c>
      <c r="E764">
        <v>32.880851745605469</v>
      </c>
      <c r="F764">
        <v>0.41080299019813538</v>
      </c>
      <c r="G764">
        <v>92.074996948242188</v>
      </c>
      <c r="H764">
        <v>0.95999997854232788</v>
      </c>
      <c r="I764">
        <v>98.459999084472656</v>
      </c>
      <c r="J764">
        <v>912</v>
      </c>
    </row>
    <row r="765" spans="1:10" x14ac:dyDescent="0.25">
      <c r="A765">
        <v>4443</v>
      </c>
      <c r="B765" t="str">
        <v>Fedders Holding</v>
      </c>
      <c r="C765">
        <v>63.191571000000003</v>
      </c>
      <c r="D765">
        <v>32.370700836181641</v>
      </c>
      <c r="E765">
        <v>30.551559448242188</v>
      </c>
      <c r="F765">
        <v>0.94380301237106323</v>
      </c>
      <c r="G765">
        <v>49.0625</v>
      </c>
      <c r="H765">
        <v>0</v>
      </c>
      <c r="I765">
        <v>974.8900146484375</v>
      </c>
      <c r="J765">
        <v>1306</v>
      </c>
    </row>
    <row r="766" spans="1:10" x14ac:dyDescent="0.25">
      <c r="A766">
        <v>3709</v>
      </c>
      <c r="B766" t="str">
        <v>Federal Bank</v>
      </c>
      <c r="C766">
        <v>15.699277</v>
      </c>
      <c r="D766">
        <v>119.86491394042969</v>
      </c>
      <c r="E766">
        <v>47.475204467773438</v>
      </c>
      <c r="F766">
        <v>0.39607301354408264</v>
      </c>
      <c r="G766">
        <v>206.03750610351563</v>
      </c>
      <c r="H766">
        <v>0</v>
      </c>
      <c r="I766">
        <v>50068.19140625</v>
      </c>
      <c r="J766">
        <v>1359</v>
      </c>
    </row>
    <row r="767" spans="1:10" x14ac:dyDescent="0.25">
      <c r="A767">
        <v>197</v>
      </c>
      <c r="B767" t="str">
        <v>Federal-Mogul Go</v>
      </c>
      <c r="C767">
        <v>-4.3097240000000001</v>
      </c>
      <c r="D767">
        <v>345.90072631835938</v>
      </c>
      <c r="E767">
        <v>73.929161071777344</v>
      </c>
      <c r="F767">
        <v>0.21372899413108826</v>
      </c>
      <c r="G767">
        <v>519.83740234375</v>
      </c>
      <c r="H767">
        <v>9.9999997764825821E-3</v>
      </c>
      <c r="I767">
        <v>2866.06005859375</v>
      </c>
      <c r="J767">
        <v>1350</v>
      </c>
    </row>
    <row r="768" spans="1:10" x14ac:dyDescent="0.25">
      <c r="A768">
        <v>146</v>
      </c>
      <c r="B768" t="str">
        <v>Fermenta Biotec.</v>
      </c>
      <c r="C768">
        <v>4.9916999999999998</v>
      </c>
      <c r="D768">
        <v>246.08462524414063</v>
      </c>
      <c r="E768">
        <v>73.590721130371094</v>
      </c>
      <c r="F768">
        <v>0.29904600977897644</v>
      </c>
      <c r="G768">
        <v>325.04998779296875</v>
      </c>
      <c r="H768">
        <v>0.55000001192092896</v>
      </c>
      <c r="I768">
        <v>945.030029296875</v>
      </c>
      <c r="J768">
        <v>1359</v>
      </c>
    </row>
    <row r="769" spans="1:10" x14ac:dyDescent="0.25">
      <c r="A769">
        <v>41316</v>
      </c>
      <c r="B769" t="str">
        <v>Fervent Synerg.</v>
      </c>
      <c r="C769">
        <v>4.1645000000000001E-2</v>
      </c>
      <c r="D769">
        <v>16.733217239379883</v>
      </c>
      <c r="E769">
        <v>3.8420140743255615</v>
      </c>
      <c r="F769">
        <v>0.22960400581359863</v>
      </c>
      <c r="G769">
        <v>20.872499465942383</v>
      </c>
      <c r="H769">
        <v>0</v>
      </c>
      <c r="I769">
        <v>87.980003356933594</v>
      </c>
      <c r="J769">
        <v>1305</v>
      </c>
    </row>
    <row r="770" spans="1:10" x14ac:dyDescent="0.25">
      <c r="A770">
        <v>954</v>
      </c>
      <c r="B770" t="str">
        <v>Fiberweb (India)</v>
      </c>
      <c r="C770">
        <v>21.288274000000001</v>
      </c>
      <c r="D770">
        <v>36.528839111328125</v>
      </c>
      <c r="E770">
        <v>10.164918899536133</v>
      </c>
      <c r="F770">
        <v>0.27827098965644836</v>
      </c>
      <c r="G770">
        <v>47.979999542236328</v>
      </c>
      <c r="H770">
        <v>3.9999999105930328E-2</v>
      </c>
      <c r="I770">
        <v>136.85000610351563</v>
      </c>
      <c r="J770">
        <v>1359</v>
      </c>
    </row>
    <row r="771" spans="1:10" x14ac:dyDescent="0.25">
      <c r="A771">
        <v>25040</v>
      </c>
      <c r="B771" t="str">
        <v>Fiem Industries</v>
      </c>
      <c r="C771">
        <v>41.164273999999999</v>
      </c>
      <c r="D771">
        <v>776.90533447265625</v>
      </c>
      <c r="E771">
        <v>457.763427734375</v>
      </c>
      <c r="F771">
        <v>0.589214026927948</v>
      </c>
      <c r="G771">
        <v>1917.800048828125</v>
      </c>
      <c r="H771">
        <v>2.9999999329447746E-2</v>
      </c>
      <c r="I771">
        <v>5014.81982421875</v>
      </c>
      <c r="J771">
        <v>1359</v>
      </c>
    </row>
    <row r="772" spans="1:10" x14ac:dyDescent="0.25">
      <c r="A772">
        <v>7346</v>
      </c>
      <c r="B772" t="str">
        <v>Filatex Fash.</v>
      </c>
      <c r="C772">
        <v>-8.0369829999999993</v>
      </c>
      <c r="D772">
        <v>1.5339490175247192</v>
      </c>
      <c r="E772">
        <v>1.1168489456176758</v>
      </c>
      <c r="F772">
        <v>0.72808700799942017</v>
      </c>
      <c r="G772">
        <v>0.5274999737739563</v>
      </c>
      <c r="H772">
        <v>5.000000074505806E-2</v>
      </c>
      <c r="I772">
        <v>433.3699951171875</v>
      </c>
      <c r="J772">
        <v>1325</v>
      </c>
    </row>
    <row r="773" spans="1:10" x14ac:dyDescent="0.25">
      <c r="A773">
        <v>3264</v>
      </c>
      <c r="B773" t="str">
        <v>Filatex India</v>
      </c>
      <c r="C773">
        <v>17.871096999999999</v>
      </c>
      <c r="D773">
        <v>43.712741851806641</v>
      </c>
      <c r="E773">
        <v>16.084392547607422</v>
      </c>
      <c r="F773">
        <v>0.36795699596405029</v>
      </c>
      <c r="G773">
        <v>51.689998626708984</v>
      </c>
      <c r="H773">
        <v>0.23000000417232513</v>
      </c>
      <c r="I773">
        <v>2249.02001953125</v>
      </c>
      <c r="J773">
        <v>1359</v>
      </c>
    </row>
    <row r="774" spans="1:10" x14ac:dyDescent="0.25">
      <c r="A774">
        <v>2223</v>
      </c>
      <c r="B774" t="str">
        <v>Fine Line Cir.</v>
      </c>
      <c r="C774">
        <v>21.663487</v>
      </c>
      <c r="D774">
        <v>48.450130462646484</v>
      </c>
      <c r="E774">
        <v>22.493402481079102</v>
      </c>
      <c r="F774">
        <v>0.46425899863243103</v>
      </c>
      <c r="G774">
        <v>85.824996948242188</v>
      </c>
      <c r="H774">
        <v>0.72000002861022949</v>
      </c>
      <c r="I774">
        <v>42.330001831054688</v>
      </c>
      <c r="J774">
        <v>1039</v>
      </c>
    </row>
    <row r="775" spans="1:10" x14ac:dyDescent="0.25">
      <c r="A775">
        <v>65893</v>
      </c>
      <c r="B775" t="str">
        <v>Fine Organic</v>
      </c>
      <c r="C775">
        <v>16.374609</v>
      </c>
      <c r="D775">
        <v>3999.865966796875</v>
      </c>
      <c r="E775">
        <v>1242.5745849609375</v>
      </c>
      <c r="F775">
        <v>0.31065401434898376</v>
      </c>
      <c r="G775">
        <v>4613.462890625</v>
      </c>
      <c r="H775">
        <v>9.9999997764825821E-3</v>
      </c>
      <c r="I775">
        <v>13916.41015625</v>
      </c>
      <c r="J775">
        <v>1359</v>
      </c>
    </row>
    <row r="776" spans="1:10" x14ac:dyDescent="0.25">
      <c r="A776">
        <v>29472</v>
      </c>
      <c r="B776" t="str">
        <v>Fineotex Chem</v>
      </c>
      <c r="C776">
        <v>44.093063000000001</v>
      </c>
      <c r="D776">
        <v>208.47454833984375</v>
      </c>
      <c r="E776">
        <v>127.95313262939453</v>
      </c>
      <c r="F776">
        <v>0.61375898122787476</v>
      </c>
      <c r="G776">
        <v>266.10000610351563</v>
      </c>
      <c r="H776">
        <v>1.9999999552965164E-2</v>
      </c>
      <c r="I776">
        <v>3016.18994140625</v>
      </c>
      <c r="J776">
        <v>1359</v>
      </c>
    </row>
    <row r="777" spans="1:10" x14ac:dyDescent="0.25">
      <c r="A777">
        <v>1735</v>
      </c>
      <c r="B777" t="str">
        <v>Finkurve Fin.</v>
      </c>
      <c r="C777">
        <v>18.311540000000001</v>
      </c>
      <c r="D777">
        <v>66.762161254882813</v>
      </c>
      <c r="E777">
        <v>24.843496322631836</v>
      </c>
      <c r="F777">
        <v>0.37211900949478149</v>
      </c>
      <c r="G777">
        <v>119.6875</v>
      </c>
      <c r="H777">
        <v>0.34999999403953552</v>
      </c>
      <c r="I777">
        <v>1510.8499755859375</v>
      </c>
      <c r="J777">
        <v>1264</v>
      </c>
    </row>
    <row r="778" spans="1:10" x14ac:dyDescent="0.25">
      <c r="A778">
        <v>171</v>
      </c>
      <c r="B778" t="str">
        <v>Finolex Cables</v>
      </c>
      <c r="C778">
        <v>17.113626</v>
      </c>
      <c r="D778">
        <v>688.130126953125</v>
      </c>
      <c r="E778">
        <v>366.95098876953125</v>
      </c>
      <c r="F778">
        <v>0.53325802087783813</v>
      </c>
      <c r="G778">
        <v>950.3125</v>
      </c>
      <c r="H778">
        <v>0</v>
      </c>
      <c r="I778">
        <v>14340.3603515625</v>
      </c>
      <c r="J778">
        <v>1359</v>
      </c>
    </row>
    <row r="779" spans="1:10" x14ac:dyDescent="0.25">
      <c r="A779">
        <v>1252</v>
      </c>
      <c r="B779" t="str">
        <v>Finolex Inds.</v>
      </c>
      <c r="C779">
        <v>13.660119</v>
      </c>
      <c r="D779">
        <v>180.25146484375</v>
      </c>
      <c r="E779">
        <v>61.173568725585938</v>
      </c>
      <c r="F779">
        <v>0.33937901258468628</v>
      </c>
      <c r="G779">
        <v>226.51249694824219</v>
      </c>
      <c r="H779">
        <v>9.0000003576278687E-2</v>
      </c>
      <c r="I779">
        <v>13721.849609375</v>
      </c>
      <c r="J779">
        <v>1359</v>
      </c>
    </row>
    <row r="780" spans="1:10" x14ac:dyDescent="0.25">
      <c r="A780">
        <v>2241</v>
      </c>
      <c r="B780" t="str">
        <v>First Custodian</v>
      </c>
      <c r="C780">
        <v>23.767409000000001</v>
      </c>
      <c r="D780">
        <v>70.676658630371094</v>
      </c>
      <c r="E780">
        <v>38.749988555908203</v>
      </c>
      <c r="F780">
        <v>0.54827100038528442</v>
      </c>
      <c r="G780">
        <v>114.97499847412109</v>
      </c>
      <c r="H780">
        <v>9.9999997764825821E-3</v>
      </c>
      <c r="I780">
        <v>17.239999771118164</v>
      </c>
      <c r="J780">
        <v>781</v>
      </c>
    </row>
    <row r="781" spans="1:10" x14ac:dyDescent="0.25">
      <c r="A781">
        <v>21216</v>
      </c>
      <c r="B781" t="str">
        <v>First Fintec</v>
      </c>
      <c r="C781">
        <v>9.4813749999999999</v>
      </c>
      <c r="D781">
        <v>5.9043822288513184</v>
      </c>
      <c r="E781">
        <v>1.9150749444961548</v>
      </c>
      <c r="F781">
        <v>0.32434800267219543</v>
      </c>
      <c r="G781">
        <v>6.244999885559082</v>
      </c>
      <c r="H781">
        <v>3.9999999105930328E-2</v>
      </c>
      <c r="I781">
        <v>6.5</v>
      </c>
      <c r="J781">
        <v>1289</v>
      </c>
    </row>
    <row r="782" spans="1:10" x14ac:dyDescent="0.25">
      <c r="A782">
        <v>24882</v>
      </c>
      <c r="B782" t="str">
        <v>Firstsour.Solu.</v>
      </c>
      <c r="C782">
        <v>42.551282999999998</v>
      </c>
      <c r="D782">
        <v>162.58816528320313</v>
      </c>
      <c r="E782">
        <v>95.198280334472656</v>
      </c>
      <c r="F782">
        <v>0.5855180025100708</v>
      </c>
      <c r="G782">
        <v>377.95001220703125</v>
      </c>
      <c r="H782">
        <v>0.10999999940395355</v>
      </c>
      <c r="I782">
        <v>26273.16015625</v>
      </c>
      <c r="J782">
        <v>1359</v>
      </c>
    </row>
    <row r="783" spans="1:10" x14ac:dyDescent="0.25">
      <c r="A783">
        <v>4430</v>
      </c>
      <c r="B783" t="str">
        <v>Fischer Medical</v>
      </c>
      <c r="C783">
        <v>52.767353999999997</v>
      </c>
      <c r="D783">
        <v>312.64697265625</v>
      </c>
      <c r="E783">
        <v>297.01519775390625</v>
      </c>
      <c r="F783">
        <v>0.95000201463699341</v>
      </c>
      <c r="G783">
        <v>846.4625244140625</v>
      </c>
      <c r="H783">
        <v>9.9999997764825821E-3</v>
      </c>
      <c r="I783">
        <v>5460.5</v>
      </c>
      <c r="J783">
        <v>859</v>
      </c>
    </row>
    <row r="784" spans="1:10" x14ac:dyDescent="0.25">
      <c r="A784">
        <v>33816</v>
      </c>
      <c r="B784" t="str">
        <v>Flexituff Vent.</v>
      </c>
      <c r="C784">
        <v>30.083165999999999</v>
      </c>
      <c r="D784">
        <v>31.510353088378906</v>
      </c>
      <c r="E784">
        <v>17.173755645751953</v>
      </c>
      <c r="F784">
        <v>0.54501897096633911</v>
      </c>
      <c r="G784">
        <v>42.240001678466797</v>
      </c>
      <c r="H784">
        <v>0</v>
      </c>
      <c r="I784">
        <v>138.63999938964844</v>
      </c>
      <c r="J784">
        <v>1227</v>
      </c>
    </row>
    <row r="785" spans="1:10" x14ac:dyDescent="0.25">
      <c r="A785">
        <v>4254</v>
      </c>
      <c r="B785" t="str">
        <v>Flora Corporatio</v>
      </c>
      <c r="C785">
        <v>4.7495190000000003</v>
      </c>
      <c r="D785">
        <v>10.007110595703125</v>
      </c>
      <c r="E785">
        <v>2.0078690052032471</v>
      </c>
      <c r="F785">
        <v>0.20064400136470795</v>
      </c>
      <c r="G785">
        <v>10.090000152587891</v>
      </c>
      <c r="H785">
        <v>0</v>
      </c>
      <c r="I785">
        <v>8.7299995422363281</v>
      </c>
      <c r="J785">
        <v>475</v>
      </c>
    </row>
    <row r="786" spans="1:10" x14ac:dyDescent="0.25">
      <c r="A786">
        <v>892</v>
      </c>
      <c r="B786" t="str">
        <v>Fluidomat</v>
      </c>
      <c r="C786">
        <v>52.168621999999999</v>
      </c>
      <c r="D786">
        <v>318.2686767578125</v>
      </c>
      <c r="E786">
        <v>275.21484375</v>
      </c>
      <c r="F786">
        <v>0.86472499370574951</v>
      </c>
      <c r="G786">
        <v>1150.800048828125</v>
      </c>
      <c r="H786">
        <v>0</v>
      </c>
      <c r="I786">
        <v>558.29998779296875</v>
      </c>
      <c r="J786">
        <v>1358</v>
      </c>
    </row>
    <row r="787" spans="1:10" x14ac:dyDescent="0.25">
      <c r="A787">
        <v>198</v>
      </c>
      <c r="B787" t="str">
        <v>Forbes &amp; Co</v>
      </c>
      <c r="C787">
        <v>40.271424000000003</v>
      </c>
      <c r="D787">
        <v>246.27090454101563</v>
      </c>
      <c r="E787">
        <v>187.5516357421875</v>
      </c>
      <c r="F787">
        <v>0.76156598329544067</v>
      </c>
      <c r="G787">
        <v>428.875</v>
      </c>
      <c r="H787">
        <v>3.9999999105930328E-2</v>
      </c>
      <c r="I787">
        <v>544.32000732421875</v>
      </c>
      <c r="J787">
        <v>1359</v>
      </c>
    </row>
    <row r="788" spans="1:10" x14ac:dyDescent="0.25">
      <c r="A788">
        <v>53</v>
      </c>
      <c r="B788" t="str">
        <v>Force Motors</v>
      </c>
      <c r="C788">
        <v>49.141858999999997</v>
      </c>
      <c r="D788">
        <v>3181.005126953125</v>
      </c>
      <c r="E788">
        <v>3002.6484375</v>
      </c>
      <c r="F788">
        <v>0.943930983543396</v>
      </c>
      <c r="G788">
        <v>13812.5869140625</v>
      </c>
      <c r="H788">
        <v>0.34999999403953552</v>
      </c>
      <c r="I788">
        <v>18024.529296875</v>
      </c>
      <c r="J788">
        <v>1359</v>
      </c>
    </row>
    <row r="789" spans="1:10" x14ac:dyDescent="0.25">
      <c r="A789">
        <v>24049</v>
      </c>
      <c r="B789" t="str">
        <v>Fortis Health.</v>
      </c>
      <c r="C789">
        <v>33.076383</v>
      </c>
      <c r="D789">
        <v>323.9805908203125</v>
      </c>
      <c r="E789">
        <v>166.80545043945313</v>
      </c>
      <c r="F789">
        <v>0.51486301422119141</v>
      </c>
      <c r="G789">
        <v>754.0250244140625</v>
      </c>
      <c r="H789">
        <v>7.9999998211860657E-2</v>
      </c>
      <c r="I789">
        <v>56504.83984375</v>
      </c>
      <c r="J789">
        <v>1359</v>
      </c>
    </row>
    <row r="790" spans="1:10" x14ac:dyDescent="0.25">
      <c r="A790">
        <v>2741</v>
      </c>
      <c r="B790" t="str">
        <v>Fortis Malar</v>
      </c>
      <c r="C790">
        <v>8.1341459999999994</v>
      </c>
      <c r="D790">
        <v>58.409210205078125</v>
      </c>
      <c r="E790">
        <v>8.6545429229736328</v>
      </c>
      <c r="F790">
        <v>0.14817099273204803</v>
      </c>
      <c r="G790">
        <v>73.407501220703125</v>
      </c>
      <c r="H790">
        <v>0.27000001072883606</v>
      </c>
      <c r="I790">
        <v>135.25999450683594</v>
      </c>
      <c r="J790">
        <v>1357</v>
      </c>
    </row>
    <row r="791" spans="1:10" x14ac:dyDescent="0.25">
      <c r="A791">
        <v>4908</v>
      </c>
      <c r="B791" t="str">
        <v>Fortune Interntl</v>
      </c>
      <c r="C791">
        <v>35.994813999999998</v>
      </c>
      <c r="D791">
        <v>43.970703125</v>
      </c>
      <c r="E791">
        <v>19.849767684936523</v>
      </c>
      <c r="F791">
        <v>0.4514319896697998</v>
      </c>
      <c r="G791">
        <v>61.360000610351563</v>
      </c>
      <c r="H791">
        <v>0.10999999940395355</v>
      </c>
      <c r="I791">
        <v>42.240001678466797</v>
      </c>
      <c r="J791">
        <v>1129</v>
      </c>
    </row>
    <row r="792" spans="1:10" x14ac:dyDescent="0.25">
      <c r="A792">
        <v>3317</v>
      </c>
      <c r="B792" t="str">
        <v>Foseco India</v>
      </c>
      <c r="C792">
        <v>23.347709999999999</v>
      </c>
      <c r="D792">
        <v>2378.812255859375</v>
      </c>
      <c r="E792">
        <v>1205.1588134765625</v>
      </c>
      <c r="F792">
        <v>0.50662201642990112</v>
      </c>
      <c r="G792">
        <v>4536.53759765625</v>
      </c>
      <c r="H792">
        <v>0</v>
      </c>
      <c r="I792">
        <v>2875.02001953125</v>
      </c>
      <c r="J792">
        <v>1354</v>
      </c>
    </row>
    <row r="793" spans="1:10" x14ac:dyDescent="0.25">
      <c r="A793">
        <v>3692</v>
      </c>
      <c r="B793" t="str">
        <v>Foundry Fuel</v>
      </c>
      <c r="C793">
        <v>25.277595999999999</v>
      </c>
      <c r="D793">
        <v>5.710319995880127</v>
      </c>
      <c r="E793">
        <v>3.5470409393310547</v>
      </c>
      <c r="F793">
        <v>0.621163010597229</v>
      </c>
      <c r="G793">
        <v>6.6100001335144043</v>
      </c>
      <c r="H793">
        <v>0</v>
      </c>
      <c r="I793">
        <v>5.3000001907348633</v>
      </c>
      <c r="J793">
        <v>507</v>
      </c>
    </row>
    <row r="794" spans="1:10" x14ac:dyDescent="0.25">
      <c r="A794">
        <v>21251</v>
      </c>
      <c r="B794" t="str">
        <v>Fourth Gen.</v>
      </c>
      <c r="C794">
        <v>16.341131000000001</v>
      </c>
      <c r="D794">
        <v>3.988055944442749</v>
      </c>
      <c r="E794">
        <v>1.1954870223999023</v>
      </c>
      <c r="F794">
        <v>0.29976698756217957</v>
      </c>
      <c r="G794">
        <v>7.940000057220459</v>
      </c>
      <c r="H794">
        <v>0</v>
      </c>
      <c r="I794">
        <v>2.8199999332427979</v>
      </c>
      <c r="J794">
        <v>342</v>
      </c>
    </row>
    <row r="795" spans="1:10" x14ac:dyDescent="0.25">
      <c r="A795">
        <v>64875</v>
      </c>
      <c r="B795" t="str">
        <v>Franklin Indust.</v>
      </c>
      <c r="C795">
        <v>33.092866999999998</v>
      </c>
      <c r="D795">
        <v>0.76804602146148682</v>
      </c>
      <c r="E795">
        <v>0.62374299764633179</v>
      </c>
      <c r="F795">
        <v>0.81211602687835693</v>
      </c>
      <c r="G795">
        <v>1.4225000143051147</v>
      </c>
      <c r="H795">
        <v>1.9999999552965164E-2</v>
      </c>
      <c r="I795">
        <v>107.97000122070313</v>
      </c>
      <c r="J795">
        <v>989</v>
      </c>
    </row>
    <row r="796" spans="1:10" x14ac:dyDescent="0.25">
      <c r="A796">
        <v>45776</v>
      </c>
      <c r="B796" t="str">
        <v>Fraser &amp; Company</v>
      </c>
      <c r="C796">
        <v>-12.915286999999999</v>
      </c>
      <c r="D796">
        <v>6.8362860679626465</v>
      </c>
      <c r="E796">
        <v>2.698577880859375</v>
      </c>
      <c r="F796">
        <v>0.39474299550056458</v>
      </c>
      <c r="G796">
        <v>7.119999885559082</v>
      </c>
      <c r="H796">
        <v>5.000000074505806E-2</v>
      </c>
      <c r="I796">
        <v>5.9000000953674316</v>
      </c>
      <c r="J796">
        <v>1349</v>
      </c>
    </row>
    <row r="797" spans="1:10" x14ac:dyDescent="0.25">
      <c r="A797">
        <v>5269</v>
      </c>
      <c r="B797" t="str">
        <v>Fredun Pharma</v>
      </c>
      <c r="C797">
        <v>23.470641000000001</v>
      </c>
      <c r="D797">
        <v>687.774658203125</v>
      </c>
      <c r="E797">
        <v>301.64425659179688</v>
      </c>
      <c r="F797">
        <v>0.43858000636100769</v>
      </c>
      <c r="G797">
        <v>810.5625</v>
      </c>
      <c r="H797">
        <v>0.87999999523162842</v>
      </c>
      <c r="I797">
        <v>375.6300048828125</v>
      </c>
      <c r="J797">
        <v>1359</v>
      </c>
    </row>
    <row r="798" spans="1:10" x14ac:dyDescent="0.25">
      <c r="A798">
        <v>3427</v>
      </c>
      <c r="B798" t="str">
        <v>Frontier Springs</v>
      </c>
      <c r="C798">
        <v>59.222518000000001</v>
      </c>
      <c r="D798">
        <v>778.52874755859375</v>
      </c>
      <c r="E798">
        <v>765.1875</v>
      </c>
      <c r="F798">
        <v>0.98286402225494385</v>
      </c>
      <c r="G798">
        <v>4066.32470703125</v>
      </c>
      <c r="H798">
        <v>5.000000074505806E-2</v>
      </c>
      <c r="I798">
        <v>1595.3299560546875</v>
      </c>
      <c r="J798">
        <v>1358</v>
      </c>
    </row>
    <row r="799" spans="1:10" x14ac:dyDescent="0.25">
      <c r="A799">
        <v>45817</v>
      </c>
      <c r="B799" t="str">
        <v>Fruition Venture</v>
      </c>
      <c r="C799">
        <v>23.109095</v>
      </c>
      <c r="D799">
        <v>31.689727783203125</v>
      </c>
      <c r="E799">
        <v>18.126638412475586</v>
      </c>
      <c r="F799">
        <v>0.57200402021408081</v>
      </c>
      <c r="G799">
        <v>33.097499847412109</v>
      </c>
      <c r="H799">
        <v>0.15000000596046448</v>
      </c>
      <c r="I799">
        <v>13.729999542236328</v>
      </c>
      <c r="J799">
        <v>863</v>
      </c>
    </row>
    <row r="800" spans="1:10" x14ac:dyDescent="0.25">
      <c r="A800">
        <v>4886</v>
      </c>
      <c r="B800" t="str">
        <v>Fundviser Capit.</v>
      </c>
      <c r="C800">
        <v>56.506193000000003</v>
      </c>
      <c r="D800">
        <v>53.243373870849609</v>
      </c>
      <c r="E800">
        <v>56.521465301513672</v>
      </c>
      <c r="F800">
        <v>1.061568021774292</v>
      </c>
      <c r="G800">
        <v>168.72500610351563</v>
      </c>
      <c r="H800">
        <v>0</v>
      </c>
      <c r="I800">
        <v>99.370002746582031</v>
      </c>
      <c r="J800">
        <v>1136</v>
      </c>
    </row>
    <row r="801" spans="1:10" x14ac:dyDescent="0.25">
      <c r="A801">
        <v>32219</v>
      </c>
      <c r="B801" t="str">
        <v>Funny Software</v>
      </c>
      <c r="C801">
        <v>-6.7857120000000002</v>
      </c>
      <c r="D801">
        <v>0.37804299592971802</v>
      </c>
      <c r="E801">
        <v>9.7099998965859413E-3</v>
      </c>
      <c r="F801">
        <v>2.5685999542474747E-2</v>
      </c>
      <c r="G801">
        <v>0.36250001192092896</v>
      </c>
      <c r="H801">
        <v>9.0000003576278687E-2</v>
      </c>
      <c r="I801">
        <v>0.74000000953674316</v>
      </c>
      <c r="J801">
        <v>23</v>
      </c>
    </row>
    <row r="802" spans="1:10" x14ac:dyDescent="0.25">
      <c r="A802">
        <v>29335</v>
      </c>
      <c r="B802" t="str">
        <v>Future Consumer</v>
      </c>
      <c r="C802">
        <v>-63.376562999999997</v>
      </c>
      <c r="D802">
        <v>5.3347420692443848</v>
      </c>
      <c r="E802">
        <v>5.1633720397949219</v>
      </c>
      <c r="F802">
        <v>0.96787601709365845</v>
      </c>
      <c r="G802">
        <v>0.52499997615814209</v>
      </c>
      <c r="H802">
        <v>0</v>
      </c>
      <c r="I802">
        <v>105.83999633789063</v>
      </c>
      <c r="J802">
        <v>1146</v>
      </c>
    </row>
    <row r="803" spans="1:10" x14ac:dyDescent="0.25">
      <c r="A803">
        <v>43686</v>
      </c>
      <c r="B803" t="str">
        <v>Future Lifestyle</v>
      </c>
      <c r="C803">
        <v>-88.090064999999996</v>
      </c>
      <c r="D803">
        <v>51.367401123046875</v>
      </c>
      <c r="E803">
        <v>81.609809875488281</v>
      </c>
      <c r="F803">
        <v>1.5887470245361328</v>
      </c>
      <c r="G803">
        <v>1.747499942779541</v>
      </c>
      <c r="H803">
        <v>0</v>
      </c>
      <c r="I803">
        <v>35.310001373291016</v>
      </c>
      <c r="J803">
        <v>1314</v>
      </c>
    </row>
    <row r="804" spans="1:10" x14ac:dyDescent="0.25">
      <c r="A804">
        <v>854</v>
      </c>
      <c r="B804" t="str">
        <v>Futuristic Sec.</v>
      </c>
      <c r="C804">
        <v>23.343669999999999</v>
      </c>
      <c r="D804">
        <v>16.545166015625</v>
      </c>
      <c r="E804">
        <v>6.4773812294006348</v>
      </c>
      <c r="F804">
        <v>0.39149698615074158</v>
      </c>
      <c r="G804">
        <v>37.909999847412109</v>
      </c>
      <c r="H804">
        <v>9.9999997764825821E-3</v>
      </c>
      <c r="I804">
        <v>7.3899998664855957</v>
      </c>
      <c r="J804">
        <v>573</v>
      </c>
    </row>
    <row r="805" spans="1:10" x14ac:dyDescent="0.25">
      <c r="A805">
        <v>26625</v>
      </c>
      <c r="B805" t="str">
        <v>Futuristic Solu</v>
      </c>
      <c r="C805">
        <v>5.8963080000000003</v>
      </c>
      <c r="D805">
        <v>58.462108612060547</v>
      </c>
      <c r="E805">
        <v>28.743373870849609</v>
      </c>
      <c r="F805">
        <v>0.49165800213813782</v>
      </c>
      <c r="G805">
        <v>56</v>
      </c>
      <c r="H805">
        <v>0</v>
      </c>
      <c r="I805">
        <v>58.630001068115234</v>
      </c>
      <c r="J805">
        <v>774</v>
      </c>
    </row>
    <row r="806" spans="1:10" x14ac:dyDescent="0.25">
      <c r="A806">
        <v>1782</v>
      </c>
      <c r="B806" t="str">
        <v>G G Dandekar</v>
      </c>
      <c r="C806">
        <v>13.199608</v>
      </c>
      <c r="D806">
        <v>75.209381103515625</v>
      </c>
      <c r="E806">
        <v>29.964593887329102</v>
      </c>
      <c r="F806">
        <v>0.39841601252555847</v>
      </c>
      <c r="G806">
        <v>81.779998779296875</v>
      </c>
      <c r="H806">
        <v>9.0000003576278687E-2</v>
      </c>
      <c r="I806">
        <v>38.090000152587891</v>
      </c>
      <c r="J806">
        <v>1256</v>
      </c>
    </row>
    <row r="807" spans="1:10" x14ac:dyDescent="0.25">
      <c r="A807">
        <v>71015</v>
      </c>
      <c r="B807" t="str">
        <v>G G Engineering</v>
      </c>
      <c r="C807">
        <v>-20.645765000000001</v>
      </c>
      <c r="D807">
        <v>2.9180819988250732</v>
      </c>
      <c r="E807">
        <v>2.1033809185028076</v>
      </c>
      <c r="F807">
        <v>0.72080898284912109</v>
      </c>
      <c r="G807">
        <v>0.49500000476837158</v>
      </c>
      <c r="H807">
        <v>1.9999999552965164E-2</v>
      </c>
      <c r="I807">
        <v>77.639999389648438</v>
      </c>
      <c r="J807">
        <v>1306</v>
      </c>
    </row>
    <row r="808" spans="1:10" x14ac:dyDescent="0.25">
      <c r="A808">
        <v>14970</v>
      </c>
      <c r="B808" t="str">
        <v>G K Consultants</v>
      </c>
      <c r="C808">
        <v>20.861093</v>
      </c>
      <c r="D808">
        <v>9.6690168380737305</v>
      </c>
      <c r="E808">
        <v>5.3291001319885254</v>
      </c>
      <c r="F808">
        <v>0.55115199089050293</v>
      </c>
      <c r="G808">
        <v>18</v>
      </c>
      <c r="H808">
        <v>9.9999997764825821E-3</v>
      </c>
      <c r="I808">
        <v>20.360000610351563</v>
      </c>
      <c r="J808">
        <v>852</v>
      </c>
    </row>
    <row r="809" spans="1:10" x14ac:dyDescent="0.25">
      <c r="A809">
        <v>74080</v>
      </c>
      <c r="B809" t="str">
        <v>G K P Printing</v>
      </c>
      <c r="C809">
        <v>-9.9436359999999997</v>
      </c>
      <c r="D809">
        <v>30.847269058227539</v>
      </c>
      <c r="E809">
        <v>39.395965576171875</v>
      </c>
      <c r="F809">
        <v>1.2771300077438354</v>
      </c>
      <c r="G809">
        <v>6.0500001907348633</v>
      </c>
      <c r="H809">
        <v>9.0000003576278687E-2</v>
      </c>
      <c r="I809">
        <v>13.289999961853027</v>
      </c>
      <c r="J809">
        <v>1042</v>
      </c>
    </row>
    <row r="810" spans="1:10" x14ac:dyDescent="0.25">
      <c r="A810">
        <v>3240</v>
      </c>
      <c r="B810" t="str">
        <v>G M Breweries</v>
      </c>
      <c r="C810">
        <v>12.975231000000001</v>
      </c>
      <c r="D810">
        <v>507.41778564453125</v>
      </c>
      <c r="E810">
        <v>156.8363037109375</v>
      </c>
      <c r="F810">
        <v>0.30908700823783875</v>
      </c>
      <c r="G810">
        <v>714.54998779296875</v>
      </c>
      <c r="H810">
        <v>0</v>
      </c>
      <c r="I810">
        <v>1614.47998046875</v>
      </c>
      <c r="J810">
        <v>1359</v>
      </c>
    </row>
    <row r="811" spans="1:10" x14ac:dyDescent="0.25">
      <c r="A811">
        <v>13868</v>
      </c>
      <c r="B811" t="str">
        <v>G M D C</v>
      </c>
      <c r="C811">
        <v>34.928288000000002</v>
      </c>
      <c r="D811">
        <v>186.452392578125</v>
      </c>
      <c r="E811">
        <v>133.86392211914063</v>
      </c>
      <c r="F811">
        <v>0.71795201301574707</v>
      </c>
      <c r="G811">
        <v>389.51251220703125</v>
      </c>
      <c r="H811">
        <v>0</v>
      </c>
      <c r="I811">
        <v>12188.9404296875</v>
      </c>
      <c r="J811">
        <v>1359</v>
      </c>
    </row>
    <row r="812" spans="1:10" x14ac:dyDescent="0.25">
      <c r="A812">
        <v>213</v>
      </c>
      <c r="B812" t="str">
        <v>G N F C</v>
      </c>
      <c r="C812">
        <v>22.026686000000002</v>
      </c>
      <c r="D812">
        <v>492.94140625</v>
      </c>
      <c r="E812">
        <v>197.71119689941406</v>
      </c>
      <c r="F812">
        <v>0.40108498930931091</v>
      </c>
      <c r="G812">
        <v>526.98748779296875</v>
      </c>
      <c r="H812">
        <v>0</v>
      </c>
      <c r="I812">
        <v>7622.5498046875</v>
      </c>
      <c r="J812">
        <v>1359</v>
      </c>
    </row>
    <row r="813" spans="1:10" x14ac:dyDescent="0.25">
      <c r="A813">
        <v>226</v>
      </c>
      <c r="B813" t="str">
        <v>G S F C</v>
      </c>
      <c r="C813">
        <v>19.303177000000002</v>
      </c>
      <c r="D813">
        <v>145.33015441894531</v>
      </c>
      <c r="E813">
        <v>60.207767486572266</v>
      </c>
      <c r="F813">
        <v>0.41428300738334656</v>
      </c>
      <c r="G813">
        <v>196.25</v>
      </c>
      <c r="H813">
        <v>0</v>
      </c>
      <c r="I813">
        <v>7700.580078125</v>
      </c>
      <c r="J813">
        <v>1359</v>
      </c>
    </row>
    <row r="814" spans="1:10" x14ac:dyDescent="0.25">
      <c r="A814">
        <v>1528</v>
      </c>
      <c r="B814" t="str">
        <v>G V Films</v>
      </c>
      <c r="C814">
        <v>3.398282</v>
      </c>
      <c r="D814">
        <v>0.64373600482940674</v>
      </c>
      <c r="E814">
        <v>0.27995601296424866</v>
      </c>
      <c r="F814">
        <v>0.43489199876785278</v>
      </c>
      <c r="G814">
        <v>0.35499998927116394</v>
      </c>
      <c r="H814">
        <v>0.56000000238418579</v>
      </c>
      <c r="I814">
        <v>65.260002136230469</v>
      </c>
      <c r="J814">
        <v>1359</v>
      </c>
    </row>
    <row r="815" spans="1:10" x14ac:dyDescent="0.25">
      <c r="A815">
        <v>16736</v>
      </c>
      <c r="B815" t="str">
        <v>G-Tech Info.</v>
      </c>
      <c r="C815">
        <v>41.827851000000003</v>
      </c>
      <c r="D815">
        <v>1.5946429967880249</v>
      </c>
      <c r="E815">
        <v>1.048401951789856</v>
      </c>
      <c r="F815">
        <v>0.65745300054550171</v>
      </c>
      <c r="G815">
        <v>6.320000171661377</v>
      </c>
      <c r="H815">
        <v>0</v>
      </c>
      <c r="I815">
        <v>2.2100000381469727</v>
      </c>
      <c r="J815">
        <v>182</v>
      </c>
    </row>
    <row r="816" spans="1:10" x14ac:dyDescent="0.25">
      <c r="A816">
        <v>12350</v>
      </c>
      <c r="B816" t="str">
        <v>GAIL (India)</v>
      </c>
      <c r="C816">
        <v>15.206142</v>
      </c>
      <c r="D816">
        <v>120.48348999023438</v>
      </c>
      <c r="E816">
        <v>49.922115325927734</v>
      </c>
      <c r="F816">
        <v>0.41434800624847412</v>
      </c>
      <c r="G816">
        <v>182.80000305175781</v>
      </c>
      <c r="H816">
        <v>0.28999999165534973</v>
      </c>
      <c r="I816">
        <v>118483.296875</v>
      </c>
      <c r="J816">
        <v>1359</v>
      </c>
    </row>
    <row r="817" spans="1:10" x14ac:dyDescent="0.25">
      <c r="A817">
        <v>28574</v>
      </c>
      <c r="B817" t="str">
        <v>GB Global</v>
      </c>
      <c r="C817">
        <v>-9.7523090000000003</v>
      </c>
      <c r="D817">
        <v>6.8923940658569336</v>
      </c>
      <c r="E817">
        <v>1.4241659641265869</v>
      </c>
      <c r="F817">
        <v>0.20662899315357208</v>
      </c>
      <c r="G817">
        <v>10.300000190734863</v>
      </c>
      <c r="H817">
        <v>0</v>
      </c>
      <c r="I817">
        <v>3.25</v>
      </c>
      <c r="J817">
        <v>189</v>
      </c>
    </row>
    <row r="818" spans="1:10" x14ac:dyDescent="0.25">
      <c r="A818">
        <v>207</v>
      </c>
      <c r="B818" t="str">
        <v>GE Shipping Co</v>
      </c>
      <c r="C818">
        <v>21.781264</v>
      </c>
      <c r="D818">
        <v>608.2606201171875</v>
      </c>
      <c r="E818">
        <v>336.17953491210938</v>
      </c>
      <c r="F818">
        <v>0.55269002914428711</v>
      </c>
      <c r="G818">
        <v>958.3499755859375</v>
      </c>
      <c r="H818">
        <v>0.25</v>
      </c>
      <c r="I818">
        <v>13656.3896484375</v>
      </c>
      <c r="J818">
        <v>1359</v>
      </c>
    </row>
    <row r="819" spans="1:10" x14ac:dyDescent="0.25">
      <c r="A819">
        <v>159</v>
      </c>
      <c r="B819" t="str">
        <v>GE Vernova T&amp;D</v>
      </c>
      <c r="C819">
        <v>54.183416999999999</v>
      </c>
      <c r="D819">
        <v>508.76168823242188</v>
      </c>
      <c r="E819">
        <v>639.32086181640625</v>
      </c>
      <c r="F819">
        <v>1.2566210031509399</v>
      </c>
      <c r="G819">
        <v>2374.77490234375</v>
      </c>
      <c r="H819">
        <v>0.14000000059604645</v>
      </c>
      <c r="I819">
        <v>60201.19921875</v>
      </c>
      <c r="J819">
        <v>1359</v>
      </c>
    </row>
    <row r="820" spans="1:10" x14ac:dyDescent="0.25">
      <c r="A820">
        <v>1663</v>
      </c>
      <c r="B820" t="str">
        <v>GEE</v>
      </c>
      <c r="C820">
        <v>31.421071999999999</v>
      </c>
      <c r="D820">
        <v>80.244453430175781</v>
      </c>
      <c r="E820">
        <v>42.215862274169922</v>
      </c>
      <c r="F820">
        <v>0.52609097957611084</v>
      </c>
      <c r="G820">
        <v>164.11250305175781</v>
      </c>
      <c r="H820">
        <v>0.68000000715255737</v>
      </c>
      <c r="I820">
        <v>428.42001342773438</v>
      </c>
      <c r="J820">
        <v>1358</v>
      </c>
    </row>
    <row r="821" spans="1:10" x14ac:dyDescent="0.25">
      <c r="A821">
        <v>1128</v>
      </c>
      <c r="B821" t="str">
        <v>GFL</v>
      </c>
      <c r="C821">
        <v>-6.248901</v>
      </c>
      <c r="D821">
        <v>78.49127197265625</v>
      </c>
      <c r="E821">
        <v>16.599662780761719</v>
      </c>
      <c r="F821">
        <v>0.21148400008678436</v>
      </c>
      <c r="G821">
        <v>62.127498626708984</v>
      </c>
      <c r="H821">
        <v>0</v>
      </c>
      <c r="I821">
        <v>673.5999755859375</v>
      </c>
      <c r="J821">
        <v>1359</v>
      </c>
    </row>
    <row r="822" spans="1:10" x14ac:dyDescent="0.25">
      <c r="A822">
        <v>1026</v>
      </c>
      <c r="B822" t="str">
        <v>GHCL</v>
      </c>
      <c r="C822">
        <v>23.390322000000001</v>
      </c>
      <c r="D822">
        <v>433.12252807617188</v>
      </c>
      <c r="E822">
        <v>184.49862670898438</v>
      </c>
      <c r="F822">
        <v>0.42597299814224243</v>
      </c>
      <c r="G822">
        <v>598.6875</v>
      </c>
      <c r="H822">
        <v>7.9999998211860657E-2</v>
      </c>
      <c r="I822">
        <v>5660.56982421875</v>
      </c>
      <c r="J822">
        <v>1359</v>
      </c>
    </row>
    <row r="823" spans="1:10" x14ac:dyDescent="0.25">
      <c r="A823">
        <v>13721</v>
      </c>
      <c r="B823" t="str">
        <v>GKB Ophthalmics</v>
      </c>
      <c r="C823">
        <v>4.7798350000000003</v>
      </c>
      <c r="D823">
        <v>89.577117919921875</v>
      </c>
      <c r="E823">
        <v>22.200925827026367</v>
      </c>
      <c r="F823">
        <v>0.2478410005569458</v>
      </c>
      <c r="G823">
        <v>76.522499084472656</v>
      </c>
      <c r="H823">
        <v>0.43000000715255737</v>
      </c>
      <c r="I823">
        <v>37.470001220703125</v>
      </c>
      <c r="J823">
        <v>1284</v>
      </c>
    </row>
    <row r="824" spans="1:10" x14ac:dyDescent="0.25">
      <c r="A824">
        <v>888</v>
      </c>
      <c r="B824" t="str">
        <v>GMM Pfaudler</v>
      </c>
      <c r="C824">
        <v>11.268402</v>
      </c>
      <c r="D824">
        <v>1427.733154296875</v>
      </c>
      <c r="E824">
        <v>249.81036376953125</v>
      </c>
      <c r="F824">
        <v>0.17497000098228455</v>
      </c>
      <c r="G824">
        <v>1152.4625244140625</v>
      </c>
      <c r="H824">
        <v>0.43000000715255737</v>
      </c>
      <c r="I824">
        <v>5164.240234375</v>
      </c>
      <c r="J824">
        <v>1359</v>
      </c>
    </row>
    <row r="825" spans="1:10" x14ac:dyDescent="0.25">
      <c r="A825">
        <v>23039</v>
      </c>
      <c r="B825" t="str">
        <v>GMR Airports</v>
      </c>
      <c r="C825">
        <v>25.928235999999998</v>
      </c>
      <c r="D825">
        <v>48.452999114990234</v>
      </c>
      <c r="E825">
        <v>24.587892532348633</v>
      </c>
      <c r="F825">
        <v>0.50745898485183716</v>
      </c>
      <c r="G825">
        <v>81.632499694824219</v>
      </c>
      <c r="H825">
        <v>0.18000000715255737</v>
      </c>
      <c r="I825">
        <v>85063.109375</v>
      </c>
      <c r="J825">
        <v>1359</v>
      </c>
    </row>
    <row r="826" spans="1:10" x14ac:dyDescent="0.25">
      <c r="A826">
        <v>34142</v>
      </c>
      <c r="B826" t="str">
        <v>GNA Axles</v>
      </c>
      <c r="C826">
        <v>15.548306999999999</v>
      </c>
      <c r="D826">
        <v>311.21072387695313</v>
      </c>
      <c r="E826">
        <v>125.60846710205078</v>
      </c>
      <c r="F826">
        <v>0.40361198782920837</v>
      </c>
      <c r="G826">
        <v>314.35000610351563</v>
      </c>
      <c r="H826">
        <v>0.2800000011920929</v>
      </c>
      <c r="I826">
        <v>1333.6500244140625</v>
      </c>
      <c r="J826">
        <v>1359</v>
      </c>
    </row>
    <row r="827" spans="1:10" x14ac:dyDescent="0.25">
      <c r="A827">
        <v>265</v>
      </c>
      <c r="B827" t="str">
        <v>GOCL Corpn.</v>
      </c>
      <c r="C827">
        <v>5.0680480000000001</v>
      </c>
      <c r="D827">
        <v>317.59945678710938</v>
      </c>
      <c r="E827">
        <v>102.42812347412109</v>
      </c>
      <c r="F827">
        <v>0.32250699400901794</v>
      </c>
      <c r="G827">
        <v>366.0625</v>
      </c>
      <c r="H827">
        <v>0</v>
      </c>
      <c r="I827">
        <v>1773.2099609375</v>
      </c>
      <c r="J827">
        <v>1353</v>
      </c>
    </row>
    <row r="828" spans="1:10" x14ac:dyDescent="0.25">
      <c r="A828">
        <v>24957</v>
      </c>
      <c r="B828" t="str">
        <v>GP Petroleums</v>
      </c>
      <c r="C828">
        <v>-0.80276800000000004</v>
      </c>
      <c r="D828">
        <v>50.583332061767578</v>
      </c>
      <c r="E828">
        <v>11.725228309631348</v>
      </c>
      <c r="F828">
        <v>0.23180000483989716</v>
      </c>
      <c r="G828">
        <v>46.055000305175781</v>
      </c>
      <c r="H828">
        <v>7.9999998211860657E-2</v>
      </c>
      <c r="I828">
        <v>225.71000671386719</v>
      </c>
      <c r="J828">
        <v>1359</v>
      </c>
    </row>
    <row r="829" spans="1:10" x14ac:dyDescent="0.25">
      <c r="A829">
        <v>26416</v>
      </c>
      <c r="B829" t="str">
        <v>GPT Infraproject</v>
      </c>
      <c r="C829">
        <v>49.926941999999997</v>
      </c>
      <c r="D829">
        <v>50.103313446044922</v>
      </c>
      <c r="E829">
        <v>50.224552154541016</v>
      </c>
      <c r="F829">
        <v>1.0024199485778809</v>
      </c>
      <c r="G829">
        <v>125.42500305175781</v>
      </c>
      <c r="H829">
        <v>0.81000000238418579</v>
      </c>
      <c r="I829">
        <v>1563.1300048828125</v>
      </c>
      <c r="J829">
        <v>1344</v>
      </c>
    </row>
    <row r="830" spans="1:10" x14ac:dyDescent="0.25">
      <c r="A830">
        <v>1813</v>
      </c>
      <c r="B830" t="str">
        <v>GRP</v>
      </c>
      <c r="C830">
        <v>50.988764000000003</v>
      </c>
      <c r="D830">
        <v>1050.8623046875</v>
      </c>
      <c r="E830">
        <v>1131.32666015625</v>
      </c>
      <c r="F830">
        <v>1.0765700340270996</v>
      </c>
      <c r="G830">
        <v>2784.89990234375</v>
      </c>
      <c r="H830">
        <v>0.62000000476837158</v>
      </c>
      <c r="I830">
        <v>1440</v>
      </c>
      <c r="J830">
        <v>1284</v>
      </c>
    </row>
    <row r="831" spans="1:10" x14ac:dyDescent="0.25">
      <c r="A831">
        <v>4064</v>
      </c>
      <c r="B831" t="str">
        <v>GSB Finance</v>
      </c>
      <c r="C831">
        <v>28.470275000000001</v>
      </c>
      <c r="D831">
        <v>14.905673980712891</v>
      </c>
      <c r="E831">
        <v>9.7454824447631836</v>
      </c>
      <c r="F831">
        <v>0.65381002426147461</v>
      </c>
      <c r="G831">
        <v>26.975000381469727</v>
      </c>
      <c r="H831">
        <v>0.25</v>
      </c>
      <c r="I831">
        <v>16.219999313354492</v>
      </c>
      <c r="J831">
        <v>1013</v>
      </c>
    </row>
    <row r="832" spans="1:10" x14ac:dyDescent="0.25">
      <c r="A832">
        <v>5059</v>
      </c>
      <c r="B832" t="str">
        <v>GSL Securities</v>
      </c>
      <c r="C832">
        <v>45.658450000000002</v>
      </c>
      <c r="D832">
        <v>11.960020065307617</v>
      </c>
      <c r="E832">
        <v>8.6421184539794922</v>
      </c>
      <c r="F832">
        <v>0.72258400917053223</v>
      </c>
      <c r="G832">
        <v>41.159999847412109</v>
      </c>
      <c r="H832">
        <v>0</v>
      </c>
      <c r="I832">
        <v>13.380000114440918</v>
      </c>
      <c r="J832">
        <v>864</v>
      </c>
    </row>
    <row r="833" spans="1:10" x14ac:dyDescent="0.25">
      <c r="A833">
        <v>27985</v>
      </c>
      <c r="B833" t="str">
        <v>GSS Infotech</v>
      </c>
      <c r="C833">
        <v>5.3801560000000004</v>
      </c>
      <c r="D833">
        <v>117.09136962890625</v>
      </c>
      <c r="E833">
        <v>78.844734191894531</v>
      </c>
      <c r="F833">
        <v>0.67336100339889526</v>
      </c>
      <c r="G833">
        <v>35.064998626708984</v>
      </c>
      <c r="H833">
        <v>0</v>
      </c>
      <c r="I833">
        <v>90.629997253417969</v>
      </c>
      <c r="J833">
        <v>1358</v>
      </c>
    </row>
    <row r="834" spans="1:10" x14ac:dyDescent="0.25">
      <c r="A834">
        <v>2439</v>
      </c>
      <c r="B834" t="str">
        <v>GTL</v>
      </c>
      <c r="C834">
        <v>34.717044999999999</v>
      </c>
      <c r="D834">
        <v>9.5828485488891602</v>
      </c>
      <c r="E834">
        <v>5.112332820892334</v>
      </c>
      <c r="F834">
        <v>0.53348797559738159</v>
      </c>
      <c r="G834">
        <v>10.152500152587891</v>
      </c>
      <c r="H834">
        <v>0</v>
      </c>
      <c r="I834">
        <v>156.35000610351563</v>
      </c>
      <c r="J834">
        <v>1299</v>
      </c>
    </row>
    <row r="835" spans="1:10" x14ac:dyDescent="0.25">
      <c r="A835">
        <v>25830</v>
      </c>
      <c r="B835" t="str">
        <v>GTL Infra.</v>
      </c>
      <c r="C835">
        <v>27.451519999999999</v>
      </c>
      <c r="D835">
        <v>1.3628599643707275</v>
      </c>
      <c r="E835">
        <v>0.71364802122116089</v>
      </c>
      <c r="F835">
        <v>0.523639976978302</v>
      </c>
      <c r="G835">
        <v>1.752500057220459</v>
      </c>
      <c r="H835">
        <v>0</v>
      </c>
      <c r="I835">
        <v>2203.31005859375</v>
      </c>
      <c r="J835">
        <v>1359</v>
      </c>
    </row>
    <row r="836" spans="1:10" x14ac:dyDescent="0.25">
      <c r="A836">
        <v>2796</v>
      </c>
      <c r="B836" t="str">
        <v>GTN Industries</v>
      </c>
      <c r="C836">
        <v>27.238301</v>
      </c>
      <c r="D836">
        <v>31.937591552734375</v>
      </c>
      <c r="E836">
        <v>16.074804306030273</v>
      </c>
      <c r="F836">
        <v>0.50331902503967285</v>
      </c>
      <c r="G836">
        <v>26.149999618530273</v>
      </c>
      <c r="H836">
        <v>0.38999998569488525</v>
      </c>
      <c r="I836">
        <v>45.25</v>
      </c>
      <c r="J836">
        <v>1271</v>
      </c>
    </row>
    <row r="837" spans="1:10" x14ac:dyDescent="0.25">
      <c r="A837">
        <v>27350</v>
      </c>
      <c r="B837" t="str">
        <v>GTN Textiles</v>
      </c>
      <c r="C837">
        <v>10.222802</v>
      </c>
      <c r="D837">
        <v>11.023122787475586</v>
      </c>
      <c r="E837">
        <v>3.6233479976654053</v>
      </c>
      <c r="F837">
        <v>0.32870399951934814</v>
      </c>
      <c r="G837">
        <v>8.8400001525878906</v>
      </c>
      <c r="H837">
        <v>0</v>
      </c>
      <c r="I837">
        <v>10.090000152587891</v>
      </c>
      <c r="J837">
        <v>1261</v>
      </c>
    </row>
    <row r="838" spans="1:10" x14ac:dyDescent="0.25">
      <c r="A838">
        <v>69803</v>
      </c>
      <c r="B838" t="str">
        <v>GTPL Hathway</v>
      </c>
      <c r="C838">
        <v>8.9634560000000008</v>
      </c>
      <c r="D838">
        <v>147.96751403808594</v>
      </c>
      <c r="E838">
        <v>52.237934112548828</v>
      </c>
      <c r="F838">
        <v>0.35303699970245361</v>
      </c>
      <c r="G838">
        <v>122.46250152587891</v>
      </c>
      <c r="H838">
        <v>0.18000000715255737</v>
      </c>
      <c r="I838">
        <v>1402.97998046875</v>
      </c>
      <c r="J838">
        <v>1359</v>
      </c>
    </row>
    <row r="839" spans="1:10" x14ac:dyDescent="0.25">
      <c r="A839">
        <v>7832</v>
      </c>
      <c r="B839" t="str">
        <v>GTV Engineering</v>
      </c>
      <c r="C839">
        <v>87.427784000000003</v>
      </c>
      <c r="D839">
        <v>299.77157592773438</v>
      </c>
      <c r="E839">
        <v>240.30422973632813</v>
      </c>
      <c r="F839">
        <v>0.80162400007247925</v>
      </c>
      <c r="G839">
        <v>1078.125</v>
      </c>
      <c r="H839">
        <v>0.37000000476837158</v>
      </c>
      <c r="I839">
        <v>336.89999389648438</v>
      </c>
      <c r="J839">
        <v>1158</v>
      </c>
    </row>
    <row r="840" spans="1:10" x14ac:dyDescent="0.25">
      <c r="A840">
        <v>26866</v>
      </c>
      <c r="B840" t="str">
        <v>GVK Power Infra.</v>
      </c>
      <c r="C840">
        <v>1.042224</v>
      </c>
      <c r="D840">
        <v>5.1481728553771973</v>
      </c>
      <c r="E840">
        <v>3.2558999061584473</v>
      </c>
      <c r="F840">
        <v>0.63243800401687622</v>
      </c>
      <c r="G840">
        <v>4.1999998092651367</v>
      </c>
      <c r="H840">
        <v>0.41999998688697815</v>
      </c>
      <c r="I840">
        <v>655.3699951171875</v>
      </c>
      <c r="J840">
        <v>996</v>
      </c>
    </row>
    <row r="841" spans="1:10" x14ac:dyDescent="0.25">
      <c r="A841">
        <v>184</v>
      </c>
      <c r="B841" t="str">
        <v>Gabriel India</v>
      </c>
      <c r="C841">
        <v>29.780868000000002</v>
      </c>
      <c r="D841">
        <v>235.19032287597656</v>
      </c>
      <c r="E841">
        <v>158.41683959960938</v>
      </c>
      <c r="F841">
        <v>0.67356902360916138</v>
      </c>
      <c r="G841">
        <v>602.86260986328125</v>
      </c>
      <c r="H841">
        <v>9.9999997764825821E-3</v>
      </c>
      <c r="I841">
        <v>8515.9296875</v>
      </c>
      <c r="J841">
        <v>1359</v>
      </c>
    </row>
    <row r="842" spans="1:10" x14ac:dyDescent="0.25">
      <c r="A842">
        <v>4037</v>
      </c>
      <c r="B842" t="str">
        <v>Gagan Gases</v>
      </c>
      <c r="C842">
        <v>18.319282999999999</v>
      </c>
      <c r="D842">
        <v>15.211148262023926</v>
      </c>
      <c r="E842">
        <v>5.8645777702331543</v>
      </c>
      <c r="F842">
        <v>0.38554498553276062</v>
      </c>
      <c r="G842">
        <v>21.917499542236328</v>
      </c>
      <c r="H842">
        <v>0.12999999523162842</v>
      </c>
      <c r="I842">
        <v>9.9399995803833008</v>
      </c>
      <c r="J842">
        <v>1166</v>
      </c>
    </row>
    <row r="843" spans="1:10" x14ac:dyDescent="0.25">
      <c r="A843">
        <v>185</v>
      </c>
      <c r="B843" t="str">
        <v>Gajra Bevel</v>
      </c>
      <c r="C843">
        <v>125.969216</v>
      </c>
      <c r="D843">
        <v>1.6014029979705811</v>
      </c>
      <c r="E843">
        <v>0.86006700992584229</v>
      </c>
      <c r="F843">
        <v>0.53707098960876465</v>
      </c>
      <c r="G843">
        <v>3.0999999046325684</v>
      </c>
      <c r="H843">
        <v>0</v>
      </c>
      <c r="I843">
        <v>3.059999942779541</v>
      </c>
      <c r="J843">
        <v>376</v>
      </c>
    </row>
    <row r="844" spans="1:10" x14ac:dyDescent="0.25">
      <c r="A844">
        <v>65853</v>
      </c>
      <c r="B844" t="str">
        <v>Gala Global</v>
      </c>
      <c r="C844">
        <v>-54.725473000000001</v>
      </c>
      <c r="D844">
        <v>25.149038314819336</v>
      </c>
      <c r="E844">
        <v>21.829292297363281</v>
      </c>
      <c r="F844">
        <v>0.86799699068069458</v>
      </c>
      <c r="G844">
        <v>3.1949999332427979</v>
      </c>
      <c r="H844">
        <v>0.5899999737739563</v>
      </c>
      <c r="I844">
        <v>17.299999237060547</v>
      </c>
      <c r="J844">
        <v>1338</v>
      </c>
    </row>
    <row r="845" spans="1:10" x14ac:dyDescent="0.25">
      <c r="A845">
        <v>74429</v>
      </c>
      <c r="B845" t="str">
        <v>Galactico Corpo.</v>
      </c>
      <c r="C845">
        <v>17.593250999999999</v>
      </c>
      <c r="D845">
        <v>8.7150869369506836</v>
      </c>
      <c r="E845">
        <v>12.012726783752441</v>
      </c>
      <c r="F845">
        <v>1.3783830404281616</v>
      </c>
      <c r="G845">
        <v>2.5099999904632568</v>
      </c>
      <c r="H845">
        <v>0.36000001430511475</v>
      </c>
      <c r="I845">
        <v>37.25</v>
      </c>
      <c r="J845">
        <v>955</v>
      </c>
    </row>
    <row r="846" spans="1:10" x14ac:dyDescent="0.25">
      <c r="A846">
        <v>6147</v>
      </c>
      <c r="B846" t="str">
        <v>Galada Finance</v>
      </c>
      <c r="C846">
        <v>13.620543</v>
      </c>
      <c r="D846">
        <v>16.013509750366211</v>
      </c>
      <c r="E846">
        <v>4.1890449523925781</v>
      </c>
      <c r="F846">
        <v>0.26159399747848511</v>
      </c>
      <c r="G846">
        <v>20.549999237060547</v>
      </c>
      <c r="H846">
        <v>0.97000002861022949</v>
      </c>
      <c r="I846">
        <v>6.1700000762939453</v>
      </c>
      <c r="J846">
        <v>696</v>
      </c>
    </row>
    <row r="847" spans="1:10" x14ac:dyDescent="0.25">
      <c r="A847">
        <v>2475</v>
      </c>
      <c r="B847" t="str">
        <v>Galada Power</v>
      </c>
      <c r="C847">
        <v>43.121467000000003</v>
      </c>
      <c r="D847">
        <v>1.9823960065841675</v>
      </c>
      <c r="E847">
        <v>0.96199101209640503</v>
      </c>
      <c r="F847">
        <v>0.48526701331138611</v>
      </c>
      <c r="G847">
        <v>2.8299999237060547</v>
      </c>
      <c r="H847">
        <v>0</v>
      </c>
      <c r="I847">
        <v>2.119999885559082</v>
      </c>
      <c r="J847">
        <v>699</v>
      </c>
    </row>
    <row r="848" spans="1:10" x14ac:dyDescent="0.25">
      <c r="A848">
        <v>3074</v>
      </c>
      <c r="B848" t="str">
        <v>Galaxy Bearings</v>
      </c>
      <c r="C848">
        <v>37.083281999999997</v>
      </c>
      <c r="D848">
        <v>792.54669189453125</v>
      </c>
      <c r="E848">
        <v>519.70849609375</v>
      </c>
      <c r="F848">
        <v>0.65574502944946289</v>
      </c>
      <c r="G848">
        <v>923.8499755859375</v>
      </c>
      <c r="H848">
        <v>0.11999999731779099</v>
      </c>
      <c r="I848">
        <v>290.19000244140625</v>
      </c>
      <c r="J848">
        <v>1317</v>
      </c>
    </row>
    <row r="849" spans="1:10" x14ac:dyDescent="0.25">
      <c r="A849">
        <v>21319</v>
      </c>
      <c r="B849" t="str">
        <v>Galaxy Cloud</v>
      </c>
      <c r="C849">
        <v>5.1878799999999998</v>
      </c>
      <c r="D849">
        <v>20.946067810058594</v>
      </c>
      <c r="E849">
        <v>12.531837463378906</v>
      </c>
      <c r="F849">
        <v>0.59829097986221313</v>
      </c>
      <c r="G849">
        <v>41.944999694824219</v>
      </c>
      <c r="H849">
        <v>0</v>
      </c>
      <c r="I849">
        <v>200.35000610351563</v>
      </c>
      <c r="J849">
        <v>1276</v>
      </c>
    </row>
    <row r="850" spans="1:10" x14ac:dyDescent="0.25">
      <c r="A850">
        <v>7167</v>
      </c>
      <c r="B850" t="str">
        <v>Galaxy Surfact.</v>
      </c>
      <c r="C850">
        <v>9.5667570000000008</v>
      </c>
      <c r="D850">
        <v>2522.078857421875</v>
      </c>
      <c r="E850">
        <v>529.93780517578125</v>
      </c>
      <c r="F850">
        <v>0.21011899411678314</v>
      </c>
      <c r="G850">
        <v>2505.712646484375</v>
      </c>
      <c r="H850">
        <v>0.11999999731779099</v>
      </c>
      <c r="I850">
        <v>8848.4404296875</v>
      </c>
      <c r="J850">
        <v>1359</v>
      </c>
    </row>
    <row r="851" spans="1:10" x14ac:dyDescent="0.25">
      <c r="A851">
        <v>27243</v>
      </c>
      <c r="B851" t="str">
        <v>Gallantt Ispat L</v>
      </c>
      <c r="C851">
        <v>53.331527000000001</v>
      </c>
      <c r="D851">
        <v>130.83090209960938</v>
      </c>
      <c r="E851">
        <v>125.67330932617188</v>
      </c>
      <c r="F851">
        <v>0.96057802438735962</v>
      </c>
      <c r="G851">
        <v>462.83749389648438</v>
      </c>
      <c r="H851">
        <v>0.20999999344348907</v>
      </c>
      <c r="I851">
        <v>11346.240234375</v>
      </c>
      <c r="J851">
        <v>1348</v>
      </c>
    </row>
    <row r="852" spans="1:10" x14ac:dyDescent="0.25">
      <c r="A852">
        <v>7418</v>
      </c>
      <c r="B852" t="str">
        <v>Gallops Enterp.</v>
      </c>
      <c r="C852">
        <v>4.673025</v>
      </c>
      <c r="D852">
        <v>26.835430145263672</v>
      </c>
      <c r="E852">
        <v>16.513803482055664</v>
      </c>
      <c r="F852">
        <v>0.61537301540374756</v>
      </c>
      <c r="G852">
        <v>18.362499237060547</v>
      </c>
      <c r="H852">
        <v>0</v>
      </c>
      <c r="I852">
        <v>9.3100004196166992</v>
      </c>
      <c r="J852">
        <v>861</v>
      </c>
    </row>
    <row r="853" spans="1:10" x14ac:dyDescent="0.25">
      <c r="A853">
        <v>897</v>
      </c>
      <c r="B853" t="str">
        <v>Gandhi Spl. Tube</v>
      </c>
      <c r="C853">
        <v>17.344681000000001</v>
      </c>
      <c r="D853">
        <v>498.938720703125</v>
      </c>
      <c r="E853">
        <v>210.80923461914063</v>
      </c>
      <c r="F853">
        <v>0.42251500487327576</v>
      </c>
      <c r="G853">
        <v>701.4625244140625</v>
      </c>
      <c r="H853">
        <v>0</v>
      </c>
      <c r="I853">
        <v>844.260009765625</v>
      </c>
      <c r="J853">
        <v>1343</v>
      </c>
    </row>
    <row r="854" spans="1:10" x14ac:dyDescent="0.25">
      <c r="A854">
        <v>1088</v>
      </c>
      <c r="B854" t="str">
        <v>Ganesh Benzopl.</v>
      </c>
      <c r="C854">
        <v>16.414456999999999</v>
      </c>
      <c r="D854">
        <v>112.78476715087891</v>
      </c>
      <c r="E854">
        <v>45.544746398925781</v>
      </c>
      <c r="F854">
        <v>0.40382000803947449</v>
      </c>
      <c r="G854">
        <v>98.800003051757813</v>
      </c>
      <c r="H854">
        <v>0.14000000059604645</v>
      </c>
      <c r="I854">
        <v>705.5</v>
      </c>
      <c r="J854">
        <v>1359</v>
      </c>
    </row>
    <row r="855" spans="1:10" x14ac:dyDescent="0.25">
      <c r="A855">
        <v>3446</v>
      </c>
      <c r="B855" t="str">
        <v>Ganesh Housing</v>
      </c>
      <c r="C855">
        <v>66.675906999999995</v>
      </c>
      <c r="D855">
        <v>408.22897338867188</v>
      </c>
      <c r="E855">
        <v>376.350830078125</v>
      </c>
      <c r="F855">
        <v>0.92191100120544434</v>
      </c>
      <c r="G855">
        <v>947.0250244140625</v>
      </c>
      <c r="H855">
        <v>9.9999997764825821E-3</v>
      </c>
      <c r="I855">
        <v>7832.1298828125</v>
      </c>
      <c r="J855">
        <v>1353</v>
      </c>
    </row>
    <row r="856" spans="1:10" x14ac:dyDescent="0.25">
      <c r="A856">
        <v>2278</v>
      </c>
      <c r="B856" t="str">
        <v>Ganesha Ecosphe.</v>
      </c>
      <c r="C856">
        <v>34.055621000000002</v>
      </c>
      <c r="D856">
        <v>860.17950439453125</v>
      </c>
      <c r="E856">
        <v>514.73095703125</v>
      </c>
      <c r="F856">
        <v>0.59839898347854614</v>
      </c>
      <c r="G856">
        <v>1483.7249755859375</v>
      </c>
      <c r="H856">
        <v>9.0000003576278687E-2</v>
      </c>
      <c r="I856">
        <v>3778.830078125</v>
      </c>
      <c r="J856">
        <v>1351</v>
      </c>
    </row>
    <row r="857" spans="1:10" x14ac:dyDescent="0.25">
      <c r="A857">
        <v>65807</v>
      </c>
      <c r="B857" t="str">
        <v>Ganges Securitie</v>
      </c>
      <c r="C857">
        <v>25.659309</v>
      </c>
      <c r="D857">
        <v>109.16359710693359</v>
      </c>
      <c r="E857">
        <v>44.529689788818359</v>
      </c>
      <c r="F857">
        <v>0.40791699290275574</v>
      </c>
      <c r="G857">
        <v>165.19999694824219</v>
      </c>
      <c r="H857">
        <v>0</v>
      </c>
      <c r="I857">
        <v>161.21000671386719</v>
      </c>
      <c r="J857">
        <v>1284</v>
      </c>
    </row>
    <row r="858" spans="1:10" x14ac:dyDescent="0.25">
      <c r="A858">
        <v>4031</v>
      </c>
      <c r="B858" t="str">
        <v>Gangotri Textile</v>
      </c>
      <c r="C858">
        <v>-6.1332849999999999</v>
      </c>
      <c r="D858">
        <v>1.0267699956893921</v>
      </c>
      <c r="E858">
        <v>0.19558799266815186</v>
      </c>
      <c r="F858">
        <v>0.19048899412155151</v>
      </c>
      <c r="G858">
        <v>0.69999998807907104</v>
      </c>
      <c r="H858">
        <v>0</v>
      </c>
      <c r="I858">
        <v>2.190000057220459</v>
      </c>
      <c r="J858">
        <v>185</v>
      </c>
    </row>
    <row r="859" spans="1:10" x14ac:dyDescent="0.25">
      <c r="A859">
        <v>13229</v>
      </c>
      <c r="B859" t="str">
        <v>Garden Reach Sh.</v>
      </c>
      <c r="C859">
        <v>54.038705</v>
      </c>
      <c r="D859">
        <v>665.45660400390625</v>
      </c>
      <c r="E859">
        <v>656.908935546875</v>
      </c>
      <c r="F859">
        <v>0.98715502023696899</v>
      </c>
      <c r="G859">
        <v>3186.58740234375</v>
      </c>
      <c r="H859">
        <v>0.11999999731779099</v>
      </c>
      <c r="I859">
        <v>35933.23828125</v>
      </c>
      <c r="J859">
        <v>1359</v>
      </c>
    </row>
    <row r="860" spans="1:10" x14ac:dyDescent="0.25">
      <c r="A860">
        <v>5147</v>
      </c>
      <c r="B860" t="str">
        <v>Garg Furnace</v>
      </c>
      <c r="C860">
        <v>51.253928999999999</v>
      </c>
      <c r="D860">
        <v>126.78141784667969</v>
      </c>
      <c r="E860">
        <v>116.78343963623047</v>
      </c>
      <c r="F860">
        <v>0.92114001512527466</v>
      </c>
      <c r="G860">
        <v>168.64999389648438</v>
      </c>
      <c r="H860">
        <v>9.0000003576278687E-2</v>
      </c>
      <c r="I860">
        <v>92</v>
      </c>
      <c r="J860">
        <v>1130</v>
      </c>
    </row>
    <row r="861" spans="1:10" x14ac:dyDescent="0.25">
      <c r="A861">
        <v>65916</v>
      </c>
      <c r="B861" t="str">
        <v>Garment Mantra</v>
      </c>
      <c r="C861">
        <v>9.2951160000000002</v>
      </c>
      <c r="D861">
        <v>2.6200520992279053</v>
      </c>
      <c r="E861">
        <v>1.3943790197372437</v>
      </c>
      <c r="F861">
        <v>0.53219497203826904</v>
      </c>
      <c r="G861">
        <v>1.7749999761581421</v>
      </c>
      <c r="H861">
        <v>0.87000000476837158</v>
      </c>
      <c r="I861">
        <v>55.119998931884766</v>
      </c>
      <c r="J861">
        <v>1245</v>
      </c>
    </row>
    <row r="862" spans="1:10" x14ac:dyDescent="0.25">
      <c r="A862">
        <v>4544</v>
      </c>
      <c r="B862" t="str">
        <v>Garnet Construct</v>
      </c>
      <c r="C862">
        <v>26.251241</v>
      </c>
      <c r="D862">
        <v>22.127212524414063</v>
      </c>
      <c r="E862">
        <v>8.5232839584350586</v>
      </c>
      <c r="F862">
        <v>0.38519498705863953</v>
      </c>
      <c r="G862">
        <v>28.637500762939453</v>
      </c>
      <c r="H862">
        <v>0.12999999523162842</v>
      </c>
      <c r="I862">
        <v>40.139999389648438</v>
      </c>
      <c r="J862">
        <v>1345</v>
      </c>
    </row>
    <row r="863" spans="1:10" x14ac:dyDescent="0.25">
      <c r="A863">
        <v>6030</v>
      </c>
      <c r="B863" t="str">
        <v>Garnet Intl.</v>
      </c>
      <c r="C863">
        <v>28.295943999999999</v>
      </c>
      <c r="D863">
        <v>61.726772308349609</v>
      </c>
      <c r="E863">
        <v>36.036922454833984</v>
      </c>
      <c r="F863">
        <v>0.58381402492523193</v>
      </c>
      <c r="G863">
        <v>121.75</v>
      </c>
      <c r="H863">
        <v>0.20000000298023224</v>
      </c>
      <c r="I863">
        <v>234.63999938964844</v>
      </c>
      <c r="J863">
        <v>1315</v>
      </c>
    </row>
    <row r="864" spans="1:10" x14ac:dyDescent="0.25">
      <c r="A864">
        <v>4909</v>
      </c>
      <c r="B864" t="str">
        <v>Garodia Chemical</v>
      </c>
      <c r="C864">
        <v>9.2915880000000008</v>
      </c>
      <c r="D864">
        <v>7.0870161056518555</v>
      </c>
      <c r="E864">
        <v>2.1732339859008789</v>
      </c>
      <c r="F864">
        <v>0.30665001273155212</v>
      </c>
      <c r="G864">
        <v>8.380000114440918</v>
      </c>
      <c r="H864">
        <v>0</v>
      </c>
      <c r="I864">
        <v>5.820000171661377</v>
      </c>
      <c r="J864">
        <v>196</v>
      </c>
    </row>
    <row r="865" spans="1:10" x14ac:dyDescent="0.25">
      <c r="A865">
        <v>189</v>
      </c>
      <c r="B865" t="str">
        <v>Garware Hi Tech</v>
      </c>
      <c r="C865">
        <v>57.535556</v>
      </c>
      <c r="D865">
        <v>1333.0518798828125</v>
      </c>
      <c r="E865">
        <v>1260.690185546875</v>
      </c>
      <c r="F865">
        <v>0.9457169771194458</v>
      </c>
      <c r="G865">
        <v>4207.3251953125</v>
      </c>
      <c r="H865">
        <v>3.9999999105930328E-2</v>
      </c>
      <c r="I865">
        <v>9441.8798828125</v>
      </c>
      <c r="J865">
        <v>1359</v>
      </c>
    </row>
    <row r="866" spans="1:10" x14ac:dyDescent="0.25">
      <c r="A866">
        <v>654</v>
      </c>
      <c r="B866" t="str">
        <v>Garware Marine</v>
      </c>
      <c r="C866">
        <v>38.857278000000001</v>
      </c>
      <c r="D866">
        <v>13.094047546386719</v>
      </c>
      <c r="E866">
        <v>10.305452346801758</v>
      </c>
      <c r="F866">
        <v>0.78703302145004272</v>
      </c>
      <c r="G866">
        <v>27.430000305175781</v>
      </c>
      <c r="H866">
        <v>0</v>
      </c>
      <c r="I866">
        <v>15.510000228881836</v>
      </c>
      <c r="J866">
        <v>1212</v>
      </c>
    </row>
    <row r="867" spans="1:10" x14ac:dyDescent="0.25">
      <c r="A867">
        <v>3886</v>
      </c>
      <c r="B867" t="str">
        <v>Garware Synth</v>
      </c>
      <c r="C867">
        <v>54.649267000000002</v>
      </c>
      <c r="D867">
        <v>14.902389526367188</v>
      </c>
      <c r="E867">
        <v>8.3798751831054688</v>
      </c>
      <c r="F867">
        <v>0.56231802701950073</v>
      </c>
      <c r="G867">
        <v>27.677499771118164</v>
      </c>
      <c r="H867">
        <v>0</v>
      </c>
      <c r="I867">
        <v>16.629999160766602</v>
      </c>
      <c r="J867">
        <v>1118</v>
      </c>
    </row>
    <row r="868" spans="1:10" x14ac:dyDescent="0.25">
      <c r="A868">
        <v>190</v>
      </c>
      <c r="B868" t="str">
        <v>Garware Tech.</v>
      </c>
      <c r="C868">
        <v>23.990991999999999</v>
      </c>
      <c r="D868">
        <v>607.06573486328125</v>
      </c>
      <c r="E868">
        <v>166.44039916992188</v>
      </c>
      <c r="F868">
        <v>0.27417200803756714</v>
      </c>
      <c r="G868">
        <v>858.3125</v>
      </c>
      <c r="H868">
        <v>0.10999999940395355</v>
      </c>
      <c r="I868">
        <v>8438.08984375</v>
      </c>
      <c r="J868">
        <v>1359</v>
      </c>
    </row>
    <row r="869" spans="1:10" x14ac:dyDescent="0.25">
      <c r="A869">
        <v>71798</v>
      </c>
      <c r="B869" t="str">
        <v>Gautam Gems</v>
      </c>
      <c r="C869">
        <v>-39.924075000000002</v>
      </c>
      <c r="D869">
        <v>12.85233211517334</v>
      </c>
      <c r="E869">
        <v>7.6462721824645996</v>
      </c>
      <c r="F869">
        <v>0.59493297338485718</v>
      </c>
      <c r="G869">
        <v>4.7800002098083496</v>
      </c>
      <c r="H869">
        <v>0.14000000059604645</v>
      </c>
      <c r="I869">
        <v>19.360000610351563</v>
      </c>
      <c r="J869">
        <v>1183</v>
      </c>
    </row>
    <row r="870" spans="1:10" x14ac:dyDescent="0.25">
      <c r="A870">
        <v>3830</v>
      </c>
      <c r="B870" t="str">
        <v>Gayatri BioOrga.</v>
      </c>
      <c r="C870">
        <v>33.214047000000001</v>
      </c>
      <c r="D870">
        <v>9.2354307174682617</v>
      </c>
      <c r="E870">
        <v>4.2573771476745605</v>
      </c>
      <c r="F870">
        <v>0.46098300814628601</v>
      </c>
      <c r="G870">
        <v>7.6075000762939453</v>
      </c>
      <c r="H870">
        <v>0</v>
      </c>
      <c r="I870">
        <v>60.119998931884766</v>
      </c>
      <c r="J870">
        <v>1240</v>
      </c>
    </row>
    <row r="871" spans="1:10" x14ac:dyDescent="0.25">
      <c r="A871">
        <v>16427</v>
      </c>
      <c r="B871" t="str">
        <v>Gayatri Sugars</v>
      </c>
      <c r="C871">
        <v>51.331879999999998</v>
      </c>
      <c r="D871">
        <v>8.9966802597045898</v>
      </c>
      <c r="E871">
        <v>8.4848899841308594</v>
      </c>
      <c r="F871">
        <v>0.94311302900314331</v>
      </c>
      <c r="G871">
        <v>12.922499656677246</v>
      </c>
      <c r="H871">
        <v>0</v>
      </c>
      <c r="I871">
        <v>94.290000915527344</v>
      </c>
      <c r="J871">
        <v>1159</v>
      </c>
    </row>
    <row r="872" spans="1:10" x14ac:dyDescent="0.25">
      <c r="A872">
        <v>12669</v>
      </c>
      <c r="B872" t="str">
        <v>GeeCee Vent.</v>
      </c>
      <c r="C872">
        <v>30.129429999999999</v>
      </c>
      <c r="D872">
        <v>192.70927429199219</v>
      </c>
      <c r="E872">
        <v>114.27320098876953</v>
      </c>
      <c r="F872">
        <v>0.59298199415206909</v>
      </c>
      <c r="G872">
        <v>387.5</v>
      </c>
      <c r="H872">
        <v>0</v>
      </c>
      <c r="I872">
        <v>808.8699951171875</v>
      </c>
      <c r="J872">
        <v>1358</v>
      </c>
    </row>
    <row r="873" spans="1:10" x14ac:dyDescent="0.25">
      <c r="A873">
        <v>67181</v>
      </c>
      <c r="B873" t="str">
        <v>Geetanjali Cred.</v>
      </c>
      <c r="C873">
        <v>23.087976000000001</v>
      </c>
      <c r="D873">
        <v>2.7337501049041748</v>
      </c>
      <c r="E873">
        <v>1.4630630016326904</v>
      </c>
      <c r="F873">
        <v>0.53518497943878174</v>
      </c>
      <c r="G873">
        <v>4.059999942779541</v>
      </c>
      <c r="H873">
        <v>0</v>
      </c>
      <c r="I873">
        <v>1.75</v>
      </c>
      <c r="J873">
        <v>230</v>
      </c>
    </row>
    <row r="874" spans="1:10" x14ac:dyDescent="0.25">
      <c r="A874">
        <v>3612</v>
      </c>
      <c r="B874" t="str">
        <v>Gem Spinners</v>
      </c>
      <c r="C874">
        <v>10.45857</v>
      </c>
      <c r="D874">
        <v>5.6227779388427734</v>
      </c>
      <c r="E874">
        <v>2.5487511157989502</v>
      </c>
      <c r="F874">
        <v>0.45328998565673828</v>
      </c>
      <c r="G874">
        <v>3.9900000095367432</v>
      </c>
      <c r="H874">
        <v>0</v>
      </c>
      <c r="I874">
        <v>24.489999771118164</v>
      </c>
      <c r="J874">
        <v>361</v>
      </c>
    </row>
    <row r="875" spans="1:10" x14ac:dyDescent="0.25">
      <c r="A875">
        <v>5888</v>
      </c>
      <c r="B875" t="str">
        <v>Gemstone Invest.</v>
      </c>
      <c r="C875">
        <v>24.219186000000001</v>
      </c>
      <c r="D875">
        <v>1.6013549566268921</v>
      </c>
      <c r="E875">
        <v>0.77771598100662231</v>
      </c>
      <c r="F875">
        <v>0.48566100001335144</v>
      </c>
      <c r="G875">
        <v>2.3050000667572021</v>
      </c>
      <c r="H875">
        <v>0</v>
      </c>
      <c r="I875">
        <v>16.969999313354492</v>
      </c>
      <c r="J875">
        <v>1266</v>
      </c>
    </row>
    <row r="876" spans="1:10" x14ac:dyDescent="0.25">
      <c r="A876">
        <v>5483</v>
      </c>
      <c r="B876" t="str">
        <v>General Insuranc</v>
      </c>
      <c r="C876">
        <v>9.0959979999999998</v>
      </c>
      <c r="D876">
        <v>222.97613525390625</v>
      </c>
      <c r="E876">
        <v>108.67458343505859</v>
      </c>
      <c r="F876">
        <v>0.48738199472427368</v>
      </c>
      <c r="G876">
        <v>372.53750610351563</v>
      </c>
      <c r="H876">
        <v>0</v>
      </c>
      <c r="I876">
        <v>65088.23828125</v>
      </c>
      <c r="J876">
        <v>1359</v>
      </c>
    </row>
    <row r="877" spans="1:10" x14ac:dyDescent="0.25">
      <c r="A877">
        <v>7610</v>
      </c>
      <c r="B877" t="str">
        <v>Generic Engineer</v>
      </c>
      <c r="C877">
        <v>-7.1858050000000002</v>
      </c>
      <c r="D877">
        <v>45.845970153808594</v>
      </c>
      <c r="E877">
        <v>10.294258117675781</v>
      </c>
      <c r="F877">
        <v>0.22453999519348145</v>
      </c>
      <c r="G877">
        <v>43.099998474121094</v>
      </c>
      <c r="H877">
        <v>0.25</v>
      </c>
      <c r="I877">
        <v>240.53999328613281</v>
      </c>
      <c r="J877">
        <v>1359</v>
      </c>
    </row>
    <row r="878" spans="1:10" x14ac:dyDescent="0.25">
      <c r="A878">
        <v>3416</v>
      </c>
      <c r="B878" t="str">
        <v>Genesis IBRC</v>
      </c>
      <c r="C878">
        <v>18.678024000000001</v>
      </c>
      <c r="D878">
        <v>11.08149528503418</v>
      </c>
      <c r="E878">
        <v>3.7346329689025879</v>
      </c>
      <c r="F878">
        <v>0.33701500296592712</v>
      </c>
      <c r="G878">
        <v>20.209999084472656</v>
      </c>
      <c r="H878">
        <v>0</v>
      </c>
      <c r="I878">
        <v>26.270000457763672</v>
      </c>
      <c r="J878">
        <v>117</v>
      </c>
    </row>
    <row r="879" spans="1:10" x14ac:dyDescent="0.25">
      <c r="A879">
        <v>2371</v>
      </c>
      <c r="B879" t="str">
        <v>Genesys Intl.</v>
      </c>
      <c r="C879">
        <v>44.583329999999997</v>
      </c>
      <c r="D879">
        <v>386.73025512695313</v>
      </c>
      <c r="E879">
        <v>258.8660888671875</v>
      </c>
      <c r="F879">
        <v>0.66937100887298584</v>
      </c>
      <c r="G879">
        <v>648.11260986328125</v>
      </c>
      <c r="H879">
        <v>0.10000000149011612</v>
      </c>
      <c r="I879">
        <v>2691.6201171875</v>
      </c>
      <c r="J879">
        <v>1342</v>
      </c>
    </row>
    <row r="880" spans="1:10" x14ac:dyDescent="0.25">
      <c r="A880">
        <v>14707</v>
      </c>
      <c r="B880" t="str">
        <v>Gennex Lab.</v>
      </c>
      <c r="C880">
        <v>30.449988999999999</v>
      </c>
      <c r="D880">
        <v>9.201202392578125</v>
      </c>
      <c r="E880">
        <v>5.4530057907104492</v>
      </c>
      <c r="F880">
        <v>0.59264099597930908</v>
      </c>
      <c r="G880">
        <v>12.427499771118164</v>
      </c>
      <c r="H880">
        <v>9.9999997764825821E-3</v>
      </c>
      <c r="I880">
        <v>277.94000244140625</v>
      </c>
      <c r="J880">
        <v>1359</v>
      </c>
    </row>
    <row r="881" spans="1:10" x14ac:dyDescent="0.25">
      <c r="A881">
        <v>51493</v>
      </c>
      <c r="B881" t="str">
        <v>Genomic Valley</v>
      </c>
      <c r="C881">
        <v>33.052366999999997</v>
      </c>
      <c r="D881">
        <v>47.817920684814453</v>
      </c>
      <c r="E881">
        <v>24.021518707275391</v>
      </c>
      <c r="F881">
        <v>0.50235402584075928</v>
      </c>
      <c r="G881">
        <v>46.360000610351563</v>
      </c>
      <c r="H881">
        <v>0</v>
      </c>
      <c r="I881">
        <v>14.569999694824219</v>
      </c>
      <c r="J881">
        <v>506</v>
      </c>
    </row>
    <row r="882" spans="1:10" x14ac:dyDescent="0.25">
      <c r="A882">
        <v>14666</v>
      </c>
      <c r="B882" t="str">
        <v>Genpharmasec</v>
      </c>
      <c r="C882">
        <v>-24.250059</v>
      </c>
      <c r="D882">
        <v>3.9984850883483887</v>
      </c>
      <c r="E882">
        <v>1.9333599805831909</v>
      </c>
      <c r="F882">
        <v>0.48352301120758057</v>
      </c>
      <c r="G882">
        <v>2.0625</v>
      </c>
      <c r="H882">
        <v>7.9999998211860657E-2</v>
      </c>
      <c r="I882">
        <v>113.51000213623047</v>
      </c>
      <c r="J882">
        <v>1337</v>
      </c>
    </row>
    <row r="883" spans="1:10" x14ac:dyDescent="0.25">
      <c r="A883">
        <v>43083</v>
      </c>
      <c r="B883" t="str">
        <v>Genus Paper &amp; Bo</v>
      </c>
      <c r="C883">
        <v>24.896267999999999</v>
      </c>
      <c r="D883">
        <v>14.580075263977051</v>
      </c>
      <c r="E883">
        <v>6.4438161849975586</v>
      </c>
      <c r="F883">
        <v>0.44196000695228577</v>
      </c>
      <c r="G883">
        <v>18.799999237060547</v>
      </c>
      <c r="H883">
        <v>0.61000001430511475</v>
      </c>
      <c r="I883">
        <v>479.79998779296875</v>
      </c>
      <c r="J883">
        <v>1357</v>
      </c>
    </row>
    <row r="884" spans="1:10" x14ac:dyDescent="0.25">
      <c r="A884">
        <v>4962</v>
      </c>
      <c r="B884" t="str">
        <v>Genus Power</v>
      </c>
      <c r="C884">
        <v>50.862890999999998</v>
      </c>
      <c r="D884">
        <v>148.61662292480469</v>
      </c>
      <c r="E884">
        <v>128.86856079101563</v>
      </c>
      <c r="F884">
        <v>0.86712098121643066</v>
      </c>
      <c r="G884">
        <v>355.61248779296875</v>
      </c>
      <c r="H884">
        <v>0.37000000476837158</v>
      </c>
      <c r="I884">
        <v>10666.3603515625</v>
      </c>
      <c r="J884">
        <v>1359</v>
      </c>
    </row>
    <row r="885" spans="1:10" x14ac:dyDescent="0.25">
      <c r="A885">
        <v>22360</v>
      </c>
      <c r="B885" t="str">
        <v>Genus Prime</v>
      </c>
      <c r="C885">
        <v>51.948475999999999</v>
      </c>
      <c r="D885">
        <v>13.768369674682617</v>
      </c>
      <c r="E885">
        <v>8.0808563232421875</v>
      </c>
      <c r="F885">
        <v>0.58691400289535522</v>
      </c>
      <c r="G885">
        <v>27.555000305175781</v>
      </c>
      <c r="H885">
        <v>0.43000000715255737</v>
      </c>
      <c r="I885">
        <v>40.470001220703125</v>
      </c>
      <c r="J885">
        <v>1190</v>
      </c>
    </row>
    <row r="886" spans="1:10" x14ac:dyDescent="0.25">
      <c r="A886">
        <v>6064</v>
      </c>
      <c r="B886" t="str">
        <v>Geojit Fin. Ser.</v>
      </c>
      <c r="C886">
        <v>21.281396999999998</v>
      </c>
      <c r="D886">
        <v>59.878154754638672</v>
      </c>
      <c r="E886">
        <v>27.553508758544922</v>
      </c>
      <c r="F886">
        <v>0.46015998721122742</v>
      </c>
      <c r="G886">
        <v>79.849998474121094</v>
      </c>
      <c r="H886">
        <v>0.37000000476837158</v>
      </c>
      <c r="I886">
        <v>2192.300048828125</v>
      </c>
      <c r="J886">
        <v>1359</v>
      </c>
    </row>
    <row r="887" spans="1:10" x14ac:dyDescent="0.25">
      <c r="A887">
        <v>74421</v>
      </c>
      <c r="B887" t="str">
        <v>Gian Lifecare</v>
      </c>
      <c r="C887">
        <v>8.2666409999999999</v>
      </c>
      <c r="D887">
        <v>23.384918212890625</v>
      </c>
      <c r="E887">
        <v>9.7389545440673828</v>
      </c>
      <c r="F887">
        <v>0.41646298766136169</v>
      </c>
      <c r="G887">
        <v>15.612500190734863</v>
      </c>
      <c r="H887">
        <v>0.25</v>
      </c>
      <c r="I887">
        <v>16.420000076293945</v>
      </c>
      <c r="J887">
        <v>1037</v>
      </c>
    </row>
    <row r="888" spans="1:10" x14ac:dyDescent="0.25">
      <c r="A888">
        <v>12191</v>
      </c>
      <c r="B888" t="str">
        <v>Gilada Finance</v>
      </c>
      <c r="C888">
        <v>30.309736999999998</v>
      </c>
      <c r="D888">
        <v>12.625215530395508</v>
      </c>
      <c r="E888">
        <v>4.557091236114502</v>
      </c>
      <c r="F888">
        <v>0.3609519898891449</v>
      </c>
      <c r="G888">
        <v>12.265000343322754</v>
      </c>
      <c r="H888">
        <v>0.54000002145767212</v>
      </c>
      <c r="I888">
        <v>17.280000686645508</v>
      </c>
      <c r="J888">
        <v>1050</v>
      </c>
    </row>
    <row r="889" spans="1:10" x14ac:dyDescent="0.25">
      <c r="A889">
        <v>2415</v>
      </c>
      <c r="B889" t="str">
        <v>Gillanders Arbut</v>
      </c>
      <c r="C889">
        <v>30.375919</v>
      </c>
      <c r="D889">
        <v>69.820625305175781</v>
      </c>
      <c r="E889">
        <v>28.754306793212891</v>
      </c>
      <c r="F889">
        <v>0.41183099150657654</v>
      </c>
      <c r="G889">
        <v>139.57499694824219</v>
      </c>
      <c r="H889">
        <v>0.25</v>
      </c>
      <c r="I889">
        <v>288.1199951171875</v>
      </c>
      <c r="J889">
        <v>1310</v>
      </c>
    </row>
    <row r="890" spans="1:10" x14ac:dyDescent="0.25">
      <c r="A890">
        <v>288</v>
      </c>
      <c r="B890" t="str">
        <v>Gillette India</v>
      </c>
      <c r="C890">
        <v>8.4779479999999996</v>
      </c>
      <c r="D890">
        <v>6121.87841796875</v>
      </c>
      <c r="E890">
        <v>1409.2186279296875</v>
      </c>
      <c r="F890">
        <v>0.23019400238990784</v>
      </c>
      <c r="G890">
        <v>10428.8623046875</v>
      </c>
      <c r="H890">
        <v>0</v>
      </c>
      <c r="I890">
        <v>33898.98046875</v>
      </c>
      <c r="J890">
        <v>1359</v>
      </c>
    </row>
    <row r="891" spans="1:10" x14ac:dyDescent="0.25">
      <c r="A891">
        <v>14902</v>
      </c>
      <c r="B891" t="str">
        <v>Gini Silk Mills</v>
      </c>
      <c r="C891">
        <v>18.633220999999999</v>
      </c>
      <c r="D891">
        <v>65.735374450683594</v>
      </c>
      <c r="E891">
        <v>28.681324005126953</v>
      </c>
      <c r="F891">
        <v>0.43631500005722046</v>
      </c>
      <c r="G891">
        <v>92.62750244140625</v>
      </c>
      <c r="H891">
        <v>0.18999999761581421</v>
      </c>
      <c r="I891">
        <v>47.819999694824219</v>
      </c>
      <c r="J891">
        <v>1153</v>
      </c>
    </row>
    <row r="892" spans="1:10" x14ac:dyDescent="0.25">
      <c r="A892">
        <v>1846</v>
      </c>
      <c r="B892" t="str">
        <v>Ginni Filaments</v>
      </c>
      <c r="C892">
        <v>34.425454999999999</v>
      </c>
      <c r="D892">
        <v>28.224630355834961</v>
      </c>
      <c r="E892">
        <v>11.016779899597168</v>
      </c>
      <c r="F892">
        <v>0.39032500982284546</v>
      </c>
      <c r="G892">
        <v>49.017501831054688</v>
      </c>
      <c r="H892">
        <v>0.70999997854232788</v>
      </c>
      <c r="I892">
        <v>422</v>
      </c>
      <c r="J892">
        <v>1358</v>
      </c>
    </row>
    <row r="893" spans="1:10" x14ac:dyDescent="0.25">
      <c r="A893">
        <v>40156</v>
      </c>
      <c r="B893" t="str">
        <v>Gita Renewable</v>
      </c>
      <c r="C893">
        <v>63.11206</v>
      </c>
      <c r="D893">
        <v>130.22756958007813</v>
      </c>
      <c r="E893">
        <v>59.577079772949219</v>
      </c>
      <c r="F893">
        <v>0.45748400688171387</v>
      </c>
      <c r="G893">
        <v>120.27500152587891</v>
      </c>
      <c r="H893">
        <v>0</v>
      </c>
      <c r="I893">
        <v>48.979999542236328</v>
      </c>
      <c r="J893">
        <v>1147</v>
      </c>
    </row>
    <row r="894" spans="1:10" x14ac:dyDescent="0.25">
      <c r="A894">
        <v>6142</v>
      </c>
      <c r="B894" t="str">
        <v>Glance Finance</v>
      </c>
      <c r="C894">
        <v>31.556090000000001</v>
      </c>
      <c r="D894">
        <v>75.414749145507813</v>
      </c>
      <c r="E894">
        <v>38.385753631591797</v>
      </c>
      <c r="F894">
        <v>0.50899499654769897</v>
      </c>
      <c r="G894">
        <v>173.30000305175781</v>
      </c>
      <c r="H894">
        <v>0.31999999284744263</v>
      </c>
      <c r="I894">
        <v>40.189998626708984</v>
      </c>
      <c r="J894">
        <v>1155</v>
      </c>
    </row>
    <row r="895" spans="1:10" x14ac:dyDescent="0.25">
      <c r="A895">
        <v>195</v>
      </c>
      <c r="B895" t="str">
        <v>Glaxosmi. Pharma</v>
      </c>
      <c r="C895">
        <v>12.714218000000001</v>
      </c>
      <c r="D895">
        <v>1754.438232421875</v>
      </c>
      <c r="E895">
        <v>501.21975708007813</v>
      </c>
      <c r="F895">
        <v>0.28568699955940247</v>
      </c>
      <c r="G895">
        <v>3235.22509765625</v>
      </c>
      <c r="H895">
        <v>9.9999997764825821E-3</v>
      </c>
      <c r="I895">
        <v>54108.2890625</v>
      </c>
      <c r="J895">
        <v>1359</v>
      </c>
    </row>
    <row r="896" spans="1:10" x14ac:dyDescent="0.25">
      <c r="A896">
        <v>20600</v>
      </c>
      <c r="B896" t="str">
        <v>Glenmark Pharma.</v>
      </c>
      <c r="C896">
        <v>29.570285999999999</v>
      </c>
      <c r="D896">
        <v>727.95379638671875</v>
      </c>
      <c r="E896">
        <v>417.9879150390625</v>
      </c>
      <c r="F896">
        <v>0.5741959810256958</v>
      </c>
      <c r="G896">
        <v>1654.3250732421875</v>
      </c>
      <c r="H896">
        <v>0.10000000149011612</v>
      </c>
      <c r="I896">
        <v>46276.69921875</v>
      </c>
      <c r="J896">
        <v>1359</v>
      </c>
    </row>
    <row r="897" spans="1:10" x14ac:dyDescent="0.25">
      <c r="A897">
        <v>4963</v>
      </c>
      <c r="B897" t="str">
        <v>Global Cap.Mkt.</v>
      </c>
      <c r="C897">
        <v>61.845475999999998</v>
      </c>
      <c r="D897">
        <v>0.66882401704788208</v>
      </c>
      <c r="E897">
        <v>0.55179798603057861</v>
      </c>
      <c r="F897">
        <v>0.8250269889831543</v>
      </c>
      <c r="G897">
        <v>0.69749999046325684</v>
      </c>
      <c r="H897">
        <v>0</v>
      </c>
      <c r="I897">
        <v>27.479999542236328</v>
      </c>
      <c r="J897">
        <v>1258</v>
      </c>
    </row>
    <row r="898" spans="1:10" x14ac:dyDescent="0.25">
      <c r="A898">
        <v>6651</v>
      </c>
      <c r="B898" t="str">
        <v>Global Land</v>
      </c>
      <c r="C898">
        <v>0</v>
      </c>
      <c r="D898">
        <v>1.7336360216140747</v>
      </c>
      <c r="E898">
        <v>4.4277001172304153E-2</v>
      </c>
      <c r="F898">
        <v>2.5539999827742577E-2</v>
      </c>
      <c r="G898">
        <v>1.7000000476837158</v>
      </c>
      <c r="H898">
        <v>0</v>
      </c>
      <c r="I898">
        <v>0.86000001430511475</v>
      </c>
      <c r="J898">
        <v>11</v>
      </c>
    </row>
    <row r="899" spans="1:10" x14ac:dyDescent="0.25">
      <c r="A899">
        <v>655</v>
      </c>
      <c r="B899" t="str">
        <v>Global Offshore</v>
      </c>
      <c r="C899">
        <v>56.386986</v>
      </c>
      <c r="D899">
        <v>43.882102966308594</v>
      </c>
      <c r="E899">
        <v>30.611356735229492</v>
      </c>
      <c r="F899">
        <v>0.69758200645446777</v>
      </c>
      <c r="G899">
        <v>94.81500244140625</v>
      </c>
      <c r="H899">
        <v>0.20000000298023224</v>
      </c>
      <c r="I899">
        <v>243.6199951171875</v>
      </c>
      <c r="J899">
        <v>1310</v>
      </c>
    </row>
    <row r="900" spans="1:10" x14ac:dyDescent="0.25">
      <c r="A900">
        <v>24765</v>
      </c>
      <c r="B900" t="str">
        <v>Globe Commercial</v>
      </c>
      <c r="C900">
        <v>41.782252999999997</v>
      </c>
      <c r="D900">
        <v>21.920120239257813</v>
      </c>
      <c r="E900">
        <v>12.027780532836914</v>
      </c>
      <c r="F900">
        <v>0.54870998859405518</v>
      </c>
      <c r="G900">
        <v>32.950000762939453</v>
      </c>
      <c r="H900">
        <v>0.12999999523162842</v>
      </c>
      <c r="I900">
        <v>19.209999084472656</v>
      </c>
      <c r="J900">
        <v>972</v>
      </c>
    </row>
    <row r="901" spans="1:10" x14ac:dyDescent="0.25">
      <c r="A901">
        <v>3001</v>
      </c>
      <c r="B901" t="str">
        <v>Globus Power</v>
      </c>
      <c r="C901">
        <v>19.343624999999999</v>
      </c>
      <c r="D901">
        <v>27.16975212097168</v>
      </c>
      <c r="E901">
        <v>19.432014465332031</v>
      </c>
      <c r="F901">
        <v>0.71520799398422241</v>
      </c>
      <c r="G901">
        <v>15.767499923706055</v>
      </c>
      <c r="H901">
        <v>0</v>
      </c>
      <c r="I901">
        <v>158.22000122070313</v>
      </c>
      <c r="J901">
        <v>1021</v>
      </c>
    </row>
    <row r="902" spans="1:10" x14ac:dyDescent="0.25">
      <c r="A902">
        <v>25785</v>
      </c>
      <c r="B902" t="str">
        <v>Globus Spirits</v>
      </c>
      <c r="C902">
        <v>36.651617000000002</v>
      </c>
      <c r="D902">
        <v>780.18994140625</v>
      </c>
      <c r="E902">
        <v>385.41693115234375</v>
      </c>
      <c r="F902">
        <v>0.4940040111541748</v>
      </c>
      <c r="G902">
        <v>953.07501220703125</v>
      </c>
      <c r="H902">
        <v>0.33000001311302185</v>
      </c>
      <c r="I902">
        <v>2717.0400390625</v>
      </c>
      <c r="J902">
        <v>1359</v>
      </c>
    </row>
    <row r="903" spans="1:10" x14ac:dyDescent="0.25">
      <c r="A903">
        <v>26178</v>
      </c>
      <c r="B903" t="str">
        <v>Gloster Ltd</v>
      </c>
      <c r="C903">
        <v>15.619566000000001</v>
      </c>
      <c r="D903">
        <v>572.774658203125</v>
      </c>
      <c r="E903">
        <v>217.3685302734375</v>
      </c>
      <c r="F903">
        <v>0.37950098514556885</v>
      </c>
      <c r="G903">
        <v>693.73760986328125</v>
      </c>
      <c r="H903">
        <v>5.000000074505806E-2</v>
      </c>
      <c r="I903">
        <v>757.71002197265625</v>
      </c>
      <c r="J903">
        <v>1357</v>
      </c>
    </row>
    <row r="904" spans="1:10" x14ac:dyDescent="0.25">
      <c r="A904">
        <v>26838</v>
      </c>
      <c r="B904" t="str">
        <v>Godawari Power</v>
      </c>
      <c r="C904">
        <v>53.026378000000001</v>
      </c>
      <c r="D904">
        <v>91.100357055664063</v>
      </c>
      <c r="E904">
        <v>65.966644287109375</v>
      </c>
      <c r="F904">
        <v>0.72411000728607178</v>
      </c>
      <c r="G904">
        <v>179.22500610351563</v>
      </c>
      <c r="H904">
        <v>1.9999999552965164E-2</v>
      </c>
      <c r="I904">
        <v>11879.349609375</v>
      </c>
      <c r="J904">
        <v>1359</v>
      </c>
    </row>
    <row r="905" spans="1:10" x14ac:dyDescent="0.25">
      <c r="A905">
        <v>657</v>
      </c>
      <c r="B905" t="str">
        <v>Godfrey Phillips</v>
      </c>
      <c r="C905">
        <v>35.046725000000002</v>
      </c>
      <c r="D905">
        <v>2335.9541015625</v>
      </c>
      <c r="E905">
        <v>1991.497314453125</v>
      </c>
      <c r="F905">
        <v>0.85254102945327759</v>
      </c>
      <c r="G905">
        <v>8097.775390625</v>
      </c>
      <c r="H905">
        <v>0.10000000149011612</v>
      </c>
      <c r="I905">
        <v>41758.921875</v>
      </c>
      <c r="J905">
        <v>1359</v>
      </c>
    </row>
    <row r="906" spans="1:10" x14ac:dyDescent="0.25">
      <c r="A906">
        <v>16166</v>
      </c>
      <c r="B906" t="str">
        <v>Godrej Agrovet</v>
      </c>
      <c r="C906">
        <v>6.7776719999999999</v>
      </c>
      <c r="D906">
        <v>553.42218017578125</v>
      </c>
      <c r="E906">
        <v>114.58590698242188</v>
      </c>
      <c r="F906">
        <v>0.20704999566078186</v>
      </c>
      <c r="G906">
        <v>754.13751220703125</v>
      </c>
      <c r="H906">
        <v>0.34999999403953552</v>
      </c>
      <c r="I906">
        <v>14332.3203125</v>
      </c>
      <c r="J906">
        <v>1359</v>
      </c>
    </row>
    <row r="907" spans="1:10" x14ac:dyDescent="0.25">
      <c r="A907">
        <v>21960</v>
      </c>
      <c r="B907" t="str">
        <v>Godrej Consumer</v>
      </c>
      <c r="C907">
        <v>10.232866</v>
      </c>
      <c r="D907">
        <v>950.206298828125</v>
      </c>
      <c r="E907">
        <v>231.62876892089844</v>
      </c>
      <c r="F907">
        <v>0.24376699328422546</v>
      </c>
      <c r="G907">
        <v>1198.412353515625</v>
      </c>
      <c r="H907">
        <v>0.10999999940395355</v>
      </c>
      <c r="I907">
        <v>122116.4609375</v>
      </c>
      <c r="J907">
        <v>1359</v>
      </c>
    </row>
    <row r="908" spans="1:10" x14ac:dyDescent="0.25">
      <c r="A908">
        <v>15613</v>
      </c>
      <c r="B908" t="str">
        <v>Godrej Propert.</v>
      </c>
      <c r="C908">
        <v>16.604161000000001</v>
      </c>
      <c r="D908">
        <v>1691.3348388671875</v>
      </c>
      <c r="E908">
        <v>658.966064453125</v>
      </c>
      <c r="F908">
        <v>0.38961300253868103</v>
      </c>
      <c r="G908">
        <v>2422.89990234375</v>
      </c>
      <c r="H908">
        <v>0.81000000238418579</v>
      </c>
      <c r="I908">
        <v>71682</v>
      </c>
      <c r="J908">
        <v>1359</v>
      </c>
    </row>
    <row r="909" spans="1:10" x14ac:dyDescent="0.25">
      <c r="A909">
        <v>7611</v>
      </c>
      <c r="B909" t="str">
        <v>Goenka Business</v>
      </c>
      <c r="C909">
        <v>51.845199999999998</v>
      </c>
      <c r="D909">
        <v>7.1469020843505859</v>
      </c>
      <c r="E909">
        <v>4.0632591247558594</v>
      </c>
      <c r="F909">
        <v>0.56853401660919189</v>
      </c>
      <c r="G909">
        <v>10.800000190734863</v>
      </c>
      <c r="H909">
        <v>0</v>
      </c>
      <c r="I909">
        <v>13.689999580383301</v>
      </c>
      <c r="J909">
        <v>1293</v>
      </c>
    </row>
    <row r="910" spans="1:10" x14ac:dyDescent="0.25">
      <c r="A910">
        <v>35743</v>
      </c>
      <c r="B910" t="str">
        <v>Goenka Diamond</v>
      </c>
      <c r="C910">
        <v>21.371230000000001</v>
      </c>
      <c r="D910">
        <v>1.2612420320510864</v>
      </c>
      <c r="E910">
        <v>0.73090898990631104</v>
      </c>
      <c r="F910">
        <v>0.57951498031616211</v>
      </c>
      <c r="G910">
        <v>0.94499999284744263</v>
      </c>
      <c r="H910">
        <v>0.70999997854232788</v>
      </c>
      <c r="I910">
        <v>29.799999237060547</v>
      </c>
      <c r="J910">
        <v>1145</v>
      </c>
    </row>
    <row r="911" spans="1:10" x14ac:dyDescent="0.25">
      <c r="A911">
        <v>14646</v>
      </c>
      <c r="B911" t="str">
        <v>Gogia Capital</v>
      </c>
      <c r="C911">
        <v>13.061429</v>
      </c>
      <c r="D911">
        <v>90.067481994628906</v>
      </c>
      <c r="E911">
        <v>25.811695098876953</v>
      </c>
      <c r="F911">
        <v>0.28658199310302734</v>
      </c>
      <c r="G911">
        <v>80.209999084472656</v>
      </c>
      <c r="H911">
        <v>0.27000001072883606</v>
      </c>
      <c r="I911">
        <v>49.939998626708984</v>
      </c>
      <c r="J911">
        <v>732</v>
      </c>
    </row>
    <row r="912" spans="1:10" x14ac:dyDescent="0.25">
      <c r="A912">
        <v>12966</v>
      </c>
      <c r="B912" t="str">
        <v>Gokaldas Exports</v>
      </c>
      <c r="C912">
        <v>48.378591999999998</v>
      </c>
      <c r="D912">
        <v>455.55426025390625</v>
      </c>
      <c r="E912">
        <v>339.20156860351563</v>
      </c>
      <c r="F912">
        <v>0.74459099769592285</v>
      </c>
      <c r="G912">
        <v>908.5250244140625</v>
      </c>
      <c r="H912">
        <v>0.18000000715255737</v>
      </c>
      <c r="I912">
        <v>6530.18017578125</v>
      </c>
      <c r="J912">
        <v>1359</v>
      </c>
    </row>
    <row r="913" spans="1:10" x14ac:dyDescent="0.25">
      <c r="A913">
        <v>67804</v>
      </c>
      <c r="B913" t="str">
        <v>Gokul Agro</v>
      </c>
      <c r="C913">
        <v>60.482868000000003</v>
      </c>
      <c r="D913">
        <v>107.28849029541016</v>
      </c>
      <c r="E913">
        <v>88.305633544921875</v>
      </c>
      <c r="F913">
        <v>0.82306700944900513</v>
      </c>
      <c r="G913">
        <v>297.76251220703125</v>
      </c>
      <c r="H913">
        <v>0.72000002861022949</v>
      </c>
      <c r="I913">
        <v>4306.7900390625</v>
      </c>
      <c r="J913">
        <v>1351</v>
      </c>
    </row>
    <row r="914" spans="1:10" x14ac:dyDescent="0.25">
      <c r="A914">
        <v>27039</v>
      </c>
      <c r="B914" t="str">
        <v>Gokul Refoils</v>
      </c>
      <c r="C914">
        <v>22.729541999999999</v>
      </c>
      <c r="D914">
        <v>33.405796051025391</v>
      </c>
      <c r="E914">
        <v>13.346243858337402</v>
      </c>
      <c r="F914">
        <v>0.39951899647712708</v>
      </c>
      <c r="G914">
        <v>45.502498626708984</v>
      </c>
      <c r="H914">
        <v>0</v>
      </c>
      <c r="I914">
        <v>448.14999389648438</v>
      </c>
      <c r="J914">
        <v>1343</v>
      </c>
    </row>
    <row r="915" spans="1:10" x14ac:dyDescent="0.25">
      <c r="A915">
        <v>6701</v>
      </c>
      <c r="B915" t="str">
        <v>Goldcoin Health</v>
      </c>
      <c r="C915">
        <v>13.542204</v>
      </c>
      <c r="D915">
        <v>7.8831539154052734</v>
      </c>
      <c r="E915">
        <v>2.2641639709472656</v>
      </c>
      <c r="F915">
        <v>0.28721600770950317</v>
      </c>
      <c r="G915">
        <v>12.739999771118164</v>
      </c>
      <c r="H915">
        <v>0.27000001072883606</v>
      </c>
      <c r="I915">
        <v>3.8199999332427979</v>
      </c>
      <c r="J915">
        <v>944</v>
      </c>
    </row>
    <row r="916" spans="1:10" x14ac:dyDescent="0.25">
      <c r="A916">
        <v>7370</v>
      </c>
      <c r="B916" t="str">
        <v>Golden Carpets</v>
      </c>
      <c r="C916">
        <v>19.882200000000001</v>
      </c>
      <c r="D916">
        <v>7.9931378364562988</v>
      </c>
      <c r="E916">
        <v>2.4775159358978271</v>
      </c>
      <c r="F916">
        <v>0.30995500087738037</v>
      </c>
      <c r="G916">
        <v>11.949999809265137</v>
      </c>
      <c r="H916">
        <v>0</v>
      </c>
      <c r="I916">
        <v>8.1400003433227539</v>
      </c>
      <c r="J916">
        <v>341</v>
      </c>
    </row>
    <row r="917" spans="1:10" x14ac:dyDescent="0.25">
      <c r="A917">
        <v>210</v>
      </c>
      <c r="B917" t="str">
        <v>Golden Tobacco</v>
      </c>
      <c r="C917">
        <v>5.574414</v>
      </c>
      <c r="D917">
        <v>57.478607177734375</v>
      </c>
      <c r="E917">
        <v>31.145910263061523</v>
      </c>
      <c r="F917">
        <v>0.54186999797821045</v>
      </c>
      <c r="G917">
        <v>37.837501525878906</v>
      </c>
      <c r="H917">
        <v>0</v>
      </c>
      <c r="I917">
        <v>66.860000610351563</v>
      </c>
      <c r="J917">
        <v>1283</v>
      </c>
    </row>
    <row r="918" spans="1:10" x14ac:dyDescent="0.25">
      <c r="A918">
        <v>4545</v>
      </c>
      <c r="B918" t="str">
        <v>Goldiam Intl.</v>
      </c>
      <c r="C918">
        <v>48.761330000000001</v>
      </c>
      <c r="D918">
        <v>157.27215576171875</v>
      </c>
      <c r="E918">
        <v>111.85271453857422</v>
      </c>
      <c r="F918">
        <v>0.71120500564575195</v>
      </c>
      <c r="G918">
        <v>356.5625</v>
      </c>
      <c r="H918">
        <v>0</v>
      </c>
      <c r="I918">
        <v>3726.080078125</v>
      </c>
      <c r="J918">
        <v>1359</v>
      </c>
    </row>
    <row r="919" spans="1:10" x14ac:dyDescent="0.25">
      <c r="A919">
        <v>7025</v>
      </c>
      <c r="B919" t="str">
        <v>Goldline Intl.</v>
      </c>
      <c r="C919">
        <v>1.1885699999999999</v>
      </c>
      <c r="D919">
        <v>0.59800601005554199</v>
      </c>
      <c r="E919">
        <v>0.31324398517608643</v>
      </c>
      <c r="F919">
        <v>0.52381497621536255</v>
      </c>
      <c r="G919">
        <v>0.59249997138977051</v>
      </c>
      <c r="H919">
        <v>9.9999997764825821E-3</v>
      </c>
      <c r="I919">
        <v>31.780000686645508</v>
      </c>
      <c r="J919">
        <v>905</v>
      </c>
    </row>
    <row r="920" spans="1:10" x14ac:dyDescent="0.25">
      <c r="A920">
        <v>6498</v>
      </c>
      <c r="B920" t="str">
        <v>Golech.Glob.Fin.</v>
      </c>
      <c r="C920">
        <v>25.920069999999999</v>
      </c>
      <c r="D920">
        <v>21.126184463500977</v>
      </c>
      <c r="E920">
        <v>10.855289459228516</v>
      </c>
      <c r="F920">
        <v>0.51383101940155029</v>
      </c>
      <c r="G920">
        <v>28.315000534057617</v>
      </c>
      <c r="H920">
        <v>0</v>
      </c>
      <c r="I920">
        <v>15.350000381469727</v>
      </c>
      <c r="J920">
        <v>930</v>
      </c>
    </row>
    <row r="921" spans="1:10" x14ac:dyDescent="0.25">
      <c r="A921">
        <v>1922</v>
      </c>
      <c r="B921" t="str">
        <v>Golkonda Alumin.</v>
      </c>
      <c r="C921">
        <v>3.2785739999999999</v>
      </c>
      <c r="D921">
        <v>15.859603881835938</v>
      </c>
      <c r="E921">
        <v>5.4867591857910156</v>
      </c>
      <c r="F921">
        <v>0.34595799446105957</v>
      </c>
      <c r="G921">
        <v>11.642499923706055</v>
      </c>
      <c r="H921">
        <v>0</v>
      </c>
      <c r="I921">
        <v>6.320000171661377</v>
      </c>
      <c r="J921">
        <v>1171</v>
      </c>
    </row>
    <row r="922" spans="1:10" x14ac:dyDescent="0.25">
      <c r="A922">
        <v>2676</v>
      </c>
      <c r="B922" t="str">
        <v>Golkunda Diamond</v>
      </c>
      <c r="C922">
        <v>52.910156000000001</v>
      </c>
      <c r="D922">
        <v>108.10420227050781</v>
      </c>
      <c r="E922">
        <v>70.526496887207031</v>
      </c>
      <c r="F922">
        <v>0.65239399671554565</v>
      </c>
      <c r="G922">
        <v>187.26249694824219</v>
      </c>
      <c r="H922">
        <v>0.80000001192092896</v>
      </c>
      <c r="I922">
        <v>128.78999328613281</v>
      </c>
      <c r="J922">
        <v>1324</v>
      </c>
    </row>
    <row r="923" spans="1:10" x14ac:dyDescent="0.25">
      <c r="A923">
        <v>5020</v>
      </c>
      <c r="B923" t="str">
        <v>Goodluck India</v>
      </c>
      <c r="C923">
        <v>58.250557000000001</v>
      </c>
      <c r="D923">
        <v>458.06805419921875</v>
      </c>
      <c r="E923">
        <v>349.82275390625</v>
      </c>
      <c r="F923">
        <v>0.76369202136993408</v>
      </c>
      <c r="G923">
        <v>1087.050048828125</v>
      </c>
      <c r="H923">
        <v>0.74000000953674316</v>
      </c>
      <c r="I923">
        <v>3583.110107421875</v>
      </c>
      <c r="J923">
        <v>1359</v>
      </c>
    </row>
    <row r="924" spans="1:10" x14ac:dyDescent="0.25">
      <c r="A924">
        <v>201</v>
      </c>
      <c r="B924" t="str">
        <v>Goodricke Group</v>
      </c>
      <c r="C924">
        <v>0.26048100000000002</v>
      </c>
      <c r="D924">
        <v>217.78103637695313</v>
      </c>
      <c r="E924">
        <v>41.190338134765625</v>
      </c>
      <c r="F924">
        <v>0.18913599848747253</v>
      </c>
      <c r="G924">
        <v>200.58749389648438</v>
      </c>
      <c r="H924">
        <v>0.34999999403953552</v>
      </c>
      <c r="I924">
        <v>427.89999389648438</v>
      </c>
      <c r="J924">
        <v>1359</v>
      </c>
    </row>
    <row r="925" spans="1:10" x14ac:dyDescent="0.25">
      <c r="A925">
        <v>199</v>
      </c>
      <c r="B925" t="str">
        <v>Goodyear India</v>
      </c>
      <c r="C925">
        <v>-0.88779200000000003</v>
      </c>
      <c r="D925">
        <v>1039.344482421875</v>
      </c>
      <c r="E925">
        <v>167.76069641113281</v>
      </c>
      <c r="F925">
        <v>0.16141000390052795</v>
      </c>
      <c r="G925">
        <v>934.95001220703125</v>
      </c>
      <c r="H925">
        <v>9.9999997764825821E-3</v>
      </c>
      <c r="I925">
        <v>2147.360107421875</v>
      </c>
      <c r="J925">
        <v>1359</v>
      </c>
    </row>
    <row r="926" spans="1:10" x14ac:dyDescent="0.25">
      <c r="A926">
        <v>6755</v>
      </c>
      <c r="B926" t="str">
        <v>Gorani Industrie</v>
      </c>
      <c r="C926">
        <v>44.588908000000004</v>
      </c>
      <c r="D926">
        <v>103.38746643066406</v>
      </c>
      <c r="E926">
        <v>64.508354187011719</v>
      </c>
      <c r="F926">
        <v>0.62394797801971436</v>
      </c>
      <c r="G926">
        <v>78.819999694824219</v>
      </c>
      <c r="H926">
        <v>0.9100000262260437</v>
      </c>
      <c r="I926">
        <v>42.840000152587891</v>
      </c>
      <c r="J926">
        <v>1143</v>
      </c>
    </row>
    <row r="927" spans="1:10" x14ac:dyDescent="0.25">
      <c r="A927">
        <v>5749</v>
      </c>
      <c r="B927" t="str">
        <v>Gothi Plascon</v>
      </c>
      <c r="C927">
        <v>34.387200999999997</v>
      </c>
      <c r="D927">
        <v>29.465541839599609</v>
      </c>
      <c r="E927">
        <v>10.428845405578613</v>
      </c>
      <c r="F927">
        <v>0.35393399000167847</v>
      </c>
      <c r="G927">
        <v>42.020000457763672</v>
      </c>
      <c r="H927">
        <v>1.9999999552965164E-2</v>
      </c>
      <c r="I927">
        <v>42.860000610351563</v>
      </c>
      <c r="J927">
        <v>1097</v>
      </c>
    </row>
    <row r="928" spans="1:10" x14ac:dyDescent="0.25">
      <c r="A928">
        <v>1620</v>
      </c>
      <c r="B928" t="str">
        <v>Gourmet Gateway</v>
      </c>
      <c r="C928">
        <v>57.870891999999998</v>
      </c>
      <c r="D928">
        <v>20.907724380493164</v>
      </c>
      <c r="E928">
        <v>16.242221832275391</v>
      </c>
      <c r="F928">
        <v>0.77685302495956421</v>
      </c>
      <c r="G928">
        <v>20.317499160766602</v>
      </c>
      <c r="H928">
        <v>5.000000074505806E-2</v>
      </c>
      <c r="I928">
        <v>269.75</v>
      </c>
      <c r="J928">
        <v>711</v>
      </c>
    </row>
    <row r="929" spans="1:10" x14ac:dyDescent="0.25">
      <c r="A929">
        <v>5125</v>
      </c>
      <c r="B929" t="str">
        <v>Gowra Leasing</v>
      </c>
      <c r="C929">
        <v>37.376888999999998</v>
      </c>
      <c r="D929">
        <v>32.019649505615234</v>
      </c>
      <c r="E929">
        <v>18.607633590698242</v>
      </c>
      <c r="F929">
        <v>0.58113199472427368</v>
      </c>
      <c r="G929">
        <v>101.01000213623047</v>
      </c>
      <c r="H929">
        <v>1.9999999552965164E-2</v>
      </c>
      <c r="I929">
        <v>54.270000457763672</v>
      </c>
      <c r="J929">
        <v>1161</v>
      </c>
    </row>
    <row r="930" spans="1:10" x14ac:dyDescent="0.25">
      <c r="A930">
        <v>5878</v>
      </c>
      <c r="B930" t="str">
        <v>Goyal Associates</v>
      </c>
      <c r="C930">
        <v>-5.7683169999999997</v>
      </c>
      <c r="D930">
        <v>2.1022160053253174</v>
      </c>
      <c r="E930">
        <v>1.2098959684371948</v>
      </c>
      <c r="F930">
        <v>0.57553398609161377</v>
      </c>
      <c r="G930">
        <v>1.2224999666213989</v>
      </c>
      <c r="H930">
        <v>0.40999999642372131</v>
      </c>
      <c r="I930">
        <v>6.3499999046325684</v>
      </c>
      <c r="J930">
        <v>1337</v>
      </c>
    </row>
    <row r="931" spans="1:10" x14ac:dyDescent="0.25">
      <c r="A931">
        <v>2395</v>
      </c>
      <c r="B931" t="str">
        <v>Grand Foundry</v>
      </c>
      <c r="C931">
        <v>10.771499</v>
      </c>
      <c r="D931">
        <v>4.306973934173584</v>
      </c>
      <c r="E931">
        <v>2.3805348873138428</v>
      </c>
      <c r="F931">
        <v>0.55271601676940918</v>
      </c>
      <c r="G931">
        <v>8.619999885559082</v>
      </c>
      <c r="H931">
        <v>0</v>
      </c>
      <c r="I931">
        <v>26.229999542236328</v>
      </c>
      <c r="J931">
        <v>631</v>
      </c>
    </row>
    <row r="932" spans="1:10" x14ac:dyDescent="0.25">
      <c r="A932">
        <v>12632</v>
      </c>
      <c r="B932" t="str">
        <v>Granules India</v>
      </c>
      <c r="C932">
        <v>26.041913000000001</v>
      </c>
      <c r="D932">
        <v>360.24490356445313</v>
      </c>
      <c r="E932">
        <v>114.72132873535156</v>
      </c>
      <c r="F932">
        <v>0.31845399737358093</v>
      </c>
      <c r="G932">
        <v>488.68759155273438</v>
      </c>
      <c r="H932">
        <v>0.34000000357627869</v>
      </c>
      <c r="I932">
        <v>11651.7998046875</v>
      </c>
      <c r="J932">
        <v>1359</v>
      </c>
    </row>
    <row r="933" spans="1:10" x14ac:dyDescent="0.25">
      <c r="A933">
        <v>102</v>
      </c>
      <c r="B933" t="str">
        <v>Graphite India</v>
      </c>
      <c r="C933">
        <v>10.680115000000001</v>
      </c>
      <c r="D933">
        <v>440.80218505859375</v>
      </c>
      <c r="E933">
        <v>148.66481018066406</v>
      </c>
      <c r="F933">
        <v>0.33726000785827637</v>
      </c>
      <c r="G933">
        <v>545.20001220703125</v>
      </c>
      <c r="H933">
        <v>3.9999999105930328E-2</v>
      </c>
      <c r="I933">
        <v>10503.3896484375</v>
      </c>
      <c r="J933">
        <v>1359</v>
      </c>
    </row>
    <row r="934" spans="1:10" x14ac:dyDescent="0.25">
      <c r="A934">
        <v>227</v>
      </c>
      <c r="B934" t="str">
        <v>Grasim Inds</v>
      </c>
      <c r="C934">
        <v>24.306491999999999</v>
      </c>
      <c r="D934">
        <v>1683.717041015625</v>
      </c>
      <c r="E934">
        <v>636.8695068359375</v>
      </c>
      <c r="F934">
        <v>0.37825199961662292</v>
      </c>
      <c r="G934">
        <v>2691.537353515625</v>
      </c>
      <c r="H934">
        <v>0.15000000596046448</v>
      </c>
      <c r="I934">
        <v>183144.90625</v>
      </c>
      <c r="J934">
        <v>1359</v>
      </c>
    </row>
    <row r="935" spans="1:10" x14ac:dyDescent="0.25">
      <c r="A935">
        <v>4604</v>
      </c>
      <c r="B935" t="str">
        <v>Gratex Industrie</v>
      </c>
      <c r="C935">
        <v>9.5046890000000008</v>
      </c>
      <c r="D935">
        <v>17.192804336547852</v>
      </c>
      <c r="E935">
        <v>5.2074542045593262</v>
      </c>
      <c r="F935">
        <v>0.30288600921630859</v>
      </c>
      <c r="G935">
        <v>20.850000381469727</v>
      </c>
      <c r="H935">
        <v>1.9999999552965164E-2</v>
      </c>
      <c r="I935">
        <v>6.320000171661377</v>
      </c>
      <c r="J935">
        <v>858</v>
      </c>
    </row>
    <row r="936" spans="1:10" x14ac:dyDescent="0.25">
      <c r="A936">
        <v>658</v>
      </c>
      <c r="B936" t="str">
        <v>Grauer &amp; Weil</v>
      </c>
      <c r="C936">
        <v>24.091407</v>
      </c>
      <c r="D936">
        <v>50.268314361572266</v>
      </c>
      <c r="E936">
        <v>29.123527526855469</v>
      </c>
      <c r="F936">
        <v>0.57936197519302368</v>
      </c>
      <c r="G936">
        <v>88.992500305175781</v>
      </c>
      <c r="H936">
        <v>2.9999999329447746E-2</v>
      </c>
      <c r="I936">
        <v>4040.35009765625</v>
      </c>
      <c r="J936">
        <v>1359</v>
      </c>
    </row>
    <row r="937" spans="1:10" x14ac:dyDescent="0.25">
      <c r="A937">
        <v>181</v>
      </c>
      <c r="B937" t="str">
        <v>Graviss Hospital</v>
      </c>
      <c r="C937">
        <v>19.266877000000001</v>
      </c>
      <c r="D937">
        <v>30.6075439453125</v>
      </c>
      <c r="E937">
        <v>15.233783721923828</v>
      </c>
      <c r="F937">
        <v>0.49771299958229065</v>
      </c>
      <c r="G937">
        <v>45.029998779296875</v>
      </c>
      <c r="H937">
        <v>9.9999997764825821E-3</v>
      </c>
      <c r="I937">
        <v>311.1300048828125</v>
      </c>
      <c r="J937">
        <v>1201</v>
      </c>
    </row>
    <row r="938" spans="1:10" x14ac:dyDescent="0.25">
      <c r="A938">
        <v>35607</v>
      </c>
      <c r="B938" t="str">
        <v>Gravita India</v>
      </c>
      <c r="C938">
        <v>70.416720999999995</v>
      </c>
      <c r="D938">
        <v>670.51739501953125</v>
      </c>
      <c r="E938">
        <v>703.6671142578125</v>
      </c>
      <c r="F938">
        <v>1.0494389533996582</v>
      </c>
      <c r="G938">
        <v>1679.3624267578125</v>
      </c>
      <c r="H938">
        <v>0.73000001907348633</v>
      </c>
      <c r="I938">
        <v>12175.8095703125</v>
      </c>
      <c r="J938">
        <v>1359</v>
      </c>
    </row>
    <row r="939" spans="1:10" x14ac:dyDescent="0.25">
      <c r="A939">
        <v>15035</v>
      </c>
      <c r="B939" t="str">
        <v>Gravity (India)</v>
      </c>
      <c r="C939">
        <v>22.210642</v>
      </c>
      <c r="D939">
        <v>3.9805099964141846</v>
      </c>
      <c r="E939">
        <v>1.6874910593032837</v>
      </c>
      <c r="F939">
        <v>0.42393800616264343</v>
      </c>
      <c r="G939">
        <v>6.8850002288818359</v>
      </c>
      <c r="H939">
        <v>0.37000000476837158</v>
      </c>
      <c r="I939">
        <v>6.2100000381469727</v>
      </c>
      <c r="J939">
        <v>1259</v>
      </c>
    </row>
    <row r="940" spans="1:10" x14ac:dyDescent="0.25">
      <c r="A940">
        <v>208</v>
      </c>
      <c r="B940" t="str">
        <v>Greaves Cotton</v>
      </c>
      <c r="C940">
        <v>7.2152120000000002</v>
      </c>
      <c r="D940">
        <v>146.07926940917969</v>
      </c>
      <c r="E940">
        <v>42.864776611328125</v>
      </c>
      <c r="F940">
        <v>0.29343500733375549</v>
      </c>
      <c r="G940">
        <v>196.35000610351563</v>
      </c>
      <c r="H940">
        <v>1.9999999552965164E-2</v>
      </c>
      <c r="I940">
        <v>4500.85009765625</v>
      </c>
      <c r="J940">
        <v>1359</v>
      </c>
    </row>
    <row r="941" spans="1:10" x14ac:dyDescent="0.25">
      <c r="A941">
        <v>6944</v>
      </c>
      <c r="B941" t="str">
        <v>Greencrest Finan</v>
      </c>
      <c r="C941">
        <v>2.9618000000000002</v>
      </c>
      <c r="D941">
        <v>0.82372802495956421</v>
      </c>
      <c r="E941">
        <v>0.39782899618148804</v>
      </c>
      <c r="F941">
        <v>0.48296099901199341</v>
      </c>
      <c r="G941">
        <v>0.6875</v>
      </c>
      <c r="H941">
        <v>0.54000002145767212</v>
      </c>
      <c r="I941">
        <v>25.219999313354492</v>
      </c>
      <c r="J941">
        <v>1321</v>
      </c>
    </row>
    <row r="942" spans="1:10" x14ac:dyDescent="0.25">
      <c r="A942">
        <v>43814</v>
      </c>
      <c r="B942" t="str">
        <v>Greenlam Industr</v>
      </c>
      <c r="C942">
        <v>17.669232000000001</v>
      </c>
      <c r="D942">
        <v>178.79122924804688</v>
      </c>
      <c r="E942">
        <v>74.365379333496094</v>
      </c>
      <c r="F942">
        <v>0.4159339964389801</v>
      </c>
      <c r="G942">
        <v>236.5</v>
      </c>
      <c r="H942">
        <v>0.5</v>
      </c>
      <c r="I942">
        <v>5997.25</v>
      </c>
      <c r="J942">
        <v>1330</v>
      </c>
    </row>
    <row r="943" spans="1:10" x14ac:dyDescent="0.25">
      <c r="A943">
        <v>72426</v>
      </c>
      <c r="B943" t="str">
        <v>Greenpanel Inds.</v>
      </c>
      <c r="C943">
        <v>33.297904000000003</v>
      </c>
      <c r="D943">
        <v>289.21133422851563</v>
      </c>
      <c r="E943">
        <v>140.30862426757813</v>
      </c>
      <c r="F943">
        <v>0.48514199256896973</v>
      </c>
      <c r="G943">
        <v>261.96249389648438</v>
      </c>
      <c r="H943">
        <v>0.20999999344348907</v>
      </c>
      <c r="I943">
        <v>3208.550048828125</v>
      </c>
      <c r="J943">
        <v>1359</v>
      </c>
    </row>
    <row r="944" spans="1:10" x14ac:dyDescent="0.25">
      <c r="A944">
        <v>4701</v>
      </c>
      <c r="B944" t="str">
        <v>Greenply Industr</v>
      </c>
      <c r="C944">
        <v>12.517407</v>
      </c>
      <c r="D944">
        <v>197.72787475585938</v>
      </c>
      <c r="E944">
        <v>76.352310180664063</v>
      </c>
      <c r="F944">
        <v>0.38614800572395325</v>
      </c>
      <c r="G944">
        <v>313.72500610351563</v>
      </c>
      <c r="H944">
        <v>5.9999998658895493E-2</v>
      </c>
      <c r="I944">
        <v>3854.429931640625</v>
      </c>
      <c r="J944">
        <v>1359</v>
      </c>
    </row>
    <row r="945" spans="1:10" x14ac:dyDescent="0.25">
      <c r="A945">
        <v>209</v>
      </c>
      <c r="B945" t="str">
        <v>Grindwell Norton</v>
      </c>
      <c r="C945">
        <v>19.156814000000001</v>
      </c>
      <c r="D945">
        <v>1613.7659912109375</v>
      </c>
      <c r="E945">
        <v>648.288330078125</v>
      </c>
      <c r="F945">
        <v>0.40172401070594788</v>
      </c>
      <c r="G945">
        <v>1656.83740234375</v>
      </c>
      <c r="H945">
        <v>2.9999999329447746E-2</v>
      </c>
      <c r="I945">
        <v>17961</v>
      </c>
      <c r="J945">
        <v>1359</v>
      </c>
    </row>
    <row r="946" spans="1:10" x14ac:dyDescent="0.25">
      <c r="A946">
        <v>23175</v>
      </c>
      <c r="B946" t="str">
        <v>Grovy India</v>
      </c>
      <c r="C946">
        <v>41.346499999999999</v>
      </c>
      <c r="D946">
        <v>29.582187652587891</v>
      </c>
      <c r="E946">
        <v>17.048130035400391</v>
      </c>
      <c r="F946">
        <v>0.57629698514938354</v>
      </c>
      <c r="G946">
        <v>45.915000915527344</v>
      </c>
      <c r="H946">
        <v>0.5899999737739563</v>
      </c>
      <c r="I946">
        <v>62.25</v>
      </c>
      <c r="J946">
        <v>777</v>
      </c>
    </row>
    <row r="947" spans="1:10" x14ac:dyDescent="0.25">
      <c r="A947">
        <v>66215</v>
      </c>
      <c r="B947" t="str">
        <v>Growington Vent</v>
      </c>
      <c r="C947">
        <v>14.353828999999999</v>
      </c>
      <c r="D947">
        <v>3.3327291011810303</v>
      </c>
      <c r="E947">
        <v>3.4341320991516113</v>
      </c>
      <c r="F947">
        <v>1.030426025390625</v>
      </c>
      <c r="G947">
        <v>2.0550000667572021</v>
      </c>
      <c r="H947">
        <v>7.9999998211860657E-2</v>
      </c>
      <c r="I947">
        <v>132.30000305175781</v>
      </c>
      <c r="J947">
        <v>1329</v>
      </c>
    </row>
    <row r="948" spans="1:10" x14ac:dyDescent="0.25">
      <c r="A948">
        <v>2285</v>
      </c>
      <c r="B948" t="str">
        <v>Gufic BioScience</v>
      </c>
      <c r="C948">
        <v>34.082028000000001</v>
      </c>
      <c r="D948">
        <v>230.70556640625</v>
      </c>
      <c r="E948">
        <v>107.33914947509766</v>
      </c>
      <c r="F948">
        <v>0.46526500582695007</v>
      </c>
      <c r="G948">
        <v>360.53750610351563</v>
      </c>
      <c r="H948">
        <v>0.75999999046325684</v>
      </c>
      <c r="I948">
        <v>3588.429931640625</v>
      </c>
      <c r="J948">
        <v>1359</v>
      </c>
    </row>
    <row r="949" spans="1:10" x14ac:dyDescent="0.25">
      <c r="A949">
        <v>3613</v>
      </c>
      <c r="B949" t="str">
        <v>Guj Apollo Inds</v>
      </c>
      <c r="C949">
        <v>19.249441999999998</v>
      </c>
      <c r="D949">
        <v>231.73150634765625</v>
      </c>
      <c r="E949">
        <v>58.348041534423828</v>
      </c>
      <c r="F949">
        <v>0.25179201364517212</v>
      </c>
      <c r="G949">
        <v>371.92498779296875</v>
      </c>
      <c r="H949">
        <v>5.000000074505806E-2</v>
      </c>
      <c r="I949">
        <v>439.6099853515625</v>
      </c>
      <c r="J949">
        <v>1340</v>
      </c>
    </row>
    <row r="950" spans="1:10" x14ac:dyDescent="0.25">
      <c r="A950">
        <v>2718</v>
      </c>
      <c r="B950" t="str">
        <v>Guj Inds. Power</v>
      </c>
      <c r="C950">
        <v>18.498462</v>
      </c>
      <c r="D950">
        <v>118.76736450195313</v>
      </c>
      <c r="E950">
        <v>56.963642120361328</v>
      </c>
      <c r="F950">
        <v>0.47962400317192078</v>
      </c>
      <c r="G950">
        <v>194.08749389648438</v>
      </c>
      <c r="H950">
        <v>0.17000000178813934</v>
      </c>
      <c r="I950">
        <v>2960.739990234375</v>
      </c>
      <c r="J950">
        <v>1359</v>
      </c>
    </row>
    <row r="951" spans="1:10" x14ac:dyDescent="0.25">
      <c r="A951">
        <v>12232</v>
      </c>
      <c r="B951" t="str">
        <v>Guj Pipavav Port</v>
      </c>
      <c r="C951">
        <v>10.909349000000001</v>
      </c>
      <c r="D951">
        <v>120.34149169921875</v>
      </c>
      <c r="E951">
        <v>45.537334442138672</v>
      </c>
      <c r="F951">
        <v>0.3784010112285614</v>
      </c>
      <c r="G951">
        <v>157.64999389648438</v>
      </c>
      <c r="H951">
        <v>3.9999999105930328E-2</v>
      </c>
      <c r="I951">
        <v>7568.25</v>
      </c>
      <c r="J951">
        <v>1359</v>
      </c>
    </row>
    <row r="952" spans="1:10" x14ac:dyDescent="0.25">
      <c r="A952">
        <v>2469</v>
      </c>
      <c r="B952" t="str">
        <v>Guj. Ambuja Exp</v>
      </c>
      <c r="C952">
        <v>23.148510000000002</v>
      </c>
      <c r="D952">
        <v>109.31021118164063</v>
      </c>
      <c r="E952">
        <v>43.848751068115234</v>
      </c>
      <c r="F952">
        <v>0.4011400043964386</v>
      </c>
      <c r="G952">
        <v>113.63749694824219</v>
      </c>
      <c r="H952">
        <v>7.9999998211860657E-2</v>
      </c>
      <c r="I952">
        <v>5171.509765625</v>
      </c>
      <c r="J952">
        <v>1359</v>
      </c>
    </row>
    <row r="953" spans="1:10" x14ac:dyDescent="0.25">
      <c r="A953">
        <v>3463</v>
      </c>
      <c r="B953" t="str">
        <v>Guj. Containers</v>
      </c>
      <c r="C953">
        <v>58.601937</v>
      </c>
      <c r="D953">
        <v>132.63368225097656</v>
      </c>
      <c r="E953">
        <v>61.738674163818359</v>
      </c>
      <c r="F953">
        <v>0.46548300981521606</v>
      </c>
      <c r="G953">
        <v>173.39999389648438</v>
      </c>
      <c r="H953">
        <v>0.57999998331069946</v>
      </c>
      <c r="I953">
        <v>98.879997253417969</v>
      </c>
      <c r="J953">
        <v>979</v>
      </c>
    </row>
    <row r="954" spans="1:10" x14ac:dyDescent="0.25">
      <c r="A954">
        <v>1967</v>
      </c>
      <c r="B954" t="str">
        <v>Guj. Lease Fin.</v>
      </c>
      <c r="C954">
        <v>28.671379000000002</v>
      </c>
      <c r="D954">
        <v>4.3556890487670898</v>
      </c>
      <c r="E954">
        <v>2.460360050201416</v>
      </c>
      <c r="F954">
        <v>0.564860999584198</v>
      </c>
      <c r="G954">
        <v>7.0275001525878906</v>
      </c>
      <c r="H954">
        <v>0</v>
      </c>
      <c r="I954">
        <v>19.069999694824219</v>
      </c>
      <c r="J954">
        <v>1081</v>
      </c>
    </row>
    <row r="955" spans="1:10" x14ac:dyDescent="0.25">
      <c r="A955">
        <v>225</v>
      </c>
      <c r="B955" t="str">
        <v>Guj. Petrosynth.</v>
      </c>
      <c r="C955">
        <v>39.378807000000002</v>
      </c>
      <c r="D955">
        <v>45.866943359375</v>
      </c>
      <c r="E955">
        <v>18.887783050537109</v>
      </c>
      <c r="F955">
        <v>0.4117949903011322</v>
      </c>
      <c r="G955">
        <v>61.974998474121094</v>
      </c>
      <c r="H955">
        <v>0</v>
      </c>
      <c r="I955">
        <v>37.580001831054688</v>
      </c>
      <c r="J955">
        <v>1209</v>
      </c>
    </row>
    <row r="956" spans="1:10" x14ac:dyDescent="0.25">
      <c r="A956">
        <v>2893</v>
      </c>
      <c r="B956" t="str">
        <v>Guj. Raffia Inds</v>
      </c>
      <c r="C956">
        <v>33.566343000000003</v>
      </c>
      <c r="D956">
        <v>38.358345031738281</v>
      </c>
      <c r="E956">
        <v>15.675209999084473</v>
      </c>
      <c r="F956">
        <v>0.40865200757980347</v>
      </c>
      <c r="G956">
        <v>44.222499847412109</v>
      </c>
      <c r="H956">
        <v>0.38999998569488525</v>
      </c>
      <c r="I956">
        <v>23.780000686645508</v>
      </c>
      <c r="J956">
        <v>1155</v>
      </c>
    </row>
    <row r="957" spans="1:10" x14ac:dyDescent="0.25">
      <c r="A957">
        <v>12144</v>
      </c>
      <c r="B957" t="str">
        <v>Guj. State Fin.</v>
      </c>
      <c r="C957">
        <v>60.046059</v>
      </c>
      <c r="D957">
        <v>10.811972618103027</v>
      </c>
      <c r="E957">
        <v>8.31695556640625</v>
      </c>
      <c r="F957">
        <v>0.76923602819442749</v>
      </c>
      <c r="G957">
        <v>16.649999618530273</v>
      </c>
      <c r="H957">
        <v>0</v>
      </c>
      <c r="I957">
        <v>147.1300048828125</v>
      </c>
      <c r="J957">
        <v>1326</v>
      </c>
    </row>
    <row r="958" spans="1:10" x14ac:dyDescent="0.25">
      <c r="A958">
        <v>3500</v>
      </c>
      <c r="B958" t="str">
        <v>Guj. Terce Labs.</v>
      </c>
      <c r="C958">
        <v>36.476818999999999</v>
      </c>
      <c r="D958">
        <v>29.312650680541992</v>
      </c>
      <c r="E958">
        <v>22.950664520263672</v>
      </c>
      <c r="F958">
        <v>0.78296101093292236</v>
      </c>
      <c r="G958">
        <v>53.884998321533203</v>
      </c>
      <c r="H958">
        <v>0.80000001192092896</v>
      </c>
      <c r="I958">
        <v>39.819999694824219</v>
      </c>
      <c r="J958">
        <v>1238</v>
      </c>
    </row>
    <row r="959" spans="1:10" x14ac:dyDescent="0.25">
      <c r="A959">
        <v>216</v>
      </c>
      <c r="B959" t="str">
        <v>Guj. Themis Bio.</v>
      </c>
      <c r="C959">
        <v>73.926906000000002</v>
      </c>
      <c r="D959">
        <v>124.37603759765625</v>
      </c>
      <c r="E959">
        <v>108.26046752929688</v>
      </c>
      <c r="F959">
        <v>0.87042897939682007</v>
      </c>
      <c r="G959">
        <v>320.03750610351563</v>
      </c>
      <c r="H959">
        <v>9.9999997764825821E-3</v>
      </c>
      <c r="I959">
        <v>3432.949951171875</v>
      </c>
      <c r="J959">
        <v>1359</v>
      </c>
    </row>
    <row r="960" spans="1:10" x14ac:dyDescent="0.25">
      <c r="A960">
        <v>3562</v>
      </c>
      <c r="B960" t="str">
        <v>Guj.Nat.Resour.</v>
      </c>
      <c r="C960">
        <v>41.787650999999997</v>
      </c>
      <c r="D960">
        <v>14.302783966064453</v>
      </c>
      <c r="E960">
        <v>7.881199836730957</v>
      </c>
      <c r="F960">
        <v>0.55102598667144775</v>
      </c>
      <c r="G960">
        <v>65.610000610351563</v>
      </c>
      <c r="H960">
        <v>0.18999999761581421</v>
      </c>
      <c r="I960">
        <v>842.45001220703125</v>
      </c>
      <c r="J960">
        <v>1296</v>
      </c>
    </row>
    <row r="961" spans="1:10" x14ac:dyDescent="0.25">
      <c r="A961">
        <v>24065</v>
      </c>
      <c r="B961" t="str">
        <v>Guj.St.Petronet</v>
      </c>
      <c r="C961">
        <v>6.8692320000000002</v>
      </c>
      <c r="D961">
        <v>282.02288818359375</v>
      </c>
      <c r="E961">
        <v>55.344715118408203</v>
      </c>
      <c r="F961">
        <v>0.19624200463294983</v>
      </c>
      <c r="G961">
        <v>319.16250610351563</v>
      </c>
      <c r="H961">
        <v>0</v>
      </c>
      <c r="I961">
        <v>17730.33984375</v>
      </c>
      <c r="J961">
        <v>1359</v>
      </c>
    </row>
    <row r="962" spans="1:10" x14ac:dyDescent="0.25">
      <c r="A962">
        <v>217</v>
      </c>
      <c r="B962" t="str">
        <v>Gujarat Alkalies</v>
      </c>
      <c r="C962">
        <v>5.8406380000000002</v>
      </c>
      <c r="D962">
        <v>618.1732177734375</v>
      </c>
      <c r="E962">
        <v>191.62873840332031</v>
      </c>
      <c r="F962">
        <v>0.3099919855594635</v>
      </c>
      <c r="G962">
        <v>575.875</v>
      </c>
      <c r="H962">
        <v>9.0000003576278687E-2</v>
      </c>
      <c r="I962">
        <v>4193.7900390625</v>
      </c>
      <c r="J962">
        <v>1359</v>
      </c>
    </row>
    <row r="963" spans="1:10" x14ac:dyDescent="0.25">
      <c r="A963">
        <v>74458</v>
      </c>
      <c r="B963" t="str">
        <v>Gujarat Fluoroch</v>
      </c>
      <c r="C963">
        <v>33.198425</v>
      </c>
      <c r="D963">
        <v>2435.085205078125</v>
      </c>
      <c r="E963">
        <v>1294.693359375</v>
      </c>
      <c r="F963">
        <v>0.53168302774429321</v>
      </c>
      <c r="G963">
        <v>3488.6376953125</v>
      </c>
      <c r="H963">
        <v>0.30000001192092896</v>
      </c>
      <c r="I963">
        <v>37889.4609375</v>
      </c>
      <c r="J963">
        <v>1355</v>
      </c>
    </row>
    <row r="964" spans="1:10" x14ac:dyDescent="0.25">
      <c r="A964">
        <v>43934</v>
      </c>
      <c r="B964" t="str">
        <v>Gujarat Gas</v>
      </c>
      <c r="C964">
        <v>11.591569</v>
      </c>
      <c r="D964">
        <v>483.21743774414063</v>
      </c>
      <c r="E964">
        <v>120.68117523193359</v>
      </c>
      <c r="F964">
        <v>0.24974499642848969</v>
      </c>
      <c r="G964">
        <v>462.14999389648438</v>
      </c>
      <c r="H964">
        <v>1.9999999552965164E-2</v>
      </c>
      <c r="I964">
        <v>31307.98046875</v>
      </c>
      <c r="J964">
        <v>1359</v>
      </c>
    </row>
    <row r="965" spans="1:10" x14ac:dyDescent="0.25">
      <c r="A965">
        <v>797</v>
      </c>
      <c r="B965" t="str">
        <v>Gujarat Hotels</v>
      </c>
      <c r="C965">
        <v>18.653200999999999</v>
      </c>
      <c r="D965">
        <v>157.30050659179688</v>
      </c>
      <c r="E965">
        <v>57.418853759765625</v>
      </c>
      <c r="F965">
        <v>0.36502599716186523</v>
      </c>
      <c r="G965">
        <v>272.02499389648438</v>
      </c>
      <c r="H965">
        <v>0</v>
      </c>
      <c r="I965">
        <v>102.34999847412109</v>
      </c>
      <c r="J965">
        <v>1348</v>
      </c>
    </row>
    <row r="966" spans="1:10" x14ac:dyDescent="0.25">
      <c r="A966">
        <v>3407</v>
      </c>
      <c r="B966" t="str">
        <v>Gujarat Intrux</v>
      </c>
      <c r="C966">
        <v>35.118105</v>
      </c>
      <c r="D966">
        <v>212.91691589355469</v>
      </c>
      <c r="E966">
        <v>145.38368225097656</v>
      </c>
      <c r="F966">
        <v>0.68281900882720947</v>
      </c>
      <c r="G966">
        <v>479.5</v>
      </c>
      <c r="H966">
        <v>0</v>
      </c>
      <c r="I966">
        <v>163.17999267578125</v>
      </c>
      <c r="J966">
        <v>1318</v>
      </c>
    </row>
    <row r="967" spans="1:10" x14ac:dyDescent="0.25">
      <c r="A967">
        <v>5970</v>
      </c>
      <c r="B967" t="str">
        <v>Gujarat Metallic</v>
      </c>
      <c r="C967">
        <v>32.127170999999997</v>
      </c>
      <c r="D967">
        <v>16.338357925415039</v>
      </c>
      <c r="E967">
        <v>5.1109719276428223</v>
      </c>
      <c r="F967">
        <v>0.31281998753547668</v>
      </c>
      <c r="G967">
        <v>31.299999237060547</v>
      </c>
      <c r="H967">
        <v>0.62000000476837158</v>
      </c>
      <c r="I967">
        <v>5.940000057220459</v>
      </c>
      <c r="J967">
        <v>787</v>
      </c>
    </row>
    <row r="968" spans="1:10" x14ac:dyDescent="0.25">
      <c r="A968">
        <v>45765</v>
      </c>
      <c r="B968" t="str">
        <v>Gulf Oil Lubric.</v>
      </c>
      <c r="C968">
        <v>6.969919</v>
      </c>
      <c r="D968">
        <v>713.91888427734375</v>
      </c>
      <c r="E968">
        <v>277.7435302734375</v>
      </c>
      <c r="F968">
        <v>0.38904100656509399</v>
      </c>
      <c r="G968">
        <v>1191.1624755859375</v>
      </c>
      <c r="H968">
        <v>0.30000001192092896</v>
      </c>
      <c r="I968">
        <v>5919.490234375</v>
      </c>
      <c r="J968">
        <v>1358</v>
      </c>
    </row>
    <row r="969" spans="1:10" x14ac:dyDescent="0.25">
      <c r="A969">
        <v>22361</v>
      </c>
      <c r="B969" t="str">
        <v>Gulshan Polyols</v>
      </c>
      <c r="C969">
        <v>31.181124000000001</v>
      </c>
      <c r="D969">
        <v>173.44294738769531</v>
      </c>
      <c r="E969">
        <v>75.01495361328125</v>
      </c>
      <c r="F969">
        <v>0.43250501155853271</v>
      </c>
      <c r="G969">
        <v>180.38749694824219</v>
      </c>
      <c r="H969">
        <v>0.50999999046325684</v>
      </c>
      <c r="I969">
        <v>1094.2900390625</v>
      </c>
      <c r="J969">
        <v>1345</v>
      </c>
    </row>
    <row r="970" spans="1:10" x14ac:dyDescent="0.25">
      <c r="A970">
        <v>4964</v>
      </c>
      <c r="B970" t="str">
        <v>Gyan Developers</v>
      </c>
      <c r="C970">
        <v>45.592860000000002</v>
      </c>
      <c r="D970">
        <v>18.626029968261719</v>
      </c>
      <c r="E970">
        <v>10.315174102783203</v>
      </c>
      <c r="F970">
        <v>0.55380398035049438</v>
      </c>
      <c r="G970">
        <v>37.790000915527344</v>
      </c>
      <c r="H970">
        <v>0</v>
      </c>
      <c r="I970">
        <v>11.340000152587891</v>
      </c>
      <c r="J970">
        <v>420</v>
      </c>
    </row>
    <row r="971" spans="1:10" x14ac:dyDescent="0.25">
      <c r="A971">
        <v>27828</v>
      </c>
      <c r="B971" t="str">
        <v>H D I L</v>
      </c>
      <c r="C971">
        <v>4.0807130000000003</v>
      </c>
      <c r="D971">
        <v>4.548058032989502</v>
      </c>
      <c r="E971">
        <v>1.4216309785842896</v>
      </c>
      <c r="F971">
        <v>0.31257998943328857</v>
      </c>
      <c r="G971">
        <v>3.7200000286102295</v>
      </c>
      <c r="H971">
        <v>0</v>
      </c>
      <c r="I971">
        <v>176.33000183105469</v>
      </c>
      <c r="J971">
        <v>1075</v>
      </c>
    </row>
    <row r="972" spans="1:10" x14ac:dyDescent="0.25">
      <c r="A972">
        <v>24949</v>
      </c>
      <c r="B972" t="str">
        <v>H T Media</v>
      </c>
      <c r="C972">
        <v>6.0595530000000002</v>
      </c>
      <c r="D972">
        <v>22.026342391967773</v>
      </c>
      <c r="E972">
        <v>5.7344732284545898</v>
      </c>
      <c r="F972">
        <v>0.26034599542617798</v>
      </c>
      <c r="G972">
        <v>19.989999771118164</v>
      </c>
      <c r="H972">
        <v>0.99000000953674316</v>
      </c>
      <c r="I972">
        <v>459.67999267578125</v>
      </c>
      <c r="J972">
        <v>1359</v>
      </c>
    </row>
    <row r="973" spans="1:10" x14ac:dyDescent="0.25">
      <c r="A973">
        <v>7809</v>
      </c>
      <c r="B973" t="str">
        <v>H. S. India</v>
      </c>
      <c r="C973">
        <v>14.167833</v>
      </c>
      <c r="D973">
        <v>10.785444259643555</v>
      </c>
      <c r="E973">
        <v>4.6296191215515137</v>
      </c>
      <c r="F973">
        <v>0.42924699187278748</v>
      </c>
      <c r="G973">
        <v>14.217499732971191</v>
      </c>
      <c r="H973">
        <v>0.67000001668930054</v>
      </c>
      <c r="I973">
        <v>22.729999542236328</v>
      </c>
      <c r="J973">
        <v>1251</v>
      </c>
    </row>
    <row r="974" spans="1:10" x14ac:dyDescent="0.25">
      <c r="A974">
        <v>71631</v>
      </c>
      <c r="B974" t="str">
        <v>H.G. Infra Engg.</v>
      </c>
      <c r="C974">
        <v>25.661363000000001</v>
      </c>
      <c r="D974">
        <v>724.0823974609375</v>
      </c>
      <c r="E974">
        <v>420.8853759765625</v>
      </c>
      <c r="F974">
        <v>0.58126699924468994</v>
      </c>
      <c r="G974">
        <v>1020.7374877929688</v>
      </c>
      <c r="H974">
        <v>0.2199999988079071</v>
      </c>
      <c r="I974">
        <v>6640.27978515625</v>
      </c>
      <c r="J974">
        <v>1359</v>
      </c>
    </row>
    <row r="975" spans="1:10" x14ac:dyDescent="0.25">
      <c r="A975">
        <v>662</v>
      </c>
      <c r="B975" t="str">
        <v>HB Leasing &amp;Fin.</v>
      </c>
      <c r="C975">
        <v>58.898753999999997</v>
      </c>
      <c r="D975">
        <v>7.9093198776245117</v>
      </c>
      <c r="E975">
        <v>6.9986991882324219</v>
      </c>
      <c r="F975">
        <v>0.88486701250076294</v>
      </c>
      <c r="G975">
        <v>14.529999732971191</v>
      </c>
      <c r="H975">
        <v>1.9999999552965164E-2</v>
      </c>
      <c r="I975">
        <v>18.430000305175781</v>
      </c>
      <c r="J975">
        <v>1194</v>
      </c>
    </row>
    <row r="976" spans="1:10" x14ac:dyDescent="0.25">
      <c r="A976">
        <v>22371</v>
      </c>
      <c r="B976" t="str">
        <v>HB Portfolio</v>
      </c>
      <c r="C976">
        <v>33.637866000000002</v>
      </c>
      <c r="D976">
        <v>47.041572570800781</v>
      </c>
      <c r="E976">
        <v>30.390636444091797</v>
      </c>
      <c r="F976">
        <v>0.6460379958152771</v>
      </c>
      <c r="G976">
        <v>99.150001525878906</v>
      </c>
      <c r="H976">
        <v>0</v>
      </c>
      <c r="I976">
        <v>105.08000183105469</v>
      </c>
      <c r="J976">
        <v>1359</v>
      </c>
    </row>
    <row r="977" spans="1:10" x14ac:dyDescent="0.25">
      <c r="A977">
        <v>2105</v>
      </c>
      <c r="B977" t="str">
        <v>HB Stockholdings</v>
      </c>
      <c r="C977">
        <v>48.925125000000001</v>
      </c>
      <c r="D977">
        <v>54.809459686279297</v>
      </c>
      <c r="E977">
        <v>38.307552337646484</v>
      </c>
      <c r="F977">
        <v>0.69892197847366333</v>
      </c>
      <c r="G977">
        <v>91.972503662109375</v>
      </c>
      <c r="H977">
        <v>9.9999997764825821E-3</v>
      </c>
      <c r="I977">
        <v>65.099998474121094</v>
      </c>
      <c r="J977">
        <v>1320</v>
      </c>
    </row>
    <row r="978" spans="1:10" x14ac:dyDescent="0.25">
      <c r="A978">
        <v>2401</v>
      </c>
      <c r="B978" t="str">
        <v>HBL Engineering</v>
      </c>
      <c r="C978">
        <v>70.939138</v>
      </c>
      <c r="D978">
        <v>209.181884765625</v>
      </c>
      <c r="E978">
        <v>219.06169128417969</v>
      </c>
      <c r="F978">
        <v>1.0472309589385986</v>
      </c>
      <c r="G978">
        <v>571.32501220703125</v>
      </c>
      <c r="H978">
        <v>5.9999998658895493E-2</v>
      </c>
      <c r="I978">
        <v>15622.7099609375</v>
      </c>
      <c r="J978">
        <v>1359</v>
      </c>
    </row>
    <row r="979" spans="1:10" x14ac:dyDescent="0.25">
      <c r="A979">
        <v>1019</v>
      </c>
      <c r="B979" t="str">
        <v>HCL Infosystems</v>
      </c>
      <c r="C979">
        <v>16.093388000000001</v>
      </c>
      <c r="D979">
        <v>14.46595573425293</v>
      </c>
      <c r="E979">
        <v>4.6047239303588867</v>
      </c>
      <c r="F979">
        <v>0.31831499934196472</v>
      </c>
      <c r="G979">
        <v>16.844999313354492</v>
      </c>
      <c r="H979">
        <v>0</v>
      </c>
      <c r="I979">
        <v>550.44000244140625</v>
      </c>
      <c r="J979">
        <v>1359</v>
      </c>
    </row>
    <row r="980" spans="1:10" x14ac:dyDescent="0.25">
      <c r="A980">
        <v>5656</v>
      </c>
      <c r="B980" t="str">
        <v>HCL Technologies</v>
      </c>
      <c r="C980">
        <v>20.569319</v>
      </c>
      <c r="D980">
        <v>1162.970703125</v>
      </c>
      <c r="E980">
        <v>360.18661499023438</v>
      </c>
      <c r="F980">
        <v>0.30971300601959229</v>
      </c>
      <c r="G980">
        <v>1710.949951171875</v>
      </c>
      <c r="H980">
        <v>1.9999999552965164E-2</v>
      </c>
      <c r="I980">
        <v>465095.09375</v>
      </c>
      <c r="J980">
        <v>1359</v>
      </c>
    </row>
    <row r="981" spans="1:10" x14ac:dyDescent="0.25">
      <c r="A981">
        <v>4511</v>
      </c>
      <c r="B981" t="str">
        <v>HCP Plastene</v>
      </c>
      <c r="C981">
        <v>62.022452000000001</v>
      </c>
      <c r="D981">
        <v>244.86836242675781</v>
      </c>
      <c r="E981">
        <v>204.06291198730469</v>
      </c>
      <c r="F981">
        <v>0.83335798978805542</v>
      </c>
      <c r="G981">
        <v>172.91250610351563</v>
      </c>
      <c r="H981">
        <v>0.95999997854232788</v>
      </c>
      <c r="I981">
        <v>183.1300048828125</v>
      </c>
      <c r="J981">
        <v>1157</v>
      </c>
    </row>
    <row r="982" spans="1:10" x14ac:dyDescent="0.25">
      <c r="A982">
        <v>21272</v>
      </c>
      <c r="B982" t="str">
        <v>HDFC AMC</v>
      </c>
      <c r="C982">
        <v>7.9796610000000001</v>
      </c>
      <c r="D982">
        <v>2896.639404296875</v>
      </c>
      <c r="E982">
        <v>833.17120361328125</v>
      </c>
      <c r="F982">
        <v>0.2876339852809906</v>
      </c>
      <c r="G982">
        <v>4922.96240234375</v>
      </c>
      <c r="H982">
        <v>0</v>
      </c>
      <c r="I982">
        <v>104294.8125</v>
      </c>
      <c r="J982">
        <v>1359</v>
      </c>
    </row>
    <row r="983" spans="1:10" x14ac:dyDescent="0.25">
      <c r="A983">
        <v>4987</v>
      </c>
      <c r="B983" t="str">
        <v>HDFC Bank</v>
      </c>
      <c r="C983">
        <v>7.6731689999999997</v>
      </c>
      <c r="D983">
        <v>1491.4476318359375</v>
      </c>
      <c r="E983">
        <v>223.64218139648438</v>
      </c>
      <c r="F983">
        <v>0.14994999766349792</v>
      </c>
      <c r="G983">
        <v>1934.512451171875</v>
      </c>
      <c r="H983">
        <v>0</v>
      </c>
      <c r="I983">
        <v>1483587.875</v>
      </c>
      <c r="J983">
        <v>1359</v>
      </c>
    </row>
    <row r="984" spans="1:10" x14ac:dyDescent="0.25">
      <c r="A984">
        <v>21997</v>
      </c>
      <c r="B984" t="str">
        <v>HDFC Life Insur.</v>
      </c>
      <c r="C984">
        <v>3.7402470000000001</v>
      </c>
      <c r="D984">
        <v>618.81353759765625</v>
      </c>
      <c r="E984">
        <v>71.623634338378906</v>
      </c>
      <c r="F984">
        <v>0.1157429963350296</v>
      </c>
      <c r="G984">
        <v>762.3499755859375</v>
      </c>
      <c r="H984">
        <v>7.0000000298023224E-2</v>
      </c>
      <c r="I984">
        <v>164187.671875</v>
      </c>
      <c r="J984">
        <v>1359</v>
      </c>
    </row>
    <row r="985" spans="1:10" x14ac:dyDescent="0.25">
      <c r="A985">
        <v>251</v>
      </c>
      <c r="B985" t="str">
        <v>HEG</v>
      </c>
      <c r="C985">
        <v>15.675475</v>
      </c>
      <c r="D985">
        <v>313.52542114257813</v>
      </c>
      <c r="E985">
        <v>116.87641143798828</v>
      </c>
      <c r="F985">
        <v>0.37278100848197937</v>
      </c>
      <c r="G985">
        <v>495.5</v>
      </c>
      <c r="H985">
        <v>0.17000000178813934</v>
      </c>
      <c r="I985">
        <v>9428.8798828125</v>
      </c>
      <c r="J985">
        <v>1359</v>
      </c>
    </row>
    <row r="986" spans="1:10" x14ac:dyDescent="0.25">
      <c r="A986">
        <v>1189</v>
      </c>
      <c r="B986" t="str">
        <v>HFCL</v>
      </c>
      <c r="C986">
        <v>28.857593000000001</v>
      </c>
      <c r="D986">
        <v>67.666412353515625</v>
      </c>
      <c r="E986">
        <v>34.740283966064453</v>
      </c>
      <c r="F986">
        <v>0.51340502500534058</v>
      </c>
      <c r="G986">
        <v>80.892501831054688</v>
      </c>
      <c r="H986">
        <v>0.23999999463558197</v>
      </c>
      <c r="I986">
        <v>11450.490234375</v>
      </c>
      <c r="J986">
        <v>1359</v>
      </c>
    </row>
    <row r="987" spans="1:10" x14ac:dyDescent="0.25">
      <c r="A987">
        <v>3646</v>
      </c>
      <c r="B987" t="str">
        <v>HLE Glascoat</v>
      </c>
      <c r="C987">
        <v>28.994510999999999</v>
      </c>
      <c r="D987">
        <v>546.25390625</v>
      </c>
      <c r="E987">
        <v>297.99118041992188</v>
      </c>
      <c r="F987">
        <v>0.54551798105239868</v>
      </c>
      <c r="G987">
        <v>429.32501220703125</v>
      </c>
      <c r="H987">
        <v>0.85000002384185791</v>
      </c>
      <c r="I987">
        <v>2862.7099609375</v>
      </c>
      <c r="J987">
        <v>1359</v>
      </c>
    </row>
    <row r="988" spans="1:10" x14ac:dyDescent="0.25">
      <c r="A988">
        <v>257</v>
      </c>
      <c r="B988" t="str">
        <v>HLV</v>
      </c>
      <c r="C988">
        <v>15.647119999999999</v>
      </c>
      <c r="D988">
        <v>12.797975540161133</v>
      </c>
      <c r="E988">
        <v>7.5003170967102051</v>
      </c>
      <c r="F988">
        <v>0.58605498075485229</v>
      </c>
      <c r="G988">
        <v>13.345000267028809</v>
      </c>
      <c r="H988">
        <v>7.9999998211860657E-2</v>
      </c>
      <c r="I988">
        <v>865.6099853515625</v>
      </c>
      <c r="J988">
        <v>1359</v>
      </c>
    </row>
    <row r="989" spans="1:10" x14ac:dyDescent="0.25">
      <c r="A989">
        <v>27340</v>
      </c>
      <c r="B989" t="str">
        <v>HOV Services</v>
      </c>
      <c r="C989">
        <v>4.6554320000000002</v>
      </c>
      <c r="D989">
        <v>54.114101409912109</v>
      </c>
      <c r="E989">
        <v>13.201601982116699</v>
      </c>
      <c r="F989">
        <v>0.24395899474620819</v>
      </c>
      <c r="G989">
        <v>59.450000762939453</v>
      </c>
      <c r="H989">
        <v>5.000000074505806E-2</v>
      </c>
      <c r="I989">
        <v>72.989997863769531</v>
      </c>
      <c r="J989">
        <v>1349</v>
      </c>
    </row>
    <row r="990" spans="1:10" x14ac:dyDescent="0.25">
      <c r="A990">
        <v>44404</v>
      </c>
      <c r="B990" t="str">
        <v>HPL Electric</v>
      </c>
      <c r="C990">
        <v>50.075772000000001</v>
      </c>
      <c r="D990">
        <v>181.68177795410156</v>
      </c>
      <c r="E990">
        <v>182.8348388671875</v>
      </c>
      <c r="F990">
        <v>1.0063469409942627</v>
      </c>
      <c r="G990">
        <v>521.5</v>
      </c>
      <c r="H990">
        <v>0.70999997854232788</v>
      </c>
      <c r="I990">
        <v>3312.760009765625</v>
      </c>
      <c r="J990">
        <v>1359</v>
      </c>
    </row>
    <row r="991" spans="1:10" x14ac:dyDescent="0.25">
      <c r="A991">
        <v>4647</v>
      </c>
      <c r="B991" t="str">
        <v>Haldyn Glass</v>
      </c>
      <c r="C991">
        <v>23.560663999999999</v>
      </c>
      <c r="D991">
        <v>75.021247863769531</v>
      </c>
      <c r="E991">
        <v>47.554336547851563</v>
      </c>
      <c r="F991">
        <v>0.63387799263000488</v>
      </c>
      <c r="G991">
        <v>104.09999847412109</v>
      </c>
      <c r="H991">
        <v>0.43000000715255737</v>
      </c>
      <c r="I991">
        <v>558.47998046875</v>
      </c>
      <c r="J991">
        <v>1359</v>
      </c>
    </row>
    <row r="992" spans="1:10" x14ac:dyDescent="0.25">
      <c r="A992">
        <v>3579</v>
      </c>
      <c r="B992" t="str">
        <v>Hampton Sky</v>
      </c>
      <c r="C992">
        <v>63.535725999999997</v>
      </c>
      <c r="D992">
        <v>27.26194953918457</v>
      </c>
      <c r="E992">
        <v>16.69304084777832</v>
      </c>
      <c r="F992">
        <v>0.61232000589370728</v>
      </c>
      <c r="G992">
        <v>25.982500076293945</v>
      </c>
      <c r="H992">
        <v>0.27000001072883606</v>
      </c>
      <c r="I992">
        <v>700.33001708984375</v>
      </c>
      <c r="J992">
        <v>1322</v>
      </c>
    </row>
    <row r="993" spans="1:10" x14ac:dyDescent="0.25">
      <c r="A993">
        <v>1286</v>
      </c>
      <c r="B993" t="str">
        <v>Hardcast.&amp; Waud</v>
      </c>
      <c r="C993">
        <v>26.211601999999999</v>
      </c>
      <c r="D993">
        <v>445.05593872070313</v>
      </c>
      <c r="E993">
        <v>264.11996459960938</v>
      </c>
      <c r="F993">
        <v>0.59345299005508423</v>
      </c>
      <c r="G993">
        <v>708.76251220703125</v>
      </c>
      <c r="H993">
        <v>0</v>
      </c>
      <c r="I993">
        <v>47.939998626708984</v>
      </c>
      <c r="J993">
        <v>1229</v>
      </c>
    </row>
    <row r="994" spans="1:10" x14ac:dyDescent="0.25">
      <c r="A994">
        <v>72476</v>
      </c>
      <c r="B994" t="str">
        <v>Hardwyn India</v>
      </c>
      <c r="C994">
        <v>54.753836</v>
      </c>
      <c r="D994">
        <v>15.823733329772949</v>
      </c>
      <c r="E994">
        <v>10.14552116394043</v>
      </c>
      <c r="F994">
        <v>0.64115798473358154</v>
      </c>
      <c r="G994">
        <v>14.460000038146973</v>
      </c>
      <c r="H994">
        <v>1.9999999552965164E-2</v>
      </c>
      <c r="I994">
        <v>707.25</v>
      </c>
      <c r="J994">
        <v>1039</v>
      </c>
    </row>
    <row r="995" spans="1:10" x14ac:dyDescent="0.25">
      <c r="A995">
        <v>42511</v>
      </c>
      <c r="B995" t="str">
        <v>Haria Apparels</v>
      </c>
      <c r="C995">
        <v>33.64423</v>
      </c>
      <c r="D995">
        <v>4.1289591789245605</v>
      </c>
      <c r="E995">
        <v>2.2570869922637939</v>
      </c>
      <c r="F995">
        <v>0.54664802551269531</v>
      </c>
      <c r="G995">
        <v>5.0900001525878906</v>
      </c>
      <c r="H995">
        <v>0.28999999165534973</v>
      </c>
      <c r="I995">
        <v>8.0600004196166992</v>
      </c>
      <c r="J995">
        <v>1030</v>
      </c>
    </row>
    <row r="996" spans="1:10" x14ac:dyDescent="0.25">
      <c r="A996">
        <v>4278</v>
      </c>
      <c r="B996" t="str">
        <v>Haria Exports</v>
      </c>
      <c r="C996">
        <v>49.662413000000001</v>
      </c>
      <c r="D996">
        <v>4.6944518089294434</v>
      </c>
      <c r="E996">
        <v>1.9961550235748291</v>
      </c>
      <c r="F996">
        <v>0.42521598935127258</v>
      </c>
      <c r="G996">
        <v>9.0200004577636719</v>
      </c>
      <c r="H996">
        <v>0</v>
      </c>
      <c r="I996">
        <v>10.420000076293945</v>
      </c>
      <c r="J996">
        <v>1091</v>
      </c>
    </row>
    <row r="997" spans="1:10" x14ac:dyDescent="0.25">
      <c r="A997">
        <v>4777</v>
      </c>
      <c r="B997" t="str">
        <v>Hariyana Ship</v>
      </c>
      <c r="C997">
        <v>20.752534000000001</v>
      </c>
      <c r="D997">
        <v>84.846122741699219</v>
      </c>
      <c r="E997">
        <v>36.414142608642578</v>
      </c>
      <c r="F997">
        <v>0.42917901277542114</v>
      </c>
      <c r="G997">
        <v>123.5</v>
      </c>
      <c r="H997">
        <v>0.12999999523162842</v>
      </c>
      <c r="I997">
        <v>75.05999755859375</v>
      </c>
      <c r="J997">
        <v>1354</v>
      </c>
    </row>
    <row r="998" spans="1:10" x14ac:dyDescent="0.25">
      <c r="A998">
        <v>233</v>
      </c>
      <c r="B998" t="str">
        <v>Harri. Malayalam</v>
      </c>
      <c r="C998">
        <v>23.842424999999999</v>
      </c>
      <c r="D998">
        <v>157.28450012207031</v>
      </c>
      <c r="E998">
        <v>55.364414215087891</v>
      </c>
      <c r="F998">
        <v>0.35200199484825134</v>
      </c>
      <c r="G998">
        <v>208.89999389648438</v>
      </c>
      <c r="H998">
        <v>0.63999998569488525</v>
      </c>
      <c r="I998">
        <v>382.67999267578125</v>
      </c>
      <c r="J998">
        <v>1358</v>
      </c>
    </row>
    <row r="999" spans="1:10" x14ac:dyDescent="0.25">
      <c r="A999">
        <v>27750</v>
      </c>
      <c r="B999" t="str">
        <v>Haryana Capfin</v>
      </c>
      <c r="C999">
        <v>33.593252</v>
      </c>
      <c r="D999">
        <v>101.69568634033203</v>
      </c>
      <c r="E999">
        <v>86.520126342773438</v>
      </c>
      <c r="F999">
        <v>0.85077500343322754</v>
      </c>
      <c r="G999">
        <v>198</v>
      </c>
      <c r="H999">
        <v>0</v>
      </c>
      <c r="I999">
        <v>102.58000183105469</v>
      </c>
      <c r="J999">
        <v>1253</v>
      </c>
    </row>
    <row r="1000" spans="1:10" x14ac:dyDescent="0.25">
      <c r="A1000">
        <v>1183</v>
      </c>
      <c r="B1000" t="str">
        <v>Haryana Leather</v>
      </c>
      <c r="C1000">
        <v>22.450486000000001</v>
      </c>
      <c r="D1000">
        <v>50.794464111328125</v>
      </c>
      <c r="E1000">
        <v>23.886428833007813</v>
      </c>
      <c r="F1000">
        <v>0.47025701403617859</v>
      </c>
      <c r="G1000">
        <v>70.824996948242188</v>
      </c>
      <c r="H1000">
        <v>9.9999997764825821E-3</v>
      </c>
      <c r="I1000">
        <v>34.630001068115234</v>
      </c>
      <c r="J1000">
        <v>1279</v>
      </c>
    </row>
    <row r="1001" spans="1:10" x14ac:dyDescent="0.25">
      <c r="A1001">
        <v>6542</v>
      </c>
      <c r="B1001" t="str">
        <v>Hasti Finance</v>
      </c>
      <c r="C1001">
        <v>3.7491639999999999</v>
      </c>
      <c r="D1001">
        <v>6.1689667701721191</v>
      </c>
      <c r="E1001">
        <v>1.8634589910507202</v>
      </c>
      <c r="F1001">
        <v>0.30206999182701111</v>
      </c>
      <c r="G1001">
        <v>6.880000114440918</v>
      </c>
      <c r="H1001">
        <v>0</v>
      </c>
      <c r="I1001">
        <v>7.380000114440918</v>
      </c>
      <c r="J1001">
        <v>930</v>
      </c>
    </row>
    <row r="1002" spans="1:10" x14ac:dyDescent="0.25">
      <c r="A1002">
        <v>1970</v>
      </c>
      <c r="B1002" t="str">
        <v>Hathway Bhawani</v>
      </c>
      <c r="C1002">
        <v>31.791164999999999</v>
      </c>
      <c r="D1002">
        <v>19.420364379882813</v>
      </c>
      <c r="E1002">
        <v>5.3113698959350586</v>
      </c>
      <c r="F1002">
        <v>0.27349498867988586</v>
      </c>
      <c r="G1002">
        <v>16.514999389648438</v>
      </c>
      <c r="H1002">
        <v>0</v>
      </c>
      <c r="I1002">
        <v>13.359999656677246</v>
      </c>
      <c r="J1002">
        <v>1357</v>
      </c>
    </row>
    <row r="1003" spans="1:10" x14ac:dyDescent="0.25">
      <c r="A1003">
        <v>20659</v>
      </c>
      <c r="B1003" t="str">
        <v>Hathway Cable</v>
      </c>
      <c r="C1003">
        <v>-5.4171670000000001</v>
      </c>
      <c r="D1003">
        <v>21.25663948059082</v>
      </c>
      <c r="E1003">
        <v>6.2555451393127441</v>
      </c>
      <c r="F1003">
        <v>0.29428699612617493</v>
      </c>
      <c r="G1003">
        <v>14.774999618530273</v>
      </c>
      <c r="H1003">
        <v>0</v>
      </c>
      <c r="I1003">
        <v>2584.35009765625</v>
      </c>
      <c r="J1003">
        <v>1359</v>
      </c>
    </row>
    <row r="1004" spans="1:10" x14ac:dyDescent="0.25">
      <c r="A1004">
        <v>3272</v>
      </c>
      <c r="B1004" t="str">
        <v>Havells India</v>
      </c>
      <c r="C1004">
        <v>15.951121000000001</v>
      </c>
      <c r="D1004">
        <v>1232.9189453125</v>
      </c>
      <c r="E1004">
        <v>362.50897216796875</v>
      </c>
      <c r="F1004">
        <v>0.2940250039100647</v>
      </c>
      <c r="G1004">
        <v>1528.425048828125</v>
      </c>
      <c r="H1004">
        <v>3.9999999105930328E-2</v>
      </c>
      <c r="I1004">
        <v>95179.15625</v>
      </c>
      <c r="J1004">
        <v>1359</v>
      </c>
    </row>
    <row r="1005" spans="1:10" x14ac:dyDescent="0.25">
      <c r="A1005">
        <v>451</v>
      </c>
      <c r="B1005" t="str">
        <v>Hawkins Cookers</v>
      </c>
      <c r="C1005">
        <v>14.135408999999999</v>
      </c>
      <c r="D1005">
        <v>6275.2099609375</v>
      </c>
      <c r="E1005">
        <v>1271.407958984375</v>
      </c>
      <c r="F1005">
        <v>0.20260800421237946</v>
      </c>
      <c r="G1005">
        <v>7857.6494140625</v>
      </c>
      <c r="H1005">
        <v>0.11999999731779099</v>
      </c>
      <c r="I1005">
        <v>4157.72998046875</v>
      </c>
      <c r="J1005">
        <v>1359</v>
      </c>
    </row>
    <row r="1006" spans="1:10" x14ac:dyDescent="0.25">
      <c r="A1006">
        <v>22849</v>
      </c>
      <c r="B1006" t="str">
        <v>Haz.Multi Proj.</v>
      </c>
      <c r="C1006">
        <v>114.973462</v>
      </c>
      <c r="D1006">
        <v>17.025350570678711</v>
      </c>
      <c r="E1006">
        <v>18.672346115112305</v>
      </c>
      <c r="F1006">
        <v>1.0967379808425903</v>
      </c>
      <c r="G1006">
        <v>40.090000152587891</v>
      </c>
      <c r="H1006">
        <v>9.0000003576278687E-2</v>
      </c>
      <c r="I1006">
        <v>870.20001220703125</v>
      </c>
      <c r="J1006">
        <v>1206</v>
      </c>
    </row>
    <row r="1007" spans="1:10" x14ac:dyDescent="0.25">
      <c r="A1007">
        <v>64851</v>
      </c>
      <c r="B1007" t="str">
        <v>Heads UP Venture</v>
      </c>
      <c r="C1007">
        <v>-3.5868099999999998</v>
      </c>
      <c r="D1007">
        <v>13.039189338684082</v>
      </c>
      <c r="E1007">
        <v>2.8283319473266602</v>
      </c>
      <c r="F1007">
        <v>0.21691000461578369</v>
      </c>
      <c r="G1007">
        <v>10.475000381469727</v>
      </c>
      <c r="H1007">
        <v>0</v>
      </c>
      <c r="I1007">
        <v>22.700000762939453</v>
      </c>
      <c r="J1007">
        <v>1354</v>
      </c>
    </row>
    <row r="1008" spans="1:10" x14ac:dyDescent="0.25">
      <c r="A1008">
        <v>42523</v>
      </c>
      <c r="B1008" t="str">
        <v>Health.Global</v>
      </c>
      <c r="C1008">
        <v>30.956295999999998</v>
      </c>
      <c r="D1008">
        <v>286.15371704101563</v>
      </c>
      <c r="E1008">
        <v>122.69002532958984</v>
      </c>
      <c r="F1008">
        <v>0.4287559986114502</v>
      </c>
      <c r="G1008">
        <v>536.95001220703125</v>
      </c>
      <c r="H1008">
        <v>0.4699999988079071</v>
      </c>
      <c r="I1008">
        <v>7448.9599609375</v>
      </c>
      <c r="J1008">
        <v>1355</v>
      </c>
    </row>
    <row r="1009" spans="1:10" x14ac:dyDescent="0.25">
      <c r="A1009">
        <v>396</v>
      </c>
      <c r="B1009" t="str">
        <v>Heidelberg Cem.</v>
      </c>
      <c r="C1009">
        <v>1.972323</v>
      </c>
      <c r="D1009">
        <v>204.07905578613281</v>
      </c>
      <c r="E1009">
        <v>27.039619445800781</v>
      </c>
      <c r="F1009">
        <v>0.13249599933624268</v>
      </c>
      <c r="G1009">
        <v>195.36250305175781</v>
      </c>
      <c r="H1009">
        <v>0.10999999940395355</v>
      </c>
      <c r="I1009">
        <v>4431.419921875</v>
      </c>
      <c r="J1009">
        <v>1359</v>
      </c>
    </row>
    <row r="1010" spans="1:10" x14ac:dyDescent="0.25">
      <c r="A1010">
        <v>3931</v>
      </c>
      <c r="B1010" t="str">
        <v>Hemo Organic</v>
      </c>
      <c r="C1010">
        <v>-6.0087140000000003</v>
      </c>
      <c r="D1010">
        <v>16.536832809448242</v>
      </c>
      <c r="E1010">
        <v>13.194487571716309</v>
      </c>
      <c r="F1010">
        <v>0.79788500070571899</v>
      </c>
      <c r="G1010">
        <v>10.409999847412109</v>
      </c>
      <c r="H1010">
        <v>0</v>
      </c>
      <c r="I1010">
        <v>3.6099998950958252</v>
      </c>
      <c r="J1010">
        <v>881</v>
      </c>
    </row>
    <row r="1011" spans="1:10" x14ac:dyDescent="0.25">
      <c r="A1011">
        <v>1975</v>
      </c>
      <c r="B1011" t="str">
        <v>Hercules Hoists</v>
      </c>
      <c r="C1011">
        <v>37.965283999999997</v>
      </c>
      <c r="D1011">
        <v>78.246223449707031</v>
      </c>
      <c r="E1011">
        <v>59.669635772705078</v>
      </c>
      <c r="F1011">
        <v>0.7625880241394043</v>
      </c>
      <c r="G1011">
        <v>186.16250610351563</v>
      </c>
      <c r="H1011">
        <v>9.9999997764825821E-3</v>
      </c>
      <c r="I1011">
        <v>581.5999755859375</v>
      </c>
      <c r="J1011">
        <v>1359</v>
      </c>
    </row>
    <row r="1012" spans="1:10" x14ac:dyDescent="0.25">
      <c r="A1012">
        <v>4439</v>
      </c>
      <c r="B1012" t="str">
        <v>Heritage Foods</v>
      </c>
      <c r="C1012">
        <v>16.191922999999999</v>
      </c>
      <c r="D1012">
        <v>252.41621398925781</v>
      </c>
      <c r="E1012">
        <v>132.03932189941406</v>
      </c>
      <c r="F1012">
        <v>0.52310198545455933</v>
      </c>
      <c r="G1012">
        <v>437.60000610351563</v>
      </c>
      <c r="H1012">
        <v>0.18999999761581421</v>
      </c>
      <c r="I1012">
        <v>4043.1201171875</v>
      </c>
      <c r="J1012">
        <v>1359</v>
      </c>
    </row>
    <row r="1013" spans="1:10" x14ac:dyDescent="0.25">
      <c r="A1013">
        <v>237</v>
      </c>
      <c r="B1013" t="str">
        <v>Hero Motocorp</v>
      </c>
      <c r="C1013">
        <v>10.794581000000001</v>
      </c>
      <c r="D1013">
        <v>3275.054931640625</v>
      </c>
      <c r="E1013">
        <v>965.7705078125</v>
      </c>
      <c r="F1013">
        <v>0.2948870062828064</v>
      </c>
      <c r="G1013">
        <v>4379.66259765625</v>
      </c>
      <c r="H1013">
        <v>9.9999997764825821E-3</v>
      </c>
      <c r="I1013">
        <v>87708.890625</v>
      </c>
      <c r="J1013">
        <v>1359</v>
      </c>
    </row>
    <row r="1014" spans="1:10" x14ac:dyDescent="0.25">
      <c r="A1014">
        <v>4164</v>
      </c>
      <c r="B1014" t="str">
        <v>Hester Bios</v>
      </c>
      <c r="C1014">
        <v>3.7971780000000002</v>
      </c>
      <c r="D1014">
        <v>1933.4705810546875</v>
      </c>
      <c r="E1014">
        <v>440.38568115234375</v>
      </c>
      <c r="F1014">
        <v>0.22777000069618225</v>
      </c>
      <c r="G1014">
        <v>1794.074951171875</v>
      </c>
      <c r="H1014">
        <v>0.49000000953674316</v>
      </c>
      <c r="I1014">
        <v>1510.31005859375</v>
      </c>
      <c r="J1014">
        <v>1359</v>
      </c>
    </row>
    <row r="1015" spans="1:10" x14ac:dyDescent="0.25">
      <c r="A1015">
        <v>119</v>
      </c>
      <c r="B1015" t="str">
        <v>Heubach Colorant</v>
      </c>
      <c r="C1015">
        <v>7.8730120000000001</v>
      </c>
      <c r="D1015">
        <v>451.39166259765625</v>
      </c>
      <c r="E1015">
        <v>94.969444274902344</v>
      </c>
      <c r="F1015">
        <v>0.21039299666881561</v>
      </c>
      <c r="G1015">
        <v>587.57501220703125</v>
      </c>
      <c r="H1015">
        <v>2.9999999329447746E-2</v>
      </c>
      <c r="I1015">
        <v>1352.02001953125</v>
      </c>
      <c r="J1015">
        <v>1358</v>
      </c>
    </row>
    <row r="1016" spans="1:10" x14ac:dyDescent="0.25">
      <c r="A1016">
        <v>41473</v>
      </c>
      <c r="B1016" t="str">
        <v>Hexa Tradex</v>
      </c>
      <c r="C1016">
        <v>58.953606000000001</v>
      </c>
      <c r="D1016">
        <v>141.53288269042969</v>
      </c>
      <c r="E1016">
        <v>73.528228759765625</v>
      </c>
      <c r="F1016">
        <v>0.51951301097869873</v>
      </c>
      <c r="G1016">
        <v>181.41250610351563</v>
      </c>
      <c r="H1016">
        <v>0</v>
      </c>
      <c r="I1016">
        <v>1000.8499755859375</v>
      </c>
      <c r="J1016">
        <v>1321</v>
      </c>
    </row>
    <row r="1017" spans="1:10" x14ac:dyDescent="0.25">
      <c r="A1017">
        <v>12111</v>
      </c>
      <c r="B1017" t="str">
        <v>Hexaware Tech.</v>
      </c>
      <c r="C1017">
        <v>30.118708000000002</v>
      </c>
      <c r="D1017">
        <v>334.93975830078125</v>
      </c>
      <c r="E1017">
        <v>262.85321044921875</v>
      </c>
      <c r="F1017">
        <v>0.78477799892425537</v>
      </c>
      <c r="G1017">
        <v>821.38751220703125</v>
      </c>
      <c r="H1017">
        <v>0.10999999940395355</v>
      </c>
      <c r="I1017">
        <v>50148.23046875</v>
      </c>
      <c r="J1017">
        <v>290</v>
      </c>
    </row>
    <row r="1018" spans="1:10" x14ac:dyDescent="0.25">
      <c r="A1018">
        <v>7729</v>
      </c>
      <c r="B1018" t="str">
        <v>Hi-Tech Winding</v>
      </c>
      <c r="C1018">
        <v>-21.346547999999999</v>
      </c>
      <c r="D1018">
        <v>9.0067825317382813</v>
      </c>
      <c r="E1018">
        <v>5.5271420478820801</v>
      </c>
      <c r="F1018">
        <v>0.61366397142410278</v>
      </c>
      <c r="G1018">
        <v>7.377500057220459</v>
      </c>
      <c r="H1018">
        <v>0</v>
      </c>
      <c r="I1018">
        <v>3.6099998950958252</v>
      </c>
      <c r="J1018">
        <v>718</v>
      </c>
    </row>
    <row r="1019" spans="1:10" x14ac:dyDescent="0.25">
      <c r="A1019">
        <v>1486</v>
      </c>
      <c r="B1019" t="str">
        <v>High Energy Bat.</v>
      </c>
      <c r="C1019">
        <v>51.079630000000002</v>
      </c>
      <c r="D1019">
        <v>382.6617431640625</v>
      </c>
      <c r="E1019">
        <v>224.85897827148438</v>
      </c>
      <c r="F1019">
        <v>0.58761799335479736</v>
      </c>
      <c r="G1019">
        <v>668.0999755859375</v>
      </c>
      <c r="H1019">
        <v>9.0000003576278687E-2</v>
      </c>
      <c r="I1019">
        <v>597.97998046875</v>
      </c>
      <c r="J1019">
        <v>1356</v>
      </c>
    </row>
    <row r="1020" spans="1:10" x14ac:dyDescent="0.25">
      <c r="A1020">
        <v>4401</v>
      </c>
      <c r="B1020" t="str">
        <v>Hikal</v>
      </c>
      <c r="C1020">
        <v>21.500657</v>
      </c>
      <c r="D1020">
        <v>313.48812866210938</v>
      </c>
      <c r="E1020">
        <v>125.46106719970703</v>
      </c>
      <c r="F1020">
        <v>0.40020999312400818</v>
      </c>
      <c r="G1020">
        <v>363.76251220703125</v>
      </c>
      <c r="H1020">
        <v>0.67000001668930054</v>
      </c>
      <c r="I1020">
        <v>4436.35986328125</v>
      </c>
      <c r="J1020">
        <v>1359</v>
      </c>
    </row>
    <row r="1021" spans="1:10" x14ac:dyDescent="0.25">
      <c r="A1021">
        <v>27506</v>
      </c>
      <c r="B1021" t="str">
        <v>Hilton Met.Forg.</v>
      </c>
      <c r="C1021">
        <v>38.336588999999996</v>
      </c>
      <c r="D1021">
        <v>64.567863464355469</v>
      </c>
      <c r="E1021">
        <v>52.116905212402344</v>
      </c>
      <c r="F1021">
        <v>0.80716502666473389</v>
      </c>
      <c r="G1021">
        <v>73.480003356933594</v>
      </c>
      <c r="H1021">
        <v>0.56999999284744263</v>
      </c>
      <c r="I1021">
        <v>168.38999938964844</v>
      </c>
      <c r="J1021">
        <v>1329</v>
      </c>
    </row>
    <row r="1022" spans="1:10" x14ac:dyDescent="0.25">
      <c r="A1022">
        <v>211</v>
      </c>
      <c r="B1022" t="str">
        <v>Him Teknoforg.</v>
      </c>
      <c r="C1022">
        <v>25.18938</v>
      </c>
      <c r="D1022">
        <v>115.27121734619141</v>
      </c>
      <c r="E1022">
        <v>55.094142913818359</v>
      </c>
      <c r="F1022">
        <v>0.47795200347900391</v>
      </c>
      <c r="G1022">
        <v>181.72500610351563</v>
      </c>
      <c r="H1022">
        <v>0.8399999737739563</v>
      </c>
      <c r="I1022">
        <v>169.11000061035156</v>
      </c>
      <c r="J1022">
        <v>1355</v>
      </c>
    </row>
    <row r="1023" spans="1:10" x14ac:dyDescent="0.25">
      <c r="A1023">
        <v>2780</v>
      </c>
      <c r="B1023" t="str">
        <v>Himadri Special</v>
      </c>
      <c r="C1023">
        <v>38.054236000000003</v>
      </c>
      <c r="D1023">
        <v>183.7105712890625</v>
      </c>
      <c r="E1023">
        <v>176.92550659179688</v>
      </c>
      <c r="F1023">
        <v>0.96306699514389038</v>
      </c>
      <c r="G1023">
        <v>445.375</v>
      </c>
      <c r="H1023">
        <v>0.14000000059604645</v>
      </c>
      <c r="I1023">
        <v>21617.7890625</v>
      </c>
      <c r="J1023">
        <v>1359</v>
      </c>
    </row>
    <row r="1024" spans="1:10" x14ac:dyDescent="0.25">
      <c r="A1024">
        <v>4778</v>
      </c>
      <c r="B1024" t="str">
        <v>Himalaya Food</v>
      </c>
      <c r="C1024">
        <v>17.302925999999999</v>
      </c>
      <c r="D1024">
        <v>16.351062774658203</v>
      </c>
      <c r="E1024">
        <v>5.7175960540771484</v>
      </c>
      <c r="F1024">
        <v>0.34967699646949768</v>
      </c>
      <c r="G1024">
        <v>14.734999656677246</v>
      </c>
      <c r="H1024">
        <v>0</v>
      </c>
      <c r="I1024">
        <v>128.47999572753906</v>
      </c>
      <c r="J1024">
        <v>1352</v>
      </c>
    </row>
    <row r="1025" spans="1:10" x14ac:dyDescent="0.25">
      <c r="A1025">
        <v>16072</v>
      </c>
      <c r="B1025" t="str">
        <v>Hind Aluminium</v>
      </c>
      <c r="C1025">
        <v>9.5202139999999993</v>
      </c>
      <c r="D1025">
        <v>47.116237640380859</v>
      </c>
      <c r="E1025">
        <v>12.776828765869141</v>
      </c>
      <c r="F1025">
        <v>0.27117699384689331</v>
      </c>
      <c r="G1025">
        <v>69.837501525878906</v>
      </c>
      <c r="H1025">
        <v>1.9999999552965164E-2</v>
      </c>
      <c r="I1025">
        <v>43.729999542236328</v>
      </c>
      <c r="J1025">
        <v>1352</v>
      </c>
    </row>
    <row r="1026" spans="1:10" x14ac:dyDescent="0.25">
      <c r="A1026">
        <v>255</v>
      </c>
      <c r="B1026" t="str">
        <v>Hind. Unilever</v>
      </c>
      <c r="C1026">
        <v>3.1847850000000002</v>
      </c>
      <c r="D1026">
        <v>2403.039794921875</v>
      </c>
      <c r="E1026">
        <v>206.41206359863281</v>
      </c>
      <c r="F1026">
        <v>8.5896000266075134E-2</v>
      </c>
      <c r="G1026">
        <v>2297.5</v>
      </c>
      <c r="H1026">
        <v>2.9999999329447746E-2</v>
      </c>
      <c r="I1026">
        <v>539043.25</v>
      </c>
      <c r="J1026">
        <v>1359</v>
      </c>
    </row>
    <row r="1027" spans="1:10" x14ac:dyDescent="0.25">
      <c r="A1027">
        <v>4186</v>
      </c>
      <c r="B1027" t="str">
        <v>Hind.Adhesive</v>
      </c>
      <c r="C1027">
        <v>29.601960999999999</v>
      </c>
      <c r="D1027">
        <v>276.96615600585938</v>
      </c>
      <c r="E1027">
        <v>132.5423583984375</v>
      </c>
      <c r="F1027">
        <v>0.47855100035667419</v>
      </c>
      <c r="G1027">
        <v>343.60000610351563</v>
      </c>
      <c r="H1027">
        <v>0.93999999761581421</v>
      </c>
      <c r="I1027">
        <v>172.24000549316406</v>
      </c>
      <c r="J1027">
        <v>1344</v>
      </c>
    </row>
    <row r="1028" spans="1:10" x14ac:dyDescent="0.25">
      <c r="A1028">
        <v>12030</v>
      </c>
      <c r="B1028" t="str">
        <v>Hind.Aeronautics</v>
      </c>
      <c r="C1028">
        <v>50.513365</v>
      </c>
      <c r="D1028">
        <v>1791.4569091796875</v>
      </c>
      <c r="E1028">
        <v>1569.8673095703125</v>
      </c>
      <c r="F1028">
        <v>0.87630802392959595</v>
      </c>
      <c r="G1028">
        <v>4950.33740234375</v>
      </c>
      <c r="H1028">
        <v>0</v>
      </c>
      <c r="I1028">
        <v>327723.15625</v>
      </c>
      <c r="J1028">
        <v>1359</v>
      </c>
    </row>
    <row r="1029" spans="1:10" x14ac:dyDescent="0.25">
      <c r="A1029">
        <v>253</v>
      </c>
      <c r="B1029" t="str">
        <v>Hind.Composites</v>
      </c>
      <c r="C1029">
        <v>19.356721</v>
      </c>
      <c r="D1029">
        <v>337.9012451171875</v>
      </c>
      <c r="E1029">
        <v>114.04759216308594</v>
      </c>
      <c r="F1029">
        <v>0.33751800656318665</v>
      </c>
      <c r="G1029">
        <v>487.54998779296875</v>
      </c>
      <c r="H1029">
        <v>0</v>
      </c>
      <c r="I1029">
        <v>712.5999755859375</v>
      </c>
      <c r="J1029">
        <v>1353</v>
      </c>
    </row>
    <row r="1030" spans="1:10" x14ac:dyDescent="0.25">
      <c r="A1030">
        <v>994</v>
      </c>
      <c r="B1030" t="str">
        <v>Hind.Fluoro Carb</v>
      </c>
      <c r="C1030">
        <v>10.123397000000001</v>
      </c>
      <c r="D1030">
        <v>11.756831169128418</v>
      </c>
      <c r="E1030">
        <v>4.3872718811035156</v>
      </c>
      <c r="F1030">
        <v>0.37316799163818359</v>
      </c>
      <c r="G1030">
        <v>14.010000228881836</v>
      </c>
      <c r="H1030">
        <v>0</v>
      </c>
      <c r="I1030">
        <v>27.440000534057617</v>
      </c>
      <c r="J1030">
        <v>1350</v>
      </c>
    </row>
    <row r="1031" spans="1:10" x14ac:dyDescent="0.25">
      <c r="A1031">
        <v>4640</v>
      </c>
      <c r="B1031" t="str">
        <v>Hind.Natl.Glass</v>
      </c>
      <c r="C1031">
        <v>-10.542558</v>
      </c>
      <c r="D1031">
        <v>25.681552886962891</v>
      </c>
      <c r="E1031">
        <v>9.6632251739501953</v>
      </c>
      <c r="F1031">
        <v>0.37627100944519043</v>
      </c>
      <c r="G1031">
        <v>19.190000534057617</v>
      </c>
      <c r="H1031">
        <v>0</v>
      </c>
      <c r="I1031">
        <v>171.85000610351563</v>
      </c>
      <c r="J1031">
        <v>921</v>
      </c>
    </row>
    <row r="1032" spans="1:10" x14ac:dyDescent="0.25">
      <c r="A1032">
        <v>1725</v>
      </c>
      <c r="B1032" t="str">
        <v>Hind.Oil Explor.</v>
      </c>
      <c r="C1032">
        <v>11.322055000000001</v>
      </c>
      <c r="D1032">
        <v>153.63050842285156</v>
      </c>
      <c r="E1032">
        <v>54.035301208496094</v>
      </c>
      <c r="F1032">
        <v>0.35172200202941895</v>
      </c>
      <c r="G1032">
        <v>170.0625</v>
      </c>
      <c r="H1032">
        <v>0.18000000715255737</v>
      </c>
      <c r="I1032">
        <v>2219.699951171875</v>
      </c>
      <c r="J1032">
        <v>1359</v>
      </c>
    </row>
    <row r="1033" spans="1:10" x14ac:dyDescent="0.25">
      <c r="A1033">
        <v>4930</v>
      </c>
      <c r="B1033" t="str">
        <v>Hind.Tin Works</v>
      </c>
      <c r="C1033">
        <v>22.781880000000001</v>
      </c>
      <c r="D1033">
        <v>112.65212249755859</v>
      </c>
      <c r="E1033">
        <v>52.852237701416016</v>
      </c>
      <c r="F1033">
        <v>0.46916300058364868</v>
      </c>
      <c r="G1033">
        <v>168.38749694824219</v>
      </c>
      <c r="H1033">
        <v>0.40000000596046448</v>
      </c>
      <c r="I1033">
        <v>172.16999816894531</v>
      </c>
      <c r="J1033">
        <v>1359</v>
      </c>
    </row>
    <row r="1034" spans="1:10" x14ac:dyDescent="0.25">
      <c r="A1034">
        <v>7422</v>
      </c>
      <c r="B1034" t="str">
        <v>Hind.Urban Infra</v>
      </c>
      <c r="C1034">
        <v>19.491764</v>
      </c>
      <c r="D1034">
        <v>2350.655517578125</v>
      </c>
      <c r="E1034">
        <v>1095.04638671875</v>
      </c>
      <c r="F1034">
        <v>0.46584698557853699</v>
      </c>
      <c r="G1034">
        <v>2047.487548828125</v>
      </c>
      <c r="H1034">
        <v>0.27000001072883606</v>
      </c>
      <c r="I1034">
        <v>297.95001220703125</v>
      </c>
      <c r="J1034">
        <v>1351</v>
      </c>
    </row>
    <row r="1035" spans="1:10" x14ac:dyDescent="0.25">
      <c r="A1035">
        <v>252</v>
      </c>
      <c r="B1035" t="str">
        <v>Hindalco Inds.</v>
      </c>
      <c r="C1035">
        <v>20.434380000000001</v>
      </c>
      <c r="D1035">
        <v>439.56448364257813</v>
      </c>
      <c r="E1035">
        <v>166.14106750488281</v>
      </c>
      <c r="F1035">
        <v>0.37796700000762939</v>
      </c>
      <c r="G1035">
        <v>640.57501220703125</v>
      </c>
      <c r="H1035">
        <v>0.18000000715255737</v>
      </c>
      <c r="I1035">
        <v>144148.34375</v>
      </c>
      <c r="J1035">
        <v>1359</v>
      </c>
    </row>
    <row r="1036" spans="1:10" x14ac:dyDescent="0.25">
      <c r="A1036">
        <v>3067</v>
      </c>
      <c r="B1036" t="str">
        <v>Hindoo. Mills</v>
      </c>
      <c r="C1036">
        <v>-3.2945790000000001</v>
      </c>
      <c r="D1036">
        <v>247.98588562011719</v>
      </c>
      <c r="E1036">
        <v>45.980888366699219</v>
      </c>
      <c r="F1036">
        <v>0.18541699647903442</v>
      </c>
      <c r="G1036">
        <v>190.94999694824219</v>
      </c>
      <c r="H1036">
        <v>2.9999999329447746E-2</v>
      </c>
      <c r="I1036">
        <v>31.540000915527344</v>
      </c>
      <c r="J1036">
        <v>1315</v>
      </c>
    </row>
    <row r="1037" spans="1:10" x14ac:dyDescent="0.25">
      <c r="A1037">
        <v>27500</v>
      </c>
      <c r="B1037" t="str">
        <v>Hinduja Global</v>
      </c>
      <c r="C1037">
        <v>11.004155000000001</v>
      </c>
      <c r="D1037">
        <v>894.63006591796875</v>
      </c>
      <c r="E1037">
        <v>373.28213500976563</v>
      </c>
      <c r="F1037">
        <v>0.41724699735641479</v>
      </c>
      <c r="G1037">
        <v>534.1500244140625</v>
      </c>
      <c r="H1037">
        <v>0.23999999463558197</v>
      </c>
      <c r="I1037">
        <v>2465.580078125</v>
      </c>
      <c r="J1037">
        <v>1357</v>
      </c>
    </row>
    <row r="1038" spans="1:10" x14ac:dyDescent="0.25">
      <c r="A1038">
        <v>3898</v>
      </c>
      <c r="B1038" t="str">
        <v>Hindustan Copper</v>
      </c>
      <c r="C1038">
        <v>34.833610999999998</v>
      </c>
      <c r="D1038">
        <v>150.32026672363281</v>
      </c>
      <c r="E1038">
        <v>93.128372192382813</v>
      </c>
      <c r="F1038">
        <v>0.6195330023765564</v>
      </c>
      <c r="G1038">
        <v>248.69999694824219</v>
      </c>
      <c r="H1038">
        <v>9.0000003576278687E-2</v>
      </c>
      <c r="I1038">
        <v>23663.080078125</v>
      </c>
      <c r="J1038">
        <v>1359</v>
      </c>
    </row>
    <row r="1039" spans="1:10" x14ac:dyDescent="0.25">
      <c r="A1039">
        <v>1059</v>
      </c>
      <c r="B1039" t="str">
        <v>Hindustan Foods</v>
      </c>
      <c r="C1039">
        <v>25.555745999999999</v>
      </c>
      <c r="D1039">
        <v>427.151611328125</v>
      </c>
      <c r="E1039">
        <v>157.19720458984375</v>
      </c>
      <c r="F1039">
        <v>0.36801299452781677</v>
      </c>
      <c r="G1039">
        <v>534.4124755859375</v>
      </c>
      <c r="H1039">
        <v>0.85000002384185791</v>
      </c>
      <c r="I1039">
        <v>6267.580078125</v>
      </c>
      <c r="J1039">
        <v>1358</v>
      </c>
    </row>
    <row r="1040" spans="1:10" x14ac:dyDescent="0.25">
      <c r="A1040">
        <v>616</v>
      </c>
      <c r="B1040" t="str">
        <v>Hindustan Hardy</v>
      </c>
      <c r="C1040">
        <v>51.747777999999997</v>
      </c>
      <c r="D1040">
        <v>394.60623168945313</v>
      </c>
      <c r="E1040">
        <v>266.24462890625</v>
      </c>
      <c r="F1040">
        <v>0.6747099757194519</v>
      </c>
      <c r="G1040">
        <v>1067.4000244140625</v>
      </c>
      <c r="H1040">
        <v>0.18999999761581421</v>
      </c>
      <c r="I1040">
        <v>161.17999267578125</v>
      </c>
      <c r="J1040">
        <v>1193</v>
      </c>
    </row>
    <row r="1041" spans="1:10" x14ac:dyDescent="0.25">
      <c r="A1041">
        <v>17376</v>
      </c>
      <c r="B1041" t="str">
        <v>Hindustan Media</v>
      </c>
      <c r="C1041">
        <v>3.535609</v>
      </c>
      <c r="D1041">
        <v>71.420791625976563</v>
      </c>
      <c r="E1041">
        <v>18.588396072387695</v>
      </c>
      <c r="F1041">
        <v>0.2602660059928894</v>
      </c>
      <c r="G1041">
        <v>85.882499694824219</v>
      </c>
      <c r="H1041">
        <v>7.0000000298023224E-2</v>
      </c>
      <c r="I1041">
        <v>618.69000244140625</v>
      </c>
      <c r="J1041">
        <v>1357</v>
      </c>
    </row>
    <row r="1042" spans="1:10" x14ac:dyDescent="0.25">
      <c r="A1042">
        <v>247</v>
      </c>
      <c r="B1042" t="str">
        <v>Hindustan Motors</v>
      </c>
      <c r="C1042">
        <v>30.806643999999999</v>
      </c>
      <c r="D1042">
        <v>15.392056465148926</v>
      </c>
      <c r="E1042">
        <v>8.6644411087036133</v>
      </c>
      <c r="F1042">
        <v>0.56291598081588745</v>
      </c>
      <c r="G1042">
        <v>29.735000610351563</v>
      </c>
      <c r="H1042">
        <v>0</v>
      </c>
      <c r="I1042">
        <v>608.65997314453125</v>
      </c>
      <c r="J1042">
        <v>1359</v>
      </c>
    </row>
    <row r="1043" spans="1:10" x14ac:dyDescent="0.25">
      <c r="A1043">
        <v>2307</v>
      </c>
      <c r="B1043" t="str">
        <v>Hindustan Zinc</v>
      </c>
      <c r="C1043">
        <v>14.011251</v>
      </c>
      <c r="D1043">
        <v>333.6295166015625</v>
      </c>
      <c r="E1043">
        <v>111.36135101318359</v>
      </c>
      <c r="F1043">
        <v>0.33378699421882629</v>
      </c>
      <c r="G1043">
        <v>446.72500610351563</v>
      </c>
      <c r="H1043">
        <v>0.73000001907348633</v>
      </c>
      <c r="I1043">
        <v>184815.453125</v>
      </c>
      <c r="J1043">
        <v>1359</v>
      </c>
    </row>
    <row r="1044" spans="1:10" x14ac:dyDescent="0.25">
      <c r="A1044">
        <v>5218</v>
      </c>
      <c r="B1044" t="str">
        <v>Hipolin</v>
      </c>
      <c r="C1044">
        <v>22.532012000000002</v>
      </c>
      <c r="D1044">
        <v>83.178367614746094</v>
      </c>
      <c r="E1044">
        <v>42.054439544677734</v>
      </c>
      <c r="F1044">
        <v>0.50559300184249878</v>
      </c>
      <c r="G1044">
        <v>85</v>
      </c>
      <c r="H1044">
        <v>0.11999999731779099</v>
      </c>
      <c r="I1044">
        <v>26.610000610351563</v>
      </c>
      <c r="J1044">
        <v>973</v>
      </c>
    </row>
    <row r="1045" spans="1:10" x14ac:dyDescent="0.25">
      <c r="A1045">
        <v>3059</v>
      </c>
      <c r="B1045" t="str">
        <v>Hisar Spg. Mills</v>
      </c>
      <c r="C1045">
        <v>14.749093</v>
      </c>
      <c r="D1045">
        <v>44.824375152587891</v>
      </c>
      <c r="E1045">
        <v>15.280706405639648</v>
      </c>
      <c r="F1045">
        <v>0.34090200066566467</v>
      </c>
      <c r="G1045">
        <v>50</v>
      </c>
      <c r="H1045">
        <v>0.14000000059604645</v>
      </c>
      <c r="I1045">
        <v>18.700000762939453</v>
      </c>
      <c r="J1045">
        <v>580</v>
      </c>
    </row>
    <row r="1046" spans="1:10" x14ac:dyDescent="0.25">
      <c r="A1046">
        <v>7529</v>
      </c>
      <c r="B1046" t="str">
        <v>Hit Kit Global</v>
      </c>
      <c r="C1046">
        <v>34.005135000000003</v>
      </c>
      <c r="D1046">
        <v>0.6608319878578186</v>
      </c>
      <c r="E1046">
        <v>0.30183398723602295</v>
      </c>
      <c r="F1046">
        <v>0.45674899220466614</v>
      </c>
      <c r="G1046">
        <v>1.1299999952316284</v>
      </c>
      <c r="H1046">
        <v>9.9999997764825821E-3</v>
      </c>
      <c r="I1046">
        <v>5.2399997711181641</v>
      </c>
      <c r="J1046">
        <v>643</v>
      </c>
    </row>
    <row r="1047" spans="1:10" x14ac:dyDescent="0.25">
      <c r="A1047">
        <v>3250</v>
      </c>
      <c r="B1047" t="str">
        <v>Hitech Corp.</v>
      </c>
      <c r="C1047">
        <v>14.687887999999999</v>
      </c>
      <c r="D1047">
        <v>199.86164855957031</v>
      </c>
      <c r="E1047">
        <v>65.459144592285156</v>
      </c>
      <c r="F1047">
        <v>0.32752200961112976</v>
      </c>
      <c r="G1047">
        <v>191</v>
      </c>
      <c r="H1047">
        <v>0.2800000011920929</v>
      </c>
      <c r="I1047">
        <v>314.489990234375</v>
      </c>
      <c r="J1047">
        <v>1330</v>
      </c>
    </row>
    <row r="1048" spans="1:10" x14ac:dyDescent="0.25">
      <c r="A1048">
        <v>1028</v>
      </c>
      <c r="B1048" t="str">
        <v>Honda India</v>
      </c>
      <c r="C1048">
        <v>15.507071</v>
      </c>
      <c r="D1048">
        <v>1890.2210693359375</v>
      </c>
      <c r="E1048">
        <v>861.13623046875</v>
      </c>
      <c r="F1048">
        <v>0.45557400584220886</v>
      </c>
      <c r="G1048">
        <v>2799.012451171875</v>
      </c>
      <c r="H1048">
        <v>0</v>
      </c>
      <c r="I1048">
        <v>2788.300048828125</v>
      </c>
      <c r="J1048">
        <v>1359</v>
      </c>
    </row>
    <row r="1049" spans="1:10" x14ac:dyDescent="0.25">
      <c r="A1049">
        <v>1131</v>
      </c>
      <c r="B1049" t="str">
        <v>Honeywell Auto</v>
      </c>
      <c r="C1049">
        <v>5.9954270000000003</v>
      </c>
      <c r="D1049">
        <v>39079.62109375</v>
      </c>
      <c r="E1049">
        <v>6449.33740234375</v>
      </c>
      <c r="F1049">
        <v>0.16503100097179413</v>
      </c>
      <c r="G1049">
        <v>37743.5234375</v>
      </c>
      <c r="H1049">
        <v>1.9999999552965164E-2</v>
      </c>
      <c r="I1049">
        <v>33171.30078125</v>
      </c>
      <c r="J1049">
        <v>1359</v>
      </c>
    </row>
    <row r="1050" spans="1:10" x14ac:dyDescent="0.25">
      <c r="A1050">
        <v>4737</v>
      </c>
      <c r="B1050" t="str">
        <v>Howard Hotels</v>
      </c>
      <c r="C1050">
        <v>25.932238999999999</v>
      </c>
      <c r="D1050">
        <v>13.651582717895508</v>
      </c>
      <c r="E1050">
        <v>8.7248344421386719</v>
      </c>
      <c r="F1050">
        <v>0.63910800218582153</v>
      </c>
      <c r="G1050">
        <v>23.5</v>
      </c>
      <c r="H1050">
        <v>0.37000000476837158</v>
      </c>
      <c r="I1050">
        <v>21.409999847412109</v>
      </c>
      <c r="J1050">
        <v>1123</v>
      </c>
    </row>
    <row r="1051" spans="1:10" x14ac:dyDescent="0.25">
      <c r="A1051">
        <v>26456</v>
      </c>
      <c r="B1051" t="str">
        <v>Hubtown</v>
      </c>
      <c r="C1051">
        <v>51.288913999999998</v>
      </c>
      <c r="D1051">
        <v>82.75677490234375</v>
      </c>
      <c r="E1051">
        <v>83.335075378417969</v>
      </c>
      <c r="F1051">
        <v>1.0069880485534668</v>
      </c>
      <c r="G1051">
        <v>212.8125</v>
      </c>
      <c r="H1051">
        <v>0.34999999403953552</v>
      </c>
      <c r="I1051">
        <v>2802.8701171875</v>
      </c>
      <c r="J1051">
        <v>1354</v>
      </c>
    </row>
    <row r="1052" spans="1:10" x14ac:dyDescent="0.25">
      <c r="A1052">
        <v>1106</v>
      </c>
      <c r="B1052" t="str">
        <v>Huhtamaki India</v>
      </c>
      <c r="C1052">
        <v>-2.6807720000000002</v>
      </c>
      <c r="D1052">
        <v>257.36563110351563</v>
      </c>
      <c r="E1052">
        <v>59.796356201171875</v>
      </c>
      <c r="F1052">
        <v>0.23233999311923981</v>
      </c>
      <c r="G1052">
        <v>213.42500305175781</v>
      </c>
      <c r="H1052">
        <v>0.17000000178813934</v>
      </c>
      <c r="I1052">
        <v>1597.6700439453125</v>
      </c>
      <c r="J1052">
        <v>1359</v>
      </c>
    </row>
    <row r="1053" spans="1:10" x14ac:dyDescent="0.25">
      <c r="A1053">
        <v>22508</v>
      </c>
      <c r="B1053" t="str">
        <v>Hypersoft Tech.</v>
      </c>
      <c r="C1053">
        <v>23.382359000000001</v>
      </c>
      <c r="D1053">
        <v>10.041538238525391</v>
      </c>
      <c r="E1053">
        <v>3.5438299179077148</v>
      </c>
      <c r="F1053">
        <v>0.35291698575019836</v>
      </c>
      <c r="G1053">
        <v>21.319999694824219</v>
      </c>
      <c r="H1053">
        <v>3.9999999105930328E-2</v>
      </c>
      <c r="I1053">
        <v>9.0600004196166992</v>
      </c>
      <c r="J1053">
        <v>317</v>
      </c>
    </row>
    <row r="1054" spans="1:10" x14ac:dyDescent="0.25">
      <c r="A1054">
        <v>2202</v>
      </c>
      <c r="B1054" t="str">
        <v>I G Petrochems</v>
      </c>
      <c r="C1054">
        <v>18.794305000000001</v>
      </c>
      <c r="D1054">
        <v>491.99026489257813</v>
      </c>
      <c r="E1054">
        <v>167.54391479492188</v>
      </c>
      <c r="F1054">
        <v>0.3405430018901825</v>
      </c>
      <c r="G1054">
        <v>463.91250610351563</v>
      </c>
      <c r="H1054">
        <v>0.2199999988079071</v>
      </c>
      <c r="I1054">
        <v>1407.6300048828125</v>
      </c>
      <c r="J1054">
        <v>1356</v>
      </c>
    </row>
    <row r="1055" spans="1:10" x14ac:dyDescent="0.25">
      <c r="A1055">
        <v>5955</v>
      </c>
      <c r="B1055" t="str">
        <v>I O B</v>
      </c>
      <c r="C1055">
        <v>22.571950000000001</v>
      </c>
      <c r="D1055">
        <v>29.049022674560547</v>
      </c>
      <c r="E1055">
        <v>17.974941253662109</v>
      </c>
      <c r="F1055">
        <v>0.61878001689910889</v>
      </c>
      <c r="G1055">
        <v>37.194999694824219</v>
      </c>
      <c r="H1055">
        <v>0</v>
      </c>
      <c r="I1055">
        <v>70228.78125</v>
      </c>
      <c r="J1055">
        <v>1359</v>
      </c>
    </row>
    <row r="1056" spans="1:10" x14ac:dyDescent="0.25">
      <c r="A1056">
        <v>12002</v>
      </c>
      <c r="B1056" t="str">
        <v>I O C L</v>
      </c>
      <c r="C1056">
        <v>9.4034949999999995</v>
      </c>
      <c r="D1056">
        <v>95.600715637207031</v>
      </c>
      <c r="E1056">
        <v>37.879234313964844</v>
      </c>
      <c r="F1056">
        <v>0.39622300863265991</v>
      </c>
      <c r="G1056">
        <v>139.77499389648438</v>
      </c>
      <c r="H1056">
        <v>0.86000001430511475</v>
      </c>
      <c r="I1056">
        <v>195720.359375</v>
      </c>
      <c r="J1056">
        <v>1359</v>
      </c>
    </row>
    <row r="1057" spans="1:10" x14ac:dyDescent="0.25">
      <c r="A1057">
        <v>1775</v>
      </c>
      <c r="B1057" t="str">
        <v>I Power Solution</v>
      </c>
      <c r="C1057">
        <v>30.411754999999999</v>
      </c>
      <c r="D1057">
        <v>7.6158061027526855</v>
      </c>
      <c r="E1057">
        <v>4.0863771438598633</v>
      </c>
      <c r="F1057">
        <v>0.53656500577926636</v>
      </c>
      <c r="G1057">
        <v>18.370000839233398</v>
      </c>
      <c r="H1057">
        <v>3.9999999105930328E-2</v>
      </c>
      <c r="I1057">
        <v>8.1700000762939453</v>
      </c>
      <c r="J1057">
        <v>186</v>
      </c>
    </row>
    <row r="1058" spans="1:10" x14ac:dyDescent="0.25">
      <c r="A1058">
        <v>23401</v>
      </c>
      <c r="B1058" t="str">
        <v>I R C T C</v>
      </c>
      <c r="C1058">
        <v>26.097764000000002</v>
      </c>
      <c r="D1058">
        <v>633.74713134765625</v>
      </c>
      <c r="E1058">
        <v>242.1805419921875</v>
      </c>
      <c r="F1058">
        <v>0.38214099407196045</v>
      </c>
      <c r="G1058">
        <v>752.9124755859375</v>
      </c>
      <c r="H1058">
        <v>2.9999999329447746E-2</v>
      </c>
      <c r="I1058">
        <v>59728</v>
      </c>
      <c r="J1058">
        <v>1359</v>
      </c>
    </row>
    <row r="1059" spans="1:10" x14ac:dyDescent="0.25">
      <c r="A1059">
        <v>12057</v>
      </c>
      <c r="B1059" t="str">
        <v>I T D C</v>
      </c>
      <c r="C1059">
        <v>12.094541</v>
      </c>
      <c r="D1059">
        <v>415.787353515625</v>
      </c>
      <c r="E1059">
        <v>163.77290344238281</v>
      </c>
      <c r="F1059">
        <v>0.39388599991798401</v>
      </c>
      <c r="G1059">
        <v>598.9375</v>
      </c>
      <c r="H1059">
        <v>0</v>
      </c>
      <c r="I1059">
        <v>5019.64990234375</v>
      </c>
      <c r="J1059">
        <v>1359</v>
      </c>
    </row>
    <row r="1060" spans="1:10" x14ac:dyDescent="0.25">
      <c r="A1060">
        <v>4021</v>
      </c>
      <c r="B1060" t="str">
        <v>IB Infotech</v>
      </c>
      <c r="C1060">
        <v>47.234309000000003</v>
      </c>
      <c r="D1060">
        <v>104.55181121826172</v>
      </c>
      <c r="E1060">
        <v>68.230949401855469</v>
      </c>
      <c r="F1060">
        <v>0.65260398387908936</v>
      </c>
      <c r="G1060">
        <v>191.22500610351563</v>
      </c>
      <c r="H1060">
        <v>0</v>
      </c>
      <c r="I1060">
        <v>23.760000228881836</v>
      </c>
      <c r="J1060">
        <v>801</v>
      </c>
    </row>
    <row r="1061" spans="1:10" x14ac:dyDescent="0.25">
      <c r="A1061">
        <v>5418</v>
      </c>
      <c r="B1061" t="str">
        <v>ICICI Bank</v>
      </c>
      <c r="C1061">
        <v>17.987435999999999</v>
      </c>
      <c r="D1061">
        <v>840.04644775390625</v>
      </c>
      <c r="E1061">
        <v>295.69552612304688</v>
      </c>
      <c r="F1061">
        <v>0.35199901461601257</v>
      </c>
      <c r="G1061">
        <v>1410.3250732421875</v>
      </c>
      <c r="H1061">
        <v>0</v>
      </c>
      <c r="I1061">
        <v>1006959.6875</v>
      </c>
      <c r="J1061">
        <v>1359</v>
      </c>
    </row>
    <row r="1062" spans="1:10" x14ac:dyDescent="0.25">
      <c r="A1062">
        <v>22664</v>
      </c>
      <c r="B1062" t="str">
        <v>ICICI Lombard</v>
      </c>
      <c r="C1062">
        <v>6.0808790000000004</v>
      </c>
      <c r="D1062">
        <v>1452.6322021484375</v>
      </c>
      <c r="E1062">
        <v>266.45013427734375</v>
      </c>
      <c r="F1062">
        <v>0.18342599272727966</v>
      </c>
      <c r="G1062">
        <v>1931.25</v>
      </c>
      <c r="H1062">
        <v>0</v>
      </c>
      <c r="I1062">
        <v>95685.75</v>
      </c>
      <c r="J1062">
        <v>1359</v>
      </c>
    </row>
    <row r="1063" spans="1:10" x14ac:dyDescent="0.25">
      <c r="A1063">
        <v>22005</v>
      </c>
      <c r="B1063" t="str">
        <v>ICICI Pru Life</v>
      </c>
      <c r="C1063">
        <v>4.7795959999999997</v>
      </c>
      <c r="D1063">
        <v>538.53460693359375</v>
      </c>
      <c r="E1063">
        <v>94.520347595214844</v>
      </c>
      <c r="F1063">
        <v>0.17551399767398834</v>
      </c>
      <c r="G1063">
        <v>626.98760986328125</v>
      </c>
      <c r="H1063">
        <v>0.17000000178813934</v>
      </c>
      <c r="I1063">
        <v>90043.828125</v>
      </c>
      <c r="J1063">
        <v>1359</v>
      </c>
    </row>
    <row r="1064" spans="1:10" x14ac:dyDescent="0.25">
      <c r="A1064">
        <v>13035</v>
      </c>
      <c r="B1064" t="str">
        <v>ICRA</v>
      </c>
      <c r="C1064">
        <v>14.267929000000001</v>
      </c>
      <c r="D1064">
        <v>4381.39599609375</v>
      </c>
      <c r="E1064">
        <v>1322.2532958984375</v>
      </c>
      <c r="F1064">
        <v>0.30178800225257874</v>
      </c>
      <c r="G1064">
        <v>6656.0498046875</v>
      </c>
      <c r="H1064">
        <v>1.9999999552965164E-2</v>
      </c>
      <c r="I1064">
        <v>6378.02001953125</v>
      </c>
      <c r="J1064">
        <v>1346</v>
      </c>
    </row>
    <row r="1065" spans="1:10" x14ac:dyDescent="0.25">
      <c r="A1065">
        <v>5433</v>
      </c>
      <c r="B1065" t="str">
        <v>IDBI Bank</v>
      </c>
      <c r="C1065">
        <v>16.653668</v>
      </c>
      <c r="D1065">
        <v>54.657642364501953</v>
      </c>
      <c r="E1065">
        <v>20.811237335205078</v>
      </c>
      <c r="F1065">
        <v>0.38075599074363708</v>
      </c>
      <c r="G1065">
        <v>90.709999084472656</v>
      </c>
      <c r="H1065">
        <v>0</v>
      </c>
      <c r="I1065">
        <v>96008.203125</v>
      </c>
      <c r="J1065">
        <v>1359</v>
      </c>
    </row>
    <row r="1066" spans="1:10" x14ac:dyDescent="0.25">
      <c r="A1066">
        <v>54759</v>
      </c>
      <c r="B1066" t="str">
        <v>IDFC First Bank</v>
      </c>
      <c r="C1066">
        <v>7.9930250000000003</v>
      </c>
      <c r="D1066">
        <v>56.468231201171875</v>
      </c>
      <c r="E1066">
        <v>18.995737075805664</v>
      </c>
      <c r="F1066">
        <v>0.33639699220657349</v>
      </c>
      <c r="G1066">
        <v>70.175003051757813</v>
      </c>
      <c r="H1066">
        <v>0</v>
      </c>
      <c r="I1066">
        <v>51097.109375</v>
      </c>
      <c r="J1066">
        <v>1359</v>
      </c>
    </row>
    <row r="1067" spans="1:10" x14ac:dyDescent="0.25">
      <c r="A1067">
        <v>3992</v>
      </c>
      <c r="B1067" t="str">
        <v>IEL</v>
      </c>
      <c r="C1067">
        <v>68.073773000000003</v>
      </c>
      <c r="D1067">
        <v>5.455845832824707</v>
      </c>
      <c r="E1067">
        <v>3.129223108291626</v>
      </c>
      <c r="F1067">
        <v>0.57355397939682007</v>
      </c>
      <c r="G1067">
        <v>4.6675000190734863</v>
      </c>
      <c r="H1067">
        <v>0</v>
      </c>
      <c r="I1067">
        <v>61.279998779296875</v>
      </c>
      <c r="J1067">
        <v>1044</v>
      </c>
    </row>
    <row r="1068" spans="1:10" x14ac:dyDescent="0.25">
      <c r="A1068">
        <v>840</v>
      </c>
      <c r="B1068" t="str">
        <v>IFB Agro Inds.</v>
      </c>
      <c r="C1068">
        <v>11.358708</v>
      </c>
      <c r="D1068">
        <v>500.98483276367188</v>
      </c>
      <c r="E1068">
        <v>108.88651275634766</v>
      </c>
      <c r="F1068">
        <v>0.21734499931335449</v>
      </c>
      <c r="G1068">
        <v>748.25</v>
      </c>
      <c r="H1068">
        <v>1.9999999552965164E-2</v>
      </c>
      <c r="I1068">
        <v>690.57000732421875</v>
      </c>
      <c r="J1068">
        <v>1352</v>
      </c>
    </row>
    <row r="1069" spans="1:10" x14ac:dyDescent="0.25">
      <c r="A1069">
        <v>281</v>
      </c>
      <c r="B1069" t="str">
        <v>IFB Industries</v>
      </c>
      <c r="C1069">
        <v>15.682145</v>
      </c>
      <c r="D1069">
        <v>1055.0546875</v>
      </c>
      <c r="E1069">
        <v>391.8424072265625</v>
      </c>
      <c r="F1069">
        <v>0.37139499187469482</v>
      </c>
      <c r="G1069">
        <v>1565.175048828125</v>
      </c>
      <c r="H1069">
        <v>0.37000000476837158</v>
      </c>
      <c r="I1069">
        <v>6316.8701171875</v>
      </c>
      <c r="J1069">
        <v>1359</v>
      </c>
    </row>
    <row r="1070" spans="1:10" x14ac:dyDescent="0.25">
      <c r="A1070">
        <v>71579</v>
      </c>
      <c r="B1070" t="str">
        <v>IFGL Refractori.</v>
      </c>
      <c r="C1070">
        <v>24.682352000000002</v>
      </c>
      <c r="D1070">
        <v>358.41195678710938</v>
      </c>
      <c r="E1070">
        <v>177.82492065429688</v>
      </c>
      <c r="F1070">
        <v>0.49614700675010681</v>
      </c>
      <c r="G1070">
        <v>512.07501220703125</v>
      </c>
      <c r="H1070">
        <v>0.18000000715255737</v>
      </c>
      <c r="I1070">
        <v>1782.6800537109375</v>
      </c>
      <c r="J1070">
        <v>1352</v>
      </c>
    </row>
    <row r="1071" spans="1:10" x14ac:dyDescent="0.25">
      <c r="A1071">
        <v>26658</v>
      </c>
      <c r="B1071" t="str">
        <v>IIFL Capital</v>
      </c>
      <c r="C1071">
        <v>40.067245999999997</v>
      </c>
      <c r="D1071">
        <v>114.3536376953125</v>
      </c>
      <c r="E1071">
        <v>88.972862243652344</v>
      </c>
      <c r="F1071">
        <v>0.7780500054359436</v>
      </c>
      <c r="G1071">
        <v>338.48748779296875</v>
      </c>
      <c r="H1071">
        <v>0.4699999988079071</v>
      </c>
      <c r="I1071">
        <v>10441.66015625</v>
      </c>
      <c r="J1071">
        <v>1359</v>
      </c>
    </row>
    <row r="1072" spans="1:10" x14ac:dyDescent="0.25">
      <c r="A1072">
        <v>7381</v>
      </c>
      <c r="B1072" t="str">
        <v>IITL Projects</v>
      </c>
      <c r="C1072">
        <v>24.130171000000001</v>
      </c>
      <c r="D1072">
        <v>31.733243942260742</v>
      </c>
      <c r="E1072">
        <v>17.555444717407227</v>
      </c>
      <c r="F1072">
        <v>0.5532190203666687</v>
      </c>
      <c r="G1072">
        <v>66.974998474121094</v>
      </c>
      <c r="H1072">
        <v>0</v>
      </c>
      <c r="I1072">
        <v>34.389999389648438</v>
      </c>
      <c r="J1072">
        <v>795</v>
      </c>
    </row>
    <row r="1073" spans="1:10" x14ac:dyDescent="0.25">
      <c r="A1073">
        <v>18014</v>
      </c>
      <c r="B1073" t="str">
        <v>IL&amp;FS Engg.</v>
      </c>
      <c r="C1073">
        <v>56.281650999999997</v>
      </c>
      <c r="D1073">
        <v>16.921764373779297</v>
      </c>
      <c r="E1073">
        <v>13.926116943359375</v>
      </c>
      <c r="F1073">
        <v>0.82297098636627197</v>
      </c>
      <c r="G1073">
        <v>35.799999237060547</v>
      </c>
      <c r="H1073">
        <v>0</v>
      </c>
      <c r="I1073">
        <v>455.64999389648438</v>
      </c>
      <c r="J1073">
        <v>1348</v>
      </c>
    </row>
    <row r="1074" spans="1:10" x14ac:dyDescent="0.25">
      <c r="A1074">
        <v>1710</v>
      </c>
      <c r="B1074" t="str">
        <v>IL&amp;FS Inv.Manag.</v>
      </c>
      <c r="C1074">
        <v>18.566580999999999</v>
      </c>
      <c r="D1074">
        <v>7.5091700553894043</v>
      </c>
      <c r="E1074">
        <v>2.9298360347747803</v>
      </c>
      <c r="F1074">
        <v>0.39016801118850708</v>
      </c>
      <c r="G1074">
        <v>9.130000114440918</v>
      </c>
      <c r="H1074">
        <v>0</v>
      </c>
      <c r="I1074">
        <v>284.20001220703125</v>
      </c>
      <c r="J1074">
        <v>1359</v>
      </c>
    </row>
    <row r="1075" spans="1:10" x14ac:dyDescent="0.25">
      <c r="A1075">
        <v>34263</v>
      </c>
      <c r="B1075" t="str">
        <v>IL&amp;FS Transport</v>
      </c>
      <c r="C1075">
        <v>10.422711</v>
      </c>
      <c r="D1075">
        <v>3.772960901260376</v>
      </c>
      <c r="E1075">
        <v>1.5658129453659058</v>
      </c>
      <c r="F1075">
        <v>0.41500899195671082</v>
      </c>
      <c r="G1075">
        <v>3.7574999332427979</v>
      </c>
      <c r="H1075">
        <v>0</v>
      </c>
      <c r="I1075">
        <v>121.72000122070313</v>
      </c>
      <c r="J1075">
        <v>1356</v>
      </c>
    </row>
    <row r="1076" spans="1:10" x14ac:dyDescent="0.25">
      <c r="A1076">
        <v>1850</v>
      </c>
      <c r="B1076" t="str">
        <v>IMEC Services</v>
      </c>
      <c r="C1076">
        <v>79.301877000000005</v>
      </c>
      <c r="D1076">
        <v>13.459016799926758</v>
      </c>
      <c r="E1076">
        <v>23.77308464050293</v>
      </c>
      <c r="F1076">
        <v>1.7663309574127197</v>
      </c>
      <c r="G1076">
        <v>93.209999084472656</v>
      </c>
      <c r="H1076">
        <v>0</v>
      </c>
      <c r="I1076">
        <v>17.709999084472656</v>
      </c>
      <c r="J1076">
        <v>900</v>
      </c>
    </row>
    <row r="1077" spans="1:10" x14ac:dyDescent="0.25">
      <c r="A1077">
        <v>4620</v>
      </c>
      <c r="B1077" t="str">
        <v>IMP Powers</v>
      </c>
      <c r="C1077">
        <v>-28.611885999999998</v>
      </c>
      <c r="D1077">
        <v>11.900959968566895</v>
      </c>
      <c r="E1077">
        <v>5.1398320198059082</v>
      </c>
      <c r="F1077">
        <v>0.43188399076461792</v>
      </c>
      <c r="G1077">
        <v>6.1500000953674316</v>
      </c>
      <c r="H1077">
        <v>0</v>
      </c>
      <c r="I1077">
        <v>5.2300000190734863</v>
      </c>
      <c r="J1077">
        <v>825</v>
      </c>
    </row>
    <row r="1078" spans="1:10" x14ac:dyDescent="0.25">
      <c r="A1078">
        <v>42895</v>
      </c>
      <c r="B1078" t="str">
        <v>IND Renewable</v>
      </c>
      <c r="C1078">
        <v>11.858559</v>
      </c>
      <c r="D1078">
        <v>11.123635292053223</v>
      </c>
      <c r="E1078">
        <v>4.2374329566955566</v>
      </c>
      <c r="F1078">
        <v>0.38093999028205872</v>
      </c>
      <c r="G1078">
        <v>12.807499885559082</v>
      </c>
      <c r="H1078">
        <v>1.9999999552965164E-2</v>
      </c>
      <c r="I1078">
        <v>18.299999237060547</v>
      </c>
      <c r="J1078">
        <v>1218</v>
      </c>
    </row>
    <row r="1079" spans="1:10" x14ac:dyDescent="0.25">
      <c r="A1079">
        <v>1973</v>
      </c>
      <c r="B1079" t="str">
        <v>IOL Chemicals</v>
      </c>
      <c r="C1079">
        <v>16.609383999999999</v>
      </c>
      <c r="D1079">
        <v>90.525138854980469</v>
      </c>
      <c r="E1079">
        <v>28.799985885620117</v>
      </c>
      <c r="F1079">
        <v>0.31814399361610413</v>
      </c>
      <c r="G1079">
        <v>84.232498168945313</v>
      </c>
      <c r="H1079">
        <v>3.9999999105930328E-2</v>
      </c>
      <c r="I1079">
        <v>2442.43994140625</v>
      </c>
      <c r="J1079">
        <v>1359</v>
      </c>
    </row>
    <row r="1080" spans="1:10" x14ac:dyDescent="0.25">
      <c r="A1080">
        <v>299</v>
      </c>
      <c r="B1080" t="str">
        <v>ION Exchange</v>
      </c>
      <c r="C1080">
        <v>35.879314000000001</v>
      </c>
      <c r="D1080">
        <v>319.50332641601563</v>
      </c>
      <c r="E1080">
        <v>205.14181518554688</v>
      </c>
      <c r="F1080">
        <v>0.64206498861312866</v>
      </c>
      <c r="G1080">
        <v>518.7249755859375</v>
      </c>
      <c r="H1080">
        <v>5.9999998658895493E-2</v>
      </c>
      <c r="I1080">
        <v>7516.66015625</v>
      </c>
      <c r="J1080">
        <v>1359</v>
      </c>
    </row>
    <row r="1081" spans="1:10" x14ac:dyDescent="0.25">
      <c r="A1081">
        <v>2608</v>
      </c>
      <c r="B1081" t="str">
        <v>IP Rings</v>
      </c>
      <c r="C1081">
        <v>12.653677</v>
      </c>
      <c r="D1081">
        <v>122.72662353515625</v>
      </c>
      <c r="E1081">
        <v>48.715312957763672</v>
      </c>
      <c r="F1081">
        <v>0.39694198966026306</v>
      </c>
      <c r="G1081">
        <v>138.6875</v>
      </c>
      <c r="H1081">
        <v>0.87000000476837158</v>
      </c>
      <c r="I1081">
        <v>175.5</v>
      </c>
      <c r="J1081">
        <v>1355</v>
      </c>
    </row>
    <row r="1082" spans="1:10" x14ac:dyDescent="0.25">
      <c r="A1082">
        <v>28365</v>
      </c>
      <c r="B1082" t="str">
        <v>IRB Infra.Devl.</v>
      </c>
      <c r="C1082">
        <v>35.773068000000002</v>
      </c>
      <c r="D1082">
        <v>29.897161483764648</v>
      </c>
      <c r="E1082">
        <v>18.723308563232422</v>
      </c>
      <c r="F1082">
        <v>0.62625700235366821</v>
      </c>
      <c r="G1082">
        <v>48.332500457763672</v>
      </c>
      <c r="H1082">
        <v>0.81999999284744263</v>
      </c>
      <c r="I1082">
        <v>29005.3203125</v>
      </c>
      <c r="J1082">
        <v>1359</v>
      </c>
    </row>
    <row r="1083" spans="1:10" x14ac:dyDescent="0.25">
      <c r="A1083">
        <v>70632</v>
      </c>
      <c r="B1083" t="str">
        <v>IRB InvIT Fund</v>
      </c>
      <c r="C1083">
        <v>2.070608</v>
      </c>
      <c r="D1083">
        <v>57.307559967041016</v>
      </c>
      <c r="E1083">
        <v>10.611041069030762</v>
      </c>
      <c r="F1083">
        <v>0.18515999615192413</v>
      </c>
      <c r="G1083">
        <v>61.537498474121094</v>
      </c>
      <c r="H1083">
        <v>0.37999999523162842</v>
      </c>
      <c r="I1083">
        <v>3570.080078125</v>
      </c>
      <c r="J1083">
        <v>1354</v>
      </c>
    </row>
    <row r="1084" spans="1:10" x14ac:dyDescent="0.25">
      <c r="A1084">
        <v>69022</v>
      </c>
      <c r="B1084" t="str">
        <v>IRIS Business</v>
      </c>
      <c r="C1084">
        <v>44.552976999999998</v>
      </c>
      <c r="D1084">
        <v>144.89508056640625</v>
      </c>
      <c r="E1084">
        <v>116.70126342773438</v>
      </c>
      <c r="F1084">
        <v>0.80541902780532837</v>
      </c>
      <c r="G1084">
        <v>243.17500305175781</v>
      </c>
      <c r="H1084">
        <v>0.15999999642372131</v>
      </c>
      <c r="I1084">
        <v>495.79000854492188</v>
      </c>
      <c r="J1084">
        <v>1189</v>
      </c>
    </row>
    <row r="1085" spans="1:10" x14ac:dyDescent="0.25">
      <c r="A1085">
        <v>4738</v>
      </c>
      <c r="B1085" t="str">
        <v>ISF</v>
      </c>
      <c r="C1085">
        <v>22.190505000000002</v>
      </c>
      <c r="D1085">
        <v>2.9554579257965088</v>
      </c>
      <c r="E1085">
        <v>3.6067619323730469</v>
      </c>
      <c r="F1085">
        <v>1.2203730344772339</v>
      </c>
      <c r="G1085">
        <v>1.0724999904632568</v>
      </c>
      <c r="H1085">
        <v>0.25</v>
      </c>
      <c r="I1085">
        <v>9.9799995422363281</v>
      </c>
      <c r="J1085">
        <v>1262</v>
      </c>
    </row>
    <row r="1086" spans="1:10" x14ac:dyDescent="0.25">
      <c r="A1086">
        <v>2167</v>
      </c>
      <c r="B1086" t="str">
        <v>ISGEC Heavy</v>
      </c>
      <c r="C1086">
        <v>22.889462000000002</v>
      </c>
      <c r="D1086">
        <v>689.79296875</v>
      </c>
      <c r="E1086">
        <v>352.07275390625</v>
      </c>
      <c r="F1086">
        <v>0.51040399074554443</v>
      </c>
      <c r="G1086">
        <v>1179.675048828125</v>
      </c>
      <c r="H1086">
        <v>0.11999999731779099</v>
      </c>
      <c r="I1086">
        <v>8658.4697265625</v>
      </c>
      <c r="J1086">
        <v>1359</v>
      </c>
    </row>
    <row r="1087" spans="1:10" x14ac:dyDescent="0.25">
      <c r="A1087">
        <v>4371</v>
      </c>
      <c r="B1087" t="str">
        <v>ISL Consulting</v>
      </c>
      <c r="C1087">
        <v>16.370187999999999</v>
      </c>
      <c r="D1087">
        <v>21.818933486938477</v>
      </c>
      <c r="E1087">
        <v>7.0888619422912598</v>
      </c>
      <c r="F1087">
        <v>0.32489499449729919</v>
      </c>
      <c r="G1087">
        <v>27.399999618530273</v>
      </c>
      <c r="H1087">
        <v>0</v>
      </c>
      <c r="I1087">
        <v>63.360000610351563</v>
      </c>
      <c r="J1087">
        <v>1175</v>
      </c>
    </row>
    <row r="1088" spans="1:10" x14ac:dyDescent="0.25">
      <c r="A1088">
        <v>913</v>
      </c>
      <c r="B1088" t="str">
        <v>IST</v>
      </c>
      <c r="C1088">
        <v>17.087419000000001</v>
      </c>
      <c r="D1088">
        <v>590.4735107421875</v>
      </c>
      <c r="E1088">
        <v>236.6192626953125</v>
      </c>
      <c r="F1088">
        <v>0.40072798728942871</v>
      </c>
      <c r="G1088">
        <v>957.125</v>
      </c>
      <c r="H1088">
        <v>9.9999997764825821E-3</v>
      </c>
      <c r="I1088">
        <v>1102.0799560546875</v>
      </c>
      <c r="J1088">
        <v>1352</v>
      </c>
    </row>
    <row r="1089" spans="1:10" x14ac:dyDescent="0.25">
      <c r="A1089">
        <v>301</v>
      </c>
      <c r="B1089" t="str">
        <v>ITC</v>
      </c>
      <c r="C1089">
        <v>11.37073</v>
      </c>
      <c r="D1089">
        <v>308.92755126953125</v>
      </c>
      <c r="E1089">
        <v>107.94473266601563</v>
      </c>
      <c r="F1089">
        <v>0.34941801428794861</v>
      </c>
      <c r="G1089">
        <v>416.29998779296875</v>
      </c>
      <c r="H1089">
        <v>0</v>
      </c>
      <c r="I1089">
        <v>520587.375</v>
      </c>
      <c r="J1089">
        <v>1359</v>
      </c>
    </row>
    <row r="1090" spans="1:10" x14ac:dyDescent="0.25">
      <c r="A1090">
        <v>105</v>
      </c>
      <c r="B1090" t="str">
        <v>ITD Cem</v>
      </c>
      <c r="C1090">
        <v>51.363562999999999</v>
      </c>
      <c r="D1090">
        <v>202.62333679199219</v>
      </c>
      <c r="E1090">
        <v>189.1541748046875</v>
      </c>
      <c r="F1090">
        <v>0.93352597951889038</v>
      </c>
      <c r="G1090">
        <v>804.1500244140625</v>
      </c>
      <c r="H1090">
        <v>0.61000001430511475</v>
      </c>
      <c r="I1090">
        <v>13927.6796875</v>
      </c>
      <c r="J1090">
        <v>1359</v>
      </c>
    </row>
    <row r="1091" spans="1:10" x14ac:dyDescent="0.25">
      <c r="A1091">
        <v>2334</v>
      </c>
      <c r="B1091" t="str">
        <v>ITI</v>
      </c>
      <c r="C1091">
        <v>22.814523999999999</v>
      </c>
      <c r="D1091">
        <v>168.53468322753906</v>
      </c>
      <c r="E1091">
        <v>89.501419067382813</v>
      </c>
      <c r="F1091">
        <v>0.5310559868812561</v>
      </c>
      <c r="G1091">
        <v>311</v>
      </c>
      <c r="H1091">
        <v>0.89999997615814209</v>
      </c>
      <c r="I1091">
        <v>29528.060546875</v>
      </c>
      <c r="J1091">
        <v>1359</v>
      </c>
    </row>
    <row r="1092" spans="1:10" x14ac:dyDescent="0.25">
      <c r="A1092">
        <v>3300</v>
      </c>
      <c r="B1092" t="str">
        <v>ITL Industries</v>
      </c>
      <c r="C1092">
        <v>30.618656999999999</v>
      </c>
      <c r="D1092">
        <v>216.74229431152344</v>
      </c>
      <c r="E1092">
        <v>135.25021362304688</v>
      </c>
      <c r="F1092">
        <v>0.62401401996612549</v>
      </c>
      <c r="G1092">
        <v>363.35000610351563</v>
      </c>
      <c r="H1092">
        <v>0.20000000298023224</v>
      </c>
      <c r="I1092">
        <v>115.19000244140625</v>
      </c>
      <c r="J1092">
        <v>1358</v>
      </c>
    </row>
    <row r="1093" spans="1:10" x14ac:dyDescent="0.25">
      <c r="A1093">
        <v>302</v>
      </c>
      <c r="B1093" t="str">
        <v>IVP</v>
      </c>
      <c r="C1093">
        <v>21.653917</v>
      </c>
      <c r="D1093">
        <v>141.2349853515625</v>
      </c>
      <c r="E1093">
        <v>54.706485748291016</v>
      </c>
      <c r="F1093">
        <v>0.38734400272369385</v>
      </c>
      <c r="G1093">
        <v>177.92500305175781</v>
      </c>
      <c r="H1093">
        <v>0.8399999737739563</v>
      </c>
      <c r="I1093">
        <v>179.53999328613281</v>
      </c>
      <c r="J1093">
        <v>1316</v>
      </c>
    </row>
    <row r="1094" spans="1:10" x14ac:dyDescent="0.25">
      <c r="A1094">
        <v>16819</v>
      </c>
      <c r="B1094" t="str">
        <v>IZMO</v>
      </c>
      <c r="C1094">
        <v>51.561117000000003</v>
      </c>
      <c r="D1094">
        <v>162.7293701171875</v>
      </c>
      <c r="E1094">
        <v>141.50907897949219</v>
      </c>
      <c r="F1094">
        <v>0.86959797143936157</v>
      </c>
      <c r="G1094">
        <v>337.32501220703125</v>
      </c>
      <c r="H1094">
        <v>9.9999997764825821E-3</v>
      </c>
      <c r="I1094">
        <v>506.6199951171875</v>
      </c>
      <c r="J1094">
        <v>1356</v>
      </c>
    </row>
    <row r="1095" spans="1:10" x14ac:dyDescent="0.25">
      <c r="A1095">
        <v>3450</v>
      </c>
      <c r="B1095" t="str">
        <v>Igarashi Motors</v>
      </c>
      <c r="C1095">
        <v>4.4481089999999996</v>
      </c>
      <c r="D1095">
        <v>444.13690185546875</v>
      </c>
      <c r="E1095">
        <v>132.10411071777344</v>
      </c>
      <c r="F1095">
        <v>0.29743999242782593</v>
      </c>
      <c r="G1095">
        <v>470.02499389648438</v>
      </c>
      <c r="H1095">
        <v>0.28999999165534973</v>
      </c>
      <c r="I1095">
        <v>1461.8599853515625</v>
      </c>
      <c r="J1095">
        <v>1359</v>
      </c>
    </row>
    <row r="1096" spans="1:10" x14ac:dyDescent="0.25">
      <c r="A1096">
        <v>65688</v>
      </c>
      <c r="B1096" t="str">
        <v>Imagica. Enter.</v>
      </c>
      <c r="C1096">
        <v>51.866340999999998</v>
      </c>
      <c r="D1096">
        <v>35.355247497558594</v>
      </c>
      <c r="E1096">
        <v>29.063053131103516</v>
      </c>
      <c r="F1096">
        <v>0.8220289945602417</v>
      </c>
      <c r="G1096">
        <v>67.425003051757813</v>
      </c>
      <c r="H1096">
        <v>0.68000000715255737</v>
      </c>
      <c r="I1096">
        <v>3758.320068359375</v>
      </c>
      <c r="J1096">
        <v>1359</v>
      </c>
    </row>
    <row r="1097" spans="1:10" x14ac:dyDescent="0.25">
      <c r="A1097">
        <v>25457</v>
      </c>
      <c r="B1097" t="str">
        <v>Impex Ferro Tech</v>
      </c>
      <c r="C1097">
        <v>35.211840000000002</v>
      </c>
      <c r="D1097">
        <v>3.3546900749206543</v>
      </c>
      <c r="E1097">
        <v>2.2279150485992432</v>
      </c>
      <c r="F1097">
        <v>0.66412001848220825</v>
      </c>
      <c r="G1097">
        <v>2.3424999713897705</v>
      </c>
      <c r="H1097">
        <v>0</v>
      </c>
      <c r="I1097">
        <v>20.309999465942383</v>
      </c>
      <c r="J1097">
        <v>967</v>
      </c>
    </row>
    <row r="1098" spans="1:10" x14ac:dyDescent="0.25">
      <c r="A1098">
        <v>5949</v>
      </c>
      <c r="B1098" t="str">
        <v>Inani Marbles</v>
      </c>
      <c r="C1098">
        <v>6.209219</v>
      </c>
      <c r="D1098">
        <v>20.588445663452148</v>
      </c>
      <c r="E1098">
        <v>5.7844161987304688</v>
      </c>
      <c r="F1098">
        <v>0.28095400333404541</v>
      </c>
      <c r="G1098">
        <v>20.354999542236328</v>
      </c>
      <c r="H1098">
        <v>0.5</v>
      </c>
      <c r="I1098">
        <v>37.799999237060547</v>
      </c>
      <c r="J1098">
        <v>1339</v>
      </c>
    </row>
    <row r="1099" spans="1:10" x14ac:dyDescent="0.25">
      <c r="A1099">
        <v>6989</v>
      </c>
      <c r="B1099" t="str">
        <v>Inani Securities</v>
      </c>
      <c r="C1099">
        <v>13.592044</v>
      </c>
      <c r="D1099">
        <v>24.801103591918945</v>
      </c>
      <c r="E1099">
        <v>6.2334542274475098</v>
      </c>
      <c r="F1099">
        <v>0.25133800506591797</v>
      </c>
      <c r="G1099">
        <v>29.875</v>
      </c>
      <c r="H1099">
        <v>9.9999997764825821E-3</v>
      </c>
      <c r="I1099">
        <v>13.310000419616699</v>
      </c>
      <c r="J1099">
        <v>1003</v>
      </c>
    </row>
    <row r="1100" spans="1:10" x14ac:dyDescent="0.25">
      <c r="A1100">
        <v>3438</v>
      </c>
      <c r="B1100" t="str">
        <v>Incap</v>
      </c>
      <c r="C1100">
        <v>27.842845000000001</v>
      </c>
      <c r="D1100">
        <v>47.690841674804688</v>
      </c>
      <c r="E1100">
        <v>25.027738571166992</v>
      </c>
      <c r="F1100">
        <v>0.52479100227355957</v>
      </c>
      <c r="G1100">
        <v>84.382499694824219</v>
      </c>
      <c r="H1100">
        <v>0.11999999731779099</v>
      </c>
      <c r="I1100">
        <v>42.720001220703125</v>
      </c>
      <c r="J1100">
        <v>1249</v>
      </c>
    </row>
    <row r="1101" spans="1:10" x14ac:dyDescent="0.25">
      <c r="A1101">
        <v>26063</v>
      </c>
      <c r="B1101" t="str">
        <v>Incredible Indus</v>
      </c>
      <c r="C1101">
        <v>-3.6432349999999998</v>
      </c>
      <c r="D1101">
        <v>29.977758407592773</v>
      </c>
      <c r="E1101">
        <v>9.6805486679077148</v>
      </c>
      <c r="F1101">
        <v>0.32292398810386658</v>
      </c>
      <c r="G1101">
        <v>40.415000915527344</v>
      </c>
      <c r="H1101">
        <v>0.36000001430511475</v>
      </c>
      <c r="I1101">
        <v>189.72000122070313</v>
      </c>
      <c r="J1101">
        <v>1333</v>
      </c>
    </row>
    <row r="1102" spans="1:10" x14ac:dyDescent="0.25">
      <c r="A1102">
        <v>2243</v>
      </c>
      <c r="B1102" t="str">
        <v>Ind Bank Housing</v>
      </c>
      <c r="C1102">
        <v>9.0220450000000003</v>
      </c>
      <c r="D1102">
        <v>33.738616943359375</v>
      </c>
      <c r="E1102">
        <v>10.510766983032227</v>
      </c>
      <c r="F1102">
        <v>0.31153500080108643</v>
      </c>
      <c r="G1102">
        <v>39.9375</v>
      </c>
      <c r="H1102">
        <v>0</v>
      </c>
      <c r="I1102">
        <v>39.900001525878906</v>
      </c>
      <c r="J1102">
        <v>1357</v>
      </c>
    </row>
    <row r="1103" spans="1:10" x14ac:dyDescent="0.25">
      <c r="A1103">
        <v>4123</v>
      </c>
      <c r="B1103" t="str">
        <v>Ind-Swift</v>
      </c>
      <c r="C1103">
        <v>30.326165</v>
      </c>
      <c r="D1103">
        <v>13.058582305908203</v>
      </c>
      <c r="E1103">
        <v>6.7339930534362793</v>
      </c>
      <c r="F1103">
        <v>0.51567602157592773</v>
      </c>
      <c r="G1103">
        <v>15.949999809265137</v>
      </c>
      <c r="H1103">
        <v>0</v>
      </c>
      <c r="I1103">
        <v>83.900001525878906</v>
      </c>
      <c r="J1103">
        <v>1151</v>
      </c>
    </row>
    <row r="1104" spans="1:10" x14ac:dyDescent="0.25">
      <c r="A1104">
        <v>7927</v>
      </c>
      <c r="B1104" t="str">
        <v>Ind-Swift Labs.</v>
      </c>
      <c r="C1104">
        <v>27.636165999999999</v>
      </c>
      <c r="D1104">
        <v>77.098945617675781</v>
      </c>
      <c r="E1104">
        <v>29.815994262695313</v>
      </c>
      <c r="F1104">
        <v>0.38672399520874023</v>
      </c>
      <c r="G1104">
        <v>104.04499816894531</v>
      </c>
      <c r="H1104">
        <v>0.61000001430511475</v>
      </c>
      <c r="I1104">
        <v>616.19000244140625</v>
      </c>
      <c r="J1104">
        <v>1358</v>
      </c>
    </row>
    <row r="1105" spans="1:10" x14ac:dyDescent="0.25">
      <c r="A1105">
        <v>268</v>
      </c>
      <c r="B1105" t="str">
        <v>Indag Rubber</v>
      </c>
      <c r="C1105">
        <v>11.91109</v>
      </c>
      <c r="D1105">
        <v>112.96384429931641</v>
      </c>
      <c r="E1105">
        <v>46.403099060058594</v>
      </c>
      <c r="F1105">
        <v>0.4107779860496521</v>
      </c>
      <c r="G1105">
        <v>138.86250305175781</v>
      </c>
      <c r="H1105">
        <v>2.9999999329447746E-2</v>
      </c>
      <c r="I1105">
        <v>360.80999755859375</v>
      </c>
      <c r="J1105">
        <v>1359</v>
      </c>
    </row>
    <row r="1106" spans="1:10" x14ac:dyDescent="0.25">
      <c r="A1106">
        <v>3708</v>
      </c>
      <c r="B1106" t="str">
        <v>Indbank Merchant</v>
      </c>
      <c r="C1106">
        <v>29.492194999999999</v>
      </c>
      <c r="D1106">
        <v>26.601591110229492</v>
      </c>
      <c r="E1106">
        <v>13.43426513671875</v>
      </c>
      <c r="F1106">
        <v>0.5050169825553894</v>
      </c>
      <c r="G1106">
        <v>34.369998931884766</v>
      </c>
      <c r="H1106">
        <v>1.9999999552965164E-2</v>
      </c>
      <c r="I1106">
        <v>151.50999450683594</v>
      </c>
      <c r="J1106">
        <v>1358</v>
      </c>
    </row>
    <row r="1107" spans="1:10" x14ac:dyDescent="0.25">
      <c r="A1107">
        <v>270</v>
      </c>
      <c r="B1107" t="str">
        <v>India Cements</v>
      </c>
      <c r="C1107">
        <v>28.208286999999999</v>
      </c>
      <c r="D1107">
        <v>211.81103515625</v>
      </c>
      <c r="E1107">
        <v>72.194206237792969</v>
      </c>
      <c r="F1107">
        <v>0.34084200859069824</v>
      </c>
      <c r="G1107">
        <v>321.625</v>
      </c>
      <c r="H1107">
        <v>0.5</v>
      </c>
      <c r="I1107">
        <v>9927.5595703125</v>
      </c>
      <c r="J1107">
        <v>1359</v>
      </c>
    </row>
    <row r="1108" spans="1:10" x14ac:dyDescent="0.25">
      <c r="A1108">
        <v>43632</v>
      </c>
      <c r="B1108" t="str">
        <v>India Finsec</v>
      </c>
      <c r="C1108">
        <v>46.479824000000001</v>
      </c>
      <c r="D1108">
        <v>59.859943389892578</v>
      </c>
      <c r="E1108">
        <v>51.136001586914063</v>
      </c>
      <c r="F1108">
        <v>0.85426098108291626</v>
      </c>
      <c r="G1108">
        <v>147.0625</v>
      </c>
      <c r="H1108">
        <v>1.9999999552965164E-2</v>
      </c>
      <c r="I1108">
        <v>439.33999633789063</v>
      </c>
      <c r="J1108">
        <v>1046</v>
      </c>
    </row>
    <row r="1109" spans="1:10" x14ac:dyDescent="0.25">
      <c r="A1109">
        <v>2159</v>
      </c>
      <c r="B1109" t="str">
        <v>India Gelatine</v>
      </c>
      <c r="C1109">
        <v>24.378767</v>
      </c>
      <c r="D1109">
        <v>227.31385803222656</v>
      </c>
      <c r="E1109">
        <v>128.169677734375</v>
      </c>
      <c r="F1109">
        <v>0.56384497880935669</v>
      </c>
      <c r="G1109">
        <v>368.88751220703125</v>
      </c>
      <c r="H1109">
        <v>5.9999998658895493E-2</v>
      </c>
      <c r="I1109">
        <v>260.54000854492188</v>
      </c>
      <c r="J1109">
        <v>1356</v>
      </c>
    </row>
    <row r="1110" spans="1:10" x14ac:dyDescent="0.25">
      <c r="A1110">
        <v>1105</v>
      </c>
      <c r="B1110" t="str">
        <v>India Glycols</v>
      </c>
      <c r="C1110">
        <v>40.469223999999997</v>
      </c>
      <c r="D1110">
        <v>754.28424072265625</v>
      </c>
      <c r="E1110">
        <v>349.69711303710938</v>
      </c>
      <c r="F1110">
        <v>0.46361398696899414</v>
      </c>
      <c r="G1110">
        <v>1852.175048828125</v>
      </c>
      <c r="H1110">
        <v>0.74000000953674316</v>
      </c>
      <c r="I1110">
        <v>5610.68994140625</v>
      </c>
      <c r="J1110">
        <v>1359</v>
      </c>
    </row>
    <row r="1111" spans="1:10" x14ac:dyDescent="0.25">
      <c r="A1111">
        <v>1940</v>
      </c>
      <c r="B1111" t="str">
        <v>India Lease Dev.</v>
      </c>
      <c r="C1111">
        <v>4.6955609999999997</v>
      </c>
      <c r="D1111">
        <v>8.5049638748168945</v>
      </c>
      <c r="E1111">
        <v>2.2031979560852051</v>
      </c>
      <c r="F1111">
        <v>0.25904801487922668</v>
      </c>
      <c r="G1111">
        <v>9.5</v>
      </c>
      <c r="H1111">
        <v>0</v>
      </c>
      <c r="I1111">
        <v>14.260000228881836</v>
      </c>
      <c r="J1111">
        <v>1090</v>
      </c>
    </row>
    <row r="1112" spans="1:10" x14ac:dyDescent="0.25">
      <c r="A1112">
        <v>1945</v>
      </c>
      <c r="B1112" t="str">
        <v>India Motor Part</v>
      </c>
      <c r="C1112">
        <v>11.39484</v>
      </c>
      <c r="D1112">
        <v>818.04144287109375</v>
      </c>
      <c r="E1112">
        <v>217.219482421875</v>
      </c>
      <c r="F1112">
        <v>0.26553601026535034</v>
      </c>
      <c r="G1112">
        <v>1059.8375244140625</v>
      </c>
      <c r="H1112">
        <v>0</v>
      </c>
      <c r="I1112">
        <v>1316.949951171875</v>
      </c>
      <c r="J1112">
        <v>1319</v>
      </c>
    </row>
    <row r="1113" spans="1:10" x14ac:dyDescent="0.25">
      <c r="A1113">
        <v>1907</v>
      </c>
      <c r="B1113" t="str">
        <v>India Nipp.Elec.</v>
      </c>
      <c r="C1113">
        <v>11.966227999999999</v>
      </c>
      <c r="D1113">
        <v>470.18032836914063</v>
      </c>
      <c r="E1113">
        <v>152.38493347167969</v>
      </c>
      <c r="F1113">
        <v>0.32409900426864624</v>
      </c>
      <c r="G1113">
        <v>711.57501220703125</v>
      </c>
      <c r="H1113">
        <v>9.9999997764825821E-3</v>
      </c>
      <c r="I1113">
        <v>1600.68994140625</v>
      </c>
      <c r="J1113">
        <v>1359</v>
      </c>
    </row>
    <row r="1114" spans="1:10" x14ac:dyDescent="0.25">
      <c r="A1114">
        <v>6006</v>
      </c>
      <c r="B1114" t="str">
        <v>IndiaNivesh</v>
      </c>
      <c r="C1114">
        <v>-24.465795</v>
      </c>
      <c r="D1114">
        <v>29.250560760498047</v>
      </c>
      <c r="E1114">
        <v>19.393463134765625</v>
      </c>
      <c r="F1114">
        <v>0.66301202774047852</v>
      </c>
      <c r="G1114">
        <v>10.220000267028809</v>
      </c>
      <c r="H1114">
        <v>0</v>
      </c>
      <c r="I1114">
        <v>38.659999847412109</v>
      </c>
      <c r="J1114">
        <v>1352</v>
      </c>
    </row>
    <row r="1115" spans="1:10" x14ac:dyDescent="0.25">
      <c r="A1115">
        <v>68842</v>
      </c>
      <c r="B1115" t="str">
        <v>Indiamart Inter.</v>
      </c>
      <c r="C1115">
        <v>16.153987000000001</v>
      </c>
      <c r="D1115">
        <v>2600.775634765625</v>
      </c>
      <c r="E1115">
        <v>800.319091796875</v>
      </c>
      <c r="F1115">
        <v>0.30772298574447632</v>
      </c>
      <c r="G1115">
        <v>2451.112548828125</v>
      </c>
      <c r="H1115">
        <v>1.9999999552965164E-2</v>
      </c>
      <c r="I1115">
        <v>14661.650390625</v>
      </c>
      <c r="J1115">
        <v>1359</v>
      </c>
    </row>
    <row r="1116" spans="1:10" x14ac:dyDescent="0.25">
      <c r="A1116">
        <v>6061</v>
      </c>
      <c r="B1116" t="str">
        <v>Indian Bank</v>
      </c>
      <c r="C1116">
        <v>34.488371000000001</v>
      </c>
      <c r="D1116">
        <v>277.4791259765625</v>
      </c>
      <c r="E1116">
        <v>185.64155578613281</v>
      </c>
      <c r="F1116">
        <v>0.66902899742126465</v>
      </c>
      <c r="G1116">
        <v>619.4375</v>
      </c>
      <c r="H1116">
        <v>0</v>
      </c>
      <c r="I1116">
        <v>82838.28125</v>
      </c>
      <c r="J1116">
        <v>1359</v>
      </c>
    </row>
    <row r="1117" spans="1:10" x14ac:dyDescent="0.25">
      <c r="A1117">
        <v>278</v>
      </c>
      <c r="B1117" t="str">
        <v>Indian CardCloth</v>
      </c>
      <c r="C1117">
        <v>17.882694000000001</v>
      </c>
      <c r="D1117">
        <v>216.41310119628906</v>
      </c>
      <c r="E1117">
        <v>69.167015075683594</v>
      </c>
      <c r="F1117">
        <v>0.31960600614547729</v>
      </c>
      <c r="G1117">
        <v>288.3125</v>
      </c>
      <c r="H1117">
        <v>9.0000003576278687E-2</v>
      </c>
      <c r="I1117">
        <v>167</v>
      </c>
      <c r="J1117">
        <v>1301</v>
      </c>
    </row>
    <row r="1118" spans="1:10" x14ac:dyDescent="0.25">
      <c r="A1118">
        <v>70961</v>
      </c>
      <c r="B1118" t="str">
        <v>Indian Energy Ex</v>
      </c>
      <c r="C1118">
        <v>25.257563000000001</v>
      </c>
      <c r="D1118">
        <v>145.32719421386719</v>
      </c>
      <c r="E1118">
        <v>54.658340454101563</v>
      </c>
      <c r="F1118">
        <v>0.37610501050949097</v>
      </c>
      <c r="G1118">
        <v>181.60000610351563</v>
      </c>
      <c r="H1118">
        <v>9.9999997764825821E-3</v>
      </c>
      <c r="I1118">
        <v>15947.919921875</v>
      </c>
      <c r="J1118">
        <v>1359</v>
      </c>
    </row>
    <row r="1119" spans="1:10" x14ac:dyDescent="0.25">
      <c r="A1119">
        <v>282</v>
      </c>
      <c r="B1119" t="str">
        <v>Indian Hotels Co</v>
      </c>
      <c r="C1119">
        <v>32.039152999999999</v>
      </c>
      <c r="D1119">
        <v>342.04226684570313</v>
      </c>
      <c r="E1119">
        <v>231.99264526367188</v>
      </c>
      <c r="F1119">
        <v>0.67825698852539063</v>
      </c>
      <c r="G1119">
        <v>755.1875</v>
      </c>
      <c r="H1119">
        <v>0.10999999940395355</v>
      </c>
      <c r="I1119">
        <v>106330.390625</v>
      </c>
      <c r="J1119">
        <v>1359</v>
      </c>
    </row>
    <row r="1120" spans="1:10" x14ac:dyDescent="0.25">
      <c r="A1120">
        <v>283</v>
      </c>
      <c r="B1120" t="str">
        <v>Indian Hume Pipe</v>
      </c>
      <c r="C1120">
        <v>12.190308</v>
      </c>
      <c r="D1120">
        <v>238.59483337402344</v>
      </c>
      <c r="E1120">
        <v>100.14804077148438</v>
      </c>
      <c r="F1120">
        <v>0.41974100470542908</v>
      </c>
      <c r="G1120">
        <v>423.125</v>
      </c>
      <c r="H1120">
        <v>0.75</v>
      </c>
      <c r="I1120">
        <v>2095.679931640625</v>
      </c>
      <c r="J1120">
        <v>1359</v>
      </c>
    </row>
    <row r="1121" spans="1:10" x14ac:dyDescent="0.25">
      <c r="A1121">
        <v>6213</v>
      </c>
      <c r="B1121" t="str">
        <v>Indian Infotech</v>
      </c>
      <c r="C1121">
        <v>33.980308000000001</v>
      </c>
      <c r="D1121">
        <v>1.5836900472640991</v>
      </c>
      <c r="E1121">
        <v>1.4216500520706177</v>
      </c>
      <c r="F1121">
        <v>0.89768201112747192</v>
      </c>
      <c r="G1121">
        <v>1.0125000476837158</v>
      </c>
      <c r="H1121">
        <v>0</v>
      </c>
      <c r="I1121">
        <v>127.97000122070313</v>
      </c>
      <c r="J1121">
        <v>1355</v>
      </c>
    </row>
    <row r="1122" spans="1:10" x14ac:dyDescent="0.25">
      <c r="A1122">
        <v>1721</v>
      </c>
      <c r="B1122" t="str">
        <v>Indian Link Ch.</v>
      </c>
      <c r="C1122">
        <v>51.651207999999997</v>
      </c>
      <c r="D1122">
        <v>171.43667602539063</v>
      </c>
      <c r="E1122">
        <v>151.03895568847656</v>
      </c>
      <c r="F1122">
        <v>0.8810189962387085</v>
      </c>
      <c r="G1122">
        <v>749.04998779296875</v>
      </c>
      <c r="H1122">
        <v>0</v>
      </c>
      <c r="I1122">
        <v>37.450000762939453</v>
      </c>
      <c r="J1122">
        <v>297</v>
      </c>
    </row>
    <row r="1123" spans="1:10" x14ac:dyDescent="0.25">
      <c r="A1123">
        <v>5807</v>
      </c>
      <c r="B1123" t="str">
        <v>Indian Metals</v>
      </c>
      <c r="C1123">
        <v>38.494818000000002</v>
      </c>
      <c r="D1123">
        <v>382.73995971679688</v>
      </c>
      <c r="E1123">
        <v>220.82473754882813</v>
      </c>
      <c r="F1123">
        <v>0.57695800065994263</v>
      </c>
      <c r="G1123">
        <v>721</v>
      </c>
      <c r="H1123">
        <v>0.15000000596046448</v>
      </c>
      <c r="I1123">
        <v>3873.10009765625</v>
      </c>
      <c r="J1123">
        <v>1358</v>
      </c>
    </row>
    <row r="1124" spans="1:10" x14ac:dyDescent="0.25">
      <c r="A1124">
        <v>38700</v>
      </c>
      <c r="B1124" t="str">
        <v>Indian Terrain</v>
      </c>
      <c r="C1124">
        <v>-9.8833929999999999</v>
      </c>
      <c r="D1124">
        <v>51.070438385009766</v>
      </c>
      <c r="E1124">
        <v>14.892275810241699</v>
      </c>
      <c r="F1124">
        <v>0.29160299897193909</v>
      </c>
      <c r="G1124">
        <v>37.507499694824219</v>
      </c>
      <c r="H1124">
        <v>0.62000000476837158</v>
      </c>
      <c r="I1124">
        <v>168.05999755859375</v>
      </c>
      <c r="J1124">
        <v>1359</v>
      </c>
    </row>
    <row r="1125" spans="1:10" x14ac:dyDescent="0.25">
      <c r="A1125">
        <v>2482</v>
      </c>
      <c r="B1125" t="str">
        <v>Indian Toners</v>
      </c>
      <c r="C1125">
        <v>18.959612</v>
      </c>
      <c r="D1125">
        <v>203.81089782714844</v>
      </c>
      <c r="E1125">
        <v>79.011100769042969</v>
      </c>
      <c r="F1125">
        <v>0.38766899704933167</v>
      </c>
      <c r="G1125">
        <v>253.23750305175781</v>
      </c>
      <c r="H1125">
        <v>0</v>
      </c>
      <c r="I1125">
        <v>271.29998779296875</v>
      </c>
      <c r="J1125">
        <v>1359</v>
      </c>
    </row>
    <row r="1126" spans="1:10" x14ac:dyDescent="0.25">
      <c r="A1126">
        <v>15966</v>
      </c>
      <c r="B1126" t="str">
        <v>Indian Wood Prod</v>
      </c>
      <c r="C1126">
        <v>3.58466</v>
      </c>
      <c r="D1126">
        <v>33.2291259765625</v>
      </c>
      <c r="E1126">
        <v>7.4155101776123047</v>
      </c>
      <c r="F1126">
        <v>0.22316299378871918</v>
      </c>
      <c r="G1126">
        <v>45.342498779296875</v>
      </c>
      <c r="H1126">
        <v>0.2199999988079071</v>
      </c>
      <c r="I1126">
        <v>281.79998779296875</v>
      </c>
      <c r="J1126">
        <v>1359</v>
      </c>
    </row>
    <row r="1127" spans="1:10" x14ac:dyDescent="0.25">
      <c r="A1127">
        <v>27215</v>
      </c>
      <c r="B1127" t="str">
        <v>Inditrade Cap.</v>
      </c>
      <c r="C1127">
        <v>-31.926354</v>
      </c>
      <c r="D1127">
        <v>29.314023971557617</v>
      </c>
      <c r="E1127">
        <v>10.572758674621582</v>
      </c>
      <c r="F1127">
        <v>0.3606719970703125</v>
      </c>
      <c r="G1127">
        <v>6.9499998092651367</v>
      </c>
      <c r="H1127">
        <v>0.5</v>
      </c>
      <c r="I1127">
        <v>16.229999542236328</v>
      </c>
      <c r="J1127">
        <v>1359</v>
      </c>
    </row>
    <row r="1128" spans="1:10" x14ac:dyDescent="0.25">
      <c r="A1128">
        <v>2671</v>
      </c>
      <c r="B1128" t="str">
        <v>Indl. Inv. Trust</v>
      </c>
      <c r="C1128">
        <v>19.663698</v>
      </c>
      <c r="D1128">
        <v>135.80630493164063</v>
      </c>
      <c r="E1128">
        <v>92.323692321777344</v>
      </c>
      <c r="F1128">
        <v>0.67981898784637451</v>
      </c>
      <c r="G1128">
        <v>171.5</v>
      </c>
      <c r="H1128">
        <v>0</v>
      </c>
      <c r="I1128">
        <v>390.07000732421875</v>
      </c>
      <c r="J1128">
        <v>1179</v>
      </c>
    </row>
    <row r="1129" spans="1:10" x14ac:dyDescent="0.25">
      <c r="A1129">
        <v>1895</v>
      </c>
      <c r="B1129" t="str">
        <v>Indl.&amp; Prud.Inv.</v>
      </c>
      <c r="C1129">
        <v>37.576040999999996</v>
      </c>
      <c r="D1129">
        <v>2818.941650390625</v>
      </c>
      <c r="E1129">
        <v>2052.361083984375</v>
      </c>
      <c r="F1129">
        <v>0.7280610203742981</v>
      </c>
      <c r="G1129">
        <v>6699.5</v>
      </c>
      <c r="H1129">
        <v>0</v>
      </c>
      <c r="I1129">
        <v>1106.8900146484375</v>
      </c>
      <c r="J1129">
        <v>1317</v>
      </c>
    </row>
    <row r="1130" spans="1:10" x14ac:dyDescent="0.25">
      <c r="A1130">
        <v>4115</v>
      </c>
      <c r="B1130" t="str">
        <v>Indo Amines</v>
      </c>
      <c r="C1130">
        <v>31.917179000000001</v>
      </c>
      <c r="D1130">
        <v>100.97088623046875</v>
      </c>
      <c r="E1130">
        <v>48.260929107666016</v>
      </c>
      <c r="F1130">
        <v>0.47796899080276489</v>
      </c>
      <c r="G1130">
        <v>145.86250305175781</v>
      </c>
      <c r="H1130">
        <v>0.93999999761581421</v>
      </c>
      <c r="I1130">
        <v>1040.1800537109375</v>
      </c>
      <c r="J1130">
        <v>1359</v>
      </c>
    </row>
    <row r="1131" spans="1:10" x14ac:dyDescent="0.25">
      <c r="A1131">
        <v>2963</v>
      </c>
      <c r="B1131" t="str">
        <v>Indo Borax &amp; Ch.</v>
      </c>
      <c r="C1131">
        <v>32.380805000000002</v>
      </c>
      <c r="D1131">
        <v>127.73801422119141</v>
      </c>
      <c r="E1131">
        <v>58.525917053222656</v>
      </c>
      <c r="F1131">
        <v>0.45817199349403381</v>
      </c>
      <c r="G1131">
        <v>192.98750305175781</v>
      </c>
      <c r="H1131">
        <v>0</v>
      </c>
      <c r="I1131">
        <v>628.15997314453125</v>
      </c>
      <c r="J1131">
        <v>1358</v>
      </c>
    </row>
    <row r="1132" spans="1:10" x14ac:dyDescent="0.25">
      <c r="A1132">
        <v>1960</v>
      </c>
      <c r="B1132" t="str">
        <v>Indo Count Inds.</v>
      </c>
      <c r="C1132">
        <v>31.797134</v>
      </c>
      <c r="D1132">
        <v>206.23844909667969</v>
      </c>
      <c r="E1132">
        <v>104.90735626220703</v>
      </c>
      <c r="F1132">
        <v>0.50866997241973877</v>
      </c>
      <c r="G1132">
        <v>267.875</v>
      </c>
      <c r="H1132">
        <v>0.4699999988079071</v>
      </c>
      <c r="I1132">
        <v>5346.47998046875</v>
      </c>
      <c r="J1132">
        <v>1359</v>
      </c>
    </row>
    <row r="1133" spans="1:10" x14ac:dyDescent="0.25">
      <c r="A1133">
        <v>4890</v>
      </c>
      <c r="B1133" t="str">
        <v>Indo Credit Cap.</v>
      </c>
      <c r="C1133">
        <v>33.205837000000002</v>
      </c>
      <c r="D1133">
        <v>1.3153380155563354</v>
      </c>
      <c r="E1133">
        <v>0.7033500075340271</v>
      </c>
      <c r="F1133">
        <v>0.53472900390625</v>
      </c>
      <c r="G1133">
        <v>2.9700000286102295</v>
      </c>
      <c r="H1133">
        <v>0</v>
      </c>
      <c r="I1133">
        <v>2.1500000953674316</v>
      </c>
      <c r="J1133">
        <v>148</v>
      </c>
    </row>
    <row r="1134" spans="1:10" x14ac:dyDescent="0.25">
      <c r="A1134">
        <v>3524</v>
      </c>
      <c r="B1134" t="str">
        <v>Indo Euro Indch.</v>
      </c>
      <c r="C1134">
        <v>5.841412</v>
      </c>
      <c r="D1134">
        <v>14.962811470031738</v>
      </c>
      <c r="E1134">
        <v>5.7940850257873535</v>
      </c>
      <c r="F1134">
        <v>0.38723200559616089</v>
      </c>
      <c r="G1134">
        <v>13.454999923706055</v>
      </c>
      <c r="H1134">
        <v>0</v>
      </c>
      <c r="I1134">
        <v>11.920000076293945</v>
      </c>
      <c r="J1134">
        <v>1067</v>
      </c>
    </row>
    <row r="1135" spans="1:10" x14ac:dyDescent="0.25">
      <c r="A1135">
        <v>667</v>
      </c>
      <c r="B1135" t="str">
        <v>Indo National</v>
      </c>
      <c r="C1135">
        <v>10.424947</v>
      </c>
      <c r="D1135">
        <v>437.69900512695313</v>
      </c>
      <c r="E1135">
        <v>127.49826049804688</v>
      </c>
      <c r="F1135">
        <v>0.29129201173782349</v>
      </c>
      <c r="G1135">
        <v>466.92498779296875</v>
      </c>
      <c r="H1135">
        <v>7.9999998211860657E-2</v>
      </c>
      <c r="I1135">
        <v>350.85000610351563</v>
      </c>
      <c r="J1135">
        <v>1358</v>
      </c>
    </row>
    <row r="1136" spans="1:10" x14ac:dyDescent="0.25">
      <c r="A1136">
        <v>19825</v>
      </c>
      <c r="B1136" t="str">
        <v>Indo Tech.Trans.</v>
      </c>
      <c r="C1136">
        <v>56.422472999999997</v>
      </c>
      <c r="D1136">
        <v>690.226318359375</v>
      </c>
      <c r="E1136">
        <v>865.7071533203125</v>
      </c>
      <c r="F1136">
        <v>1.2542370557785034</v>
      </c>
      <c r="G1136">
        <v>2008.5999755859375</v>
      </c>
      <c r="H1136">
        <v>3.9999999105930328E-2</v>
      </c>
      <c r="I1136">
        <v>2103.39990234375</v>
      </c>
      <c r="J1136">
        <v>1318</v>
      </c>
    </row>
    <row r="1137" spans="1:10" x14ac:dyDescent="0.25">
      <c r="A1137">
        <v>41238</v>
      </c>
      <c r="B1137" t="str">
        <v>Indo Thai Sec.</v>
      </c>
      <c r="C1137">
        <v>88.006738999999996</v>
      </c>
      <c r="D1137">
        <v>374.86459350585938</v>
      </c>
      <c r="E1137">
        <v>515.253662109375</v>
      </c>
      <c r="F1137">
        <v>1.3745059967041016</v>
      </c>
      <c r="G1137">
        <v>1861.5250244140625</v>
      </c>
      <c r="H1137">
        <v>5.000000074505806E-2</v>
      </c>
      <c r="I1137">
        <v>2046.8599853515625</v>
      </c>
      <c r="J1137">
        <v>1332</v>
      </c>
    </row>
    <row r="1138" spans="1:10" x14ac:dyDescent="0.25">
      <c r="A1138">
        <v>72516</v>
      </c>
      <c r="B1138" t="str">
        <v>Indo US Bio-Tech</v>
      </c>
      <c r="C1138">
        <v>31.565828</v>
      </c>
      <c r="D1138">
        <v>128.62005615234375</v>
      </c>
      <c r="E1138">
        <v>98.942497253417969</v>
      </c>
      <c r="F1138">
        <v>0.76926201581954956</v>
      </c>
      <c r="G1138">
        <v>154.58749389648438</v>
      </c>
      <c r="H1138">
        <v>0.2199999988079071</v>
      </c>
      <c r="I1138">
        <v>305.79000854492188</v>
      </c>
      <c r="J1138">
        <v>927</v>
      </c>
    </row>
    <row r="1139" spans="1:10" x14ac:dyDescent="0.25">
      <c r="A1139">
        <v>7645</v>
      </c>
      <c r="B1139" t="str">
        <v>Indo-City Info.</v>
      </c>
      <c r="C1139">
        <v>31.837306999999999</v>
      </c>
      <c r="D1139">
        <v>8.4796609878540039</v>
      </c>
      <c r="E1139">
        <v>4.4420251846313477</v>
      </c>
      <c r="F1139">
        <v>0.52384501695632935</v>
      </c>
      <c r="G1139">
        <v>10.164999961853027</v>
      </c>
      <c r="H1139">
        <v>9.9999997764825821E-3</v>
      </c>
      <c r="I1139">
        <v>10.689999580383301</v>
      </c>
      <c r="J1139">
        <v>1144</v>
      </c>
    </row>
    <row r="1140" spans="1:10" x14ac:dyDescent="0.25">
      <c r="A1140">
        <v>12579</v>
      </c>
      <c r="B1140" t="str">
        <v>Indoco Remedies</v>
      </c>
      <c r="C1140">
        <v>7.1883080000000001</v>
      </c>
      <c r="D1140">
        <v>330.03036499023438</v>
      </c>
      <c r="E1140">
        <v>67.742698669433594</v>
      </c>
      <c r="F1140">
        <v>0.20526200532913208</v>
      </c>
      <c r="G1140">
        <v>281.39999389648438</v>
      </c>
      <c r="H1140">
        <v>0.38999998569488525</v>
      </c>
      <c r="I1140">
        <v>2578.7900390625</v>
      </c>
      <c r="J1140">
        <v>1359</v>
      </c>
    </row>
    <row r="1141" spans="1:10" x14ac:dyDescent="0.25">
      <c r="A1141">
        <v>332</v>
      </c>
      <c r="B1141" t="str">
        <v>Indokem</v>
      </c>
      <c r="C1141">
        <v>73.411608000000001</v>
      </c>
      <c r="D1141">
        <v>72.4464111328125</v>
      </c>
      <c r="E1141">
        <v>46.364044189453125</v>
      </c>
      <c r="F1141">
        <v>0.63997697830200195</v>
      </c>
      <c r="G1141">
        <v>249.08749389648438</v>
      </c>
      <c r="H1141">
        <v>0.55000001192092896</v>
      </c>
      <c r="I1141">
        <v>684.239990234375</v>
      </c>
      <c r="J1141">
        <v>1319</v>
      </c>
    </row>
    <row r="1142" spans="1:10" x14ac:dyDescent="0.25">
      <c r="A1142">
        <v>35919</v>
      </c>
      <c r="B1142" t="str">
        <v>Indosolar</v>
      </c>
      <c r="C1142">
        <v>109.80117300000001</v>
      </c>
      <c r="D1142">
        <v>2.5710339546203613</v>
      </c>
      <c r="E1142">
        <v>7.0342202186584473</v>
      </c>
      <c r="F1142">
        <v>2.7359499931335449</v>
      </c>
      <c r="G1142">
        <v>169.18499755859375</v>
      </c>
      <c r="H1142">
        <v>0</v>
      </c>
      <c r="I1142">
        <v>721.030029296875</v>
      </c>
      <c r="J1142">
        <v>585</v>
      </c>
    </row>
    <row r="1143" spans="1:10" x14ac:dyDescent="0.25">
      <c r="A1143">
        <v>24835</v>
      </c>
      <c r="B1143" t="str">
        <v>Indowind Energy</v>
      </c>
      <c r="C1143">
        <v>38.524327</v>
      </c>
      <c r="D1143">
        <v>13.074898719787598</v>
      </c>
      <c r="E1143">
        <v>8.2118797302246094</v>
      </c>
      <c r="F1143">
        <v>0.62806499004364014</v>
      </c>
      <c r="G1143">
        <v>19.450000762939453</v>
      </c>
      <c r="H1143">
        <v>0.18000000715255737</v>
      </c>
      <c r="I1143">
        <v>248.46000671386719</v>
      </c>
      <c r="J1143">
        <v>1353</v>
      </c>
    </row>
    <row r="1144" spans="1:10" x14ac:dyDescent="0.25">
      <c r="A1144">
        <v>12977</v>
      </c>
      <c r="B1144" t="str">
        <v>Indrapr.Medical</v>
      </c>
      <c r="C1144">
        <v>44.028565999999998</v>
      </c>
      <c r="D1144">
        <v>149.06172180175781</v>
      </c>
      <c r="E1144">
        <v>134.4737548828125</v>
      </c>
      <c r="F1144">
        <v>0.90213501453399658</v>
      </c>
      <c r="G1144">
        <v>395.48748779296875</v>
      </c>
      <c r="H1144">
        <v>3.9999999105930328E-2</v>
      </c>
      <c r="I1144">
        <v>3565.159912109375</v>
      </c>
      <c r="J1144">
        <v>1359</v>
      </c>
    </row>
    <row r="1145" spans="1:10" x14ac:dyDescent="0.25">
      <c r="A1145">
        <v>20703</v>
      </c>
      <c r="B1145" t="str">
        <v>Indraprastha Gas</v>
      </c>
      <c r="C1145">
        <v>-0.857626</v>
      </c>
      <c r="D1145">
        <v>223.78900146484375</v>
      </c>
      <c r="E1145">
        <v>29.165386199951172</v>
      </c>
      <c r="F1145">
        <v>0.13032500445842743</v>
      </c>
      <c r="G1145">
        <v>203.92500305175781</v>
      </c>
      <c r="H1145">
        <v>9.9999997764825821E-3</v>
      </c>
      <c r="I1145">
        <v>28336.029296875</v>
      </c>
      <c r="J1145">
        <v>1359</v>
      </c>
    </row>
    <row r="1146" spans="1:10" x14ac:dyDescent="0.25">
      <c r="A1146">
        <v>3237</v>
      </c>
      <c r="B1146" t="str">
        <v>Indsil Hydro</v>
      </c>
      <c r="C1146">
        <v>12.404738999999999</v>
      </c>
      <c r="D1146">
        <v>41.041400909423828</v>
      </c>
      <c r="E1146">
        <v>22.227972030639648</v>
      </c>
      <c r="F1146">
        <v>0.54159897565841675</v>
      </c>
      <c r="G1146">
        <v>46.459999084472656</v>
      </c>
      <c r="H1146">
        <v>0.75999999046325684</v>
      </c>
      <c r="I1146">
        <v>127.83999633789063</v>
      </c>
      <c r="J1146">
        <v>1359</v>
      </c>
    </row>
    <row r="1147" spans="1:10" x14ac:dyDescent="0.25">
      <c r="A1147">
        <v>7653</v>
      </c>
      <c r="B1147" t="str">
        <v>Inducto Steel</v>
      </c>
      <c r="C1147">
        <v>29.589309</v>
      </c>
      <c r="D1147">
        <v>42.545032501220703</v>
      </c>
      <c r="E1147">
        <v>20.980068206787109</v>
      </c>
      <c r="F1147">
        <v>0.49312600493431091</v>
      </c>
      <c r="G1147">
        <v>76.995002746582031</v>
      </c>
      <c r="H1147">
        <v>0.2199999988079071</v>
      </c>
      <c r="I1147">
        <v>31.290000915527344</v>
      </c>
      <c r="J1147">
        <v>1059</v>
      </c>
    </row>
    <row r="1148" spans="1:10" x14ac:dyDescent="0.25">
      <c r="A1148">
        <v>7235</v>
      </c>
      <c r="B1148" t="str">
        <v>Indus Finance</v>
      </c>
      <c r="C1148">
        <v>34.593912000000003</v>
      </c>
      <c r="D1148">
        <v>19.343540191650391</v>
      </c>
      <c r="E1148">
        <v>11.867172241210938</v>
      </c>
      <c r="F1148">
        <v>0.61349499225616455</v>
      </c>
      <c r="G1148">
        <v>52.119998931884766</v>
      </c>
      <c r="H1148">
        <v>0.43000000715255737</v>
      </c>
      <c r="I1148">
        <v>48.369998931884766</v>
      </c>
      <c r="J1148">
        <v>970</v>
      </c>
    </row>
    <row r="1149" spans="1:10" x14ac:dyDescent="0.25">
      <c r="A1149">
        <v>40279</v>
      </c>
      <c r="B1149" t="str">
        <v>Indus Towers</v>
      </c>
      <c r="C1149">
        <v>7.8420629999999996</v>
      </c>
      <c r="D1149">
        <v>246.802734375</v>
      </c>
      <c r="E1149">
        <v>74.466026306152344</v>
      </c>
      <c r="F1149">
        <v>0.30172300338745117</v>
      </c>
      <c r="G1149">
        <v>391.17498779296875</v>
      </c>
      <c r="H1149">
        <v>0.81999999284744263</v>
      </c>
      <c r="I1149">
        <v>105035.171875</v>
      </c>
      <c r="J1149">
        <v>1359</v>
      </c>
    </row>
    <row r="1150" spans="1:10" x14ac:dyDescent="0.25">
      <c r="A1150">
        <v>5531</v>
      </c>
      <c r="B1150" t="str">
        <v>IndusInd Bank</v>
      </c>
      <c r="C1150">
        <v>-10.404971</v>
      </c>
      <c r="D1150">
        <v>1065.70458984375</v>
      </c>
      <c r="E1150">
        <v>304.81576538085938</v>
      </c>
      <c r="F1150">
        <v>0.28602299094200134</v>
      </c>
      <c r="G1150">
        <v>842.51251220703125</v>
      </c>
      <c r="H1150">
        <v>0</v>
      </c>
      <c r="I1150">
        <v>65245.9296875</v>
      </c>
      <c r="J1150">
        <v>1359</v>
      </c>
    </row>
    <row r="1151" spans="1:10" x14ac:dyDescent="0.25">
      <c r="A1151">
        <v>65841</v>
      </c>
      <c r="B1151" t="str">
        <v>Infibeam Avenues</v>
      </c>
      <c r="C1151">
        <v>9.0896659999999994</v>
      </c>
      <c r="D1151">
        <v>19.800210952758789</v>
      </c>
      <c r="E1151">
        <v>5.9505062103271484</v>
      </c>
      <c r="F1151">
        <v>0.30052700638771057</v>
      </c>
      <c r="G1151">
        <v>21.592500686645508</v>
      </c>
      <c r="H1151">
        <v>0</v>
      </c>
      <c r="I1151">
        <v>5986.259765625</v>
      </c>
      <c r="J1151">
        <v>1359</v>
      </c>
    </row>
    <row r="1152" spans="1:10" x14ac:dyDescent="0.25">
      <c r="A1152">
        <v>18844</v>
      </c>
      <c r="B1152" t="str">
        <v>Info Edg.(India)</v>
      </c>
      <c r="C1152">
        <v>19.770578</v>
      </c>
      <c r="D1152">
        <v>985.17138671875</v>
      </c>
      <c r="E1152">
        <v>312.497802734375</v>
      </c>
      <c r="F1152">
        <v>0.31720098853111267</v>
      </c>
      <c r="G1152">
        <v>1469.47509765625</v>
      </c>
      <c r="H1152">
        <v>9.9999997764825821E-3</v>
      </c>
      <c r="I1152">
        <v>95182.78125</v>
      </c>
      <c r="J1152">
        <v>1359</v>
      </c>
    </row>
    <row r="1153" spans="1:10" x14ac:dyDescent="0.25">
      <c r="A1153">
        <v>555</v>
      </c>
      <c r="B1153" t="str">
        <v>Infomedia Press</v>
      </c>
      <c r="C1153">
        <v>27.283909000000001</v>
      </c>
      <c r="D1153">
        <v>5.0879201889038086</v>
      </c>
      <c r="E1153">
        <v>1.3867379426956177</v>
      </c>
      <c r="F1153">
        <v>0.27255499362945557</v>
      </c>
      <c r="G1153">
        <v>8.6374998092651367</v>
      </c>
      <c r="H1153">
        <v>0</v>
      </c>
      <c r="I1153">
        <v>44.419998168945313</v>
      </c>
      <c r="J1153">
        <v>987</v>
      </c>
    </row>
    <row r="1154" spans="1:10" x14ac:dyDescent="0.25">
      <c r="A1154">
        <v>674</v>
      </c>
      <c r="B1154" t="str">
        <v>Informed Techn.</v>
      </c>
      <c r="C1154">
        <v>36.416488999999999</v>
      </c>
      <c r="D1154">
        <v>54.967769622802734</v>
      </c>
      <c r="E1154">
        <v>26.603372573852539</v>
      </c>
      <c r="F1154">
        <v>0.48398101329803467</v>
      </c>
      <c r="G1154">
        <v>66.382499694824219</v>
      </c>
      <c r="H1154">
        <v>9.9999997764825821E-3</v>
      </c>
      <c r="I1154">
        <v>27.530000686645508</v>
      </c>
      <c r="J1154">
        <v>1161</v>
      </c>
    </row>
    <row r="1155" spans="1:10" x14ac:dyDescent="0.25">
      <c r="A1155">
        <v>2806</v>
      </c>
      <c r="B1155" t="str">
        <v>Infosys</v>
      </c>
      <c r="C1155">
        <v>14.718546</v>
      </c>
      <c r="D1155">
        <v>1443.6676025390625</v>
      </c>
      <c r="E1155">
        <v>332.86422729492188</v>
      </c>
      <c r="F1155">
        <v>0.23056800663471222</v>
      </c>
      <c r="G1155">
        <v>1622.512451171875</v>
      </c>
      <c r="H1155">
        <v>3.9999999105930328E-2</v>
      </c>
      <c r="I1155">
        <v>672359.4375</v>
      </c>
      <c r="J1155">
        <v>1359</v>
      </c>
    </row>
    <row r="1156" spans="1:10" x14ac:dyDescent="0.25">
      <c r="A1156">
        <v>5297</v>
      </c>
      <c r="B1156" t="str">
        <v>Infra Industries</v>
      </c>
      <c r="C1156">
        <v>11.205988</v>
      </c>
      <c r="D1156">
        <v>7.0978679656982422</v>
      </c>
      <c r="E1156">
        <v>1.144942045211792</v>
      </c>
      <c r="F1156">
        <v>0.16130800545215607</v>
      </c>
      <c r="G1156">
        <v>9.9899997711181641</v>
      </c>
      <c r="H1156">
        <v>0</v>
      </c>
      <c r="I1156">
        <v>5.679999828338623</v>
      </c>
      <c r="J1156">
        <v>401</v>
      </c>
    </row>
    <row r="1157" spans="1:10" x14ac:dyDescent="0.25">
      <c r="A1157">
        <v>295</v>
      </c>
      <c r="B1157" t="str">
        <v>Ingersoll-Rand</v>
      </c>
      <c r="C1157">
        <v>33.611733999999998</v>
      </c>
      <c r="D1157">
        <v>2148.32568359375</v>
      </c>
      <c r="E1157">
        <v>1324.8355712890625</v>
      </c>
      <c r="F1157">
        <v>0.61668300628662109</v>
      </c>
      <c r="G1157">
        <v>3803</v>
      </c>
      <c r="H1157">
        <v>9.9999997764825821E-3</v>
      </c>
      <c r="I1157">
        <v>11815.26953125</v>
      </c>
      <c r="J1157">
        <v>1359</v>
      </c>
    </row>
    <row r="1158" spans="1:10" x14ac:dyDescent="0.25">
      <c r="A1158">
        <v>30127</v>
      </c>
      <c r="B1158" t="str">
        <v>Innovassynth Inv</v>
      </c>
      <c r="C1158">
        <v>56.604771</v>
      </c>
      <c r="D1158">
        <v>27.330570220947266</v>
      </c>
      <c r="E1158">
        <v>24.826080322265625</v>
      </c>
      <c r="F1158">
        <v>0.9083629846572876</v>
      </c>
      <c r="G1158">
        <v>72.612503051757813</v>
      </c>
      <c r="H1158">
        <v>0.10000000149011612</v>
      </c>
      <c r="I1158">
        <v>196.08999633789063</v>
      </c>
      <c r="J1158">
        <v>1336</v>
      </c>
    </row>
    <row r="1159" spans="1:10" x14ac:dyDescent="0.25">
      <c r="A1159">
        <v>2919</v>
      </c>
      <c r="B1159" t="str">
        <v>Innovative Tech</v>
      </c>
      <c r="C1159">
        <v>15.561908000000001</v>
      </c>
      <c r="D1159">
        <v>21.186159133911133</v>
      </c>
      <c r="E1159">
        <v>7.4973039627075195</v>
      </c>
      <c r="F1159">
        <v>0.35387700796127319</v>
      </c>
      <c r="G1159">
        <v>25.302499771118164</v>
      </c>
      <c r="H1159">
        <v>0.98000001907348633</v>
      </c>
      <c r="I1159">
        <v>56.159999847412109</v>
      </c>
      <c r="J1159">
        <v>1354</v>
      </c>
    </row>
    <row r="1160" spans="1:10" x14ac:dyDescent="0.25">
      <c r="A1160">
        <v>43989</v>
      </c>
      <c r="B1160" t="str">
        <v>Inox Wind</v>
      </c>
      <c r="C1160">
        <v>57.549636</v>
      </c>
      <c r="D1160">
        <v>64.867362976074219</v>
      </c>
      <c r="E1160">
        <v>67.396690368652344</v>
      </c>
      <c r="F1160">
        <v>1.0389920473098755</v>
      </c>
      <c r="G1160">
        <v>167.80000305175781</v>
      </c>
      <c r="H1160">
        <v>0.9100000262260437</v>
      </c>
      <c r="I1160">
        <v>21636.4609375</v>
      </c>
      <c r="J1160">
        <v>1359</v>
      </c>
    </row>
    <row r="1161" spans="1:10" x14ac:dyDescent="0.25">
      <c r="A1161">
        <v>27754</v>
      </c>
      <c r="B1161" t="str">
        <v>Insecticid.India</v>
      </c>
      <c r="C1161">
        <v>19.825454000000001</v>
      </c>
      <c r="D1161">
        <v>516.50830078125</v>
      </c>
      <c r="E1161">
        <v>172.47576904296875</v>
      </c>
      <c r="F1161">
        <v>0.3339259922504425</v>
      </c>
      <c r="G1161">
        <v>913.5999755859375</v>
      </c>
      <c r="H1161">
        <v>0.12999999523162842</v>
      </c>
      <c r="I1161">
        <v>2688.669921875</v>
      </c>
      <c r="J1161">
        <v>1359</v>
      </c>
    </row>
    <row r="1162" spans="1:10" x14ac:dyDescent="0.25">
      <c r="A1162">
        <v>2406</v>
      </c>
      <c r="B1162" t="str">
        <v>Insilco</v>
      </c>
      <c r="C1162">
        <v>-9.6684950000000001</v>
      </c>
      <c r="D1162">
        <v>8.2069835662841797</v>
      </c>
      <c r="E1162">
        <v>1.2923010587692261</v>
      </c>
      <c r="F1162">
        <v>0.15746399760246277</v>
      </c>
      <c r="G1162">
        <v>8.6000003814697266</v>
      </c>
      <c r="H1162">
        <v>0</v>
      </c>
      <c r="I1162">
        <v>52.430000305175781</v>
      </c>
      <c r="J1162">
        <v>689</v>
      </c>
    </row>
    <row r="1163" spans="1:10" x14ac:dyDescent="0.25">
      <c r="A1163">
        <v>25664</v>
      </c>
      <c r="B1163" t="str">
        <v>Inspirisys Sol.</v>
      </c>
      <c r="C1163">
        <v>18.410896999999999</v>
      </c>
      <c r="D1163">
        <v>64.282684326171875</v>
      </c>
      <c r="E1163">
        <v>32.314559936523438</v>
      </c>
      <c r="F1163">
        <v>0.50269502401351929</v>
      </c>
      <c r="G1163">
        <v>99.662498474121094</v>
      </c>
      <c r="H1163">
        <v>0.20000000298023224</v>
      </c>
      <c r="I1163">
        <v>388.44000244140625</v>
      </c>
      <c r="J1163">
        <v>1212</v>
      </c>
    </row>
    <row r="1164" spans="1:10" x14ac:dyDescent="0.25">
      <c r="A1164">
        <v>6294</v>
      </c>
      <c r="B1164" t="str">
        <v>Integ. Capital</v>
      </c>
      <c r="C1164">
        <v>27.079539</v>
      </c>
      <c r="D1164">
        <v>4.0510668754577637</v>
      </c>
      <c r="E1164">
        <v>1.5208250284194946</v>
      </c>
      <c r="F1164">
        <v>0.37541300058364868</v>
      </c>
      <c r="G1164">
        <v>4.2100000381469727</v>
      </c>
      <c r="H1164">
        <v>0</v>
      </c>
      <c r="I1164">
        <v>14.229999542236328</v>
      </c>
      <c r="J1164">
        <v>1141</v>
      </c>
    </row>
    <row r="1165" spans="1:10" x14ac:dyDescent="0.25">
      <c r="A1165">
        <v>5363</v>
      </c>
      <c r="B1165" t="str">
        <v>Integ. Industrie</v>
      </c>
      <c r="C1165">
        <v>130.05796699999999</v>
      </c>
      <c r="D1165">
        <v>18.079790115356445</v>
      </c>
      <c r="E1165">
        <v>13.683720588684082</v>
      </c>
      <c r="F1165">
        <v>0.75685197114944458</v>
      </c>
      <c r="G1165">
        <v>23.262500762939453</v>
      </c>
      <c r="H1165">
        <v>9.9999997764825821E-3</v>
      </c>
      <c r="I1165">
        <v>531.34002685546875</v>
      </c>
      <c r="J1165">
        <v>716</v>
      </c>
    </row>
    <row r="1166" spans="1:10" x14ac:dyDescent="0.25">
      <c r="A1166">
        <v>946</v>
      </c>
      <c r="B1166" t="str">
        <v>Integra Engg.</v>
      </c>
      <c r="C1166">
        <v>32.334372000000002</v>
      </c>
      <c r="D1166">
        <v>130.46640014648438</v>
      </c>
      <c r="E1166">
        <v>96.054435729980469</v>
      </c>
      <c r="F1166">
        <v>0.73623901605606079</v>
      </c>
      <c r="G1166">
        <v>205.11250305175781</v>
      </c>
      <c r="H1166">
        <v>0.20999999344348907</v>
      </c>
      <c r="I1166">
        <v>703.54998779296875</v>
      </c>
      <c r="J1166">
        <v>1359</v>
      </c>
    </row>
    <row r="1167" spans="1:10" x14ac:dyDescent="0.25">
      <c r="A1167">
        <v>41741</v>
      </c>
      <c r="B1167" t="str">
        <v>Integra Essentia</v>
      </c>
      <c r="C1167">
        <v>41.943519999999999</v>
      </c>
      <c r="D1167">
        <v>2.745434045791626</v>
      </c>
      <c r="E1167">
        <v>1.4585870504379272</v>
      </c>
      <c r="F1167">
        <v>0.53127700090408325</v>
      </c>
      <c r="G1167">
        <v>2.1949999332427979</v>
      </c>
      <c r="H1167">
        <v>0.18999999761581421</v>
      </c>
      <c r="I1167">
        <v>231.69000244140625</v>
      </c>
      <c r="J1167">
        <v>938</v>
      </c>
    </row>
    <row r="1168" spans="1:10" x14ac:dyDescent="0.25">
      <c r="A1168">
        <v>23363</v>
      </c>
      <c r="B1168" t="str">
        <v>Integra Tele.</v>
      </c>
      <c r="C1168">
        <v>-36.508879</v>
      </c>
      <c r="D1168">
        <v>23.233583450317383</v>
      </c>
      <c r="E1168">
        <v>13.057265281677246</v>
      </c>
      <c r="F1168">
        <v>0.56199997663497925</v>
      </c>
      <c r="G1168">
        <v>4.247499942779541</v>
      </c>
      <c r="H1168">
        <v>3.9999999105930328E-2</v>
      </c>
      <c r="I1168">
        <v>4.4899997711181641</v>
      </c>
      <c r="J1168">
        <v>992</v>
      </c>
    </row>
    <row r="1169" spans="1:10" x14ac:dyDescent="0.25">
      <c r="A1169">
        <v>54769</v>
      </c>
      <c r="B1169" t="str">
        <v>Intellect Design</v>
      </c>
      <c r="C1169">
        <v>40.396154000000003</v>
      </c>
      <c r="D1169">
        <v>615.5123291015625</v>
      </c>
      <c r="E1169">
        <v>280.44046020507813</v>
      </c>
      <c r="F1169">
        <v>0.45562100410461426</v>
      </c>
      <c r="G1169">
        <v>1164.512451171875</v>
      </c>
      <c r="H1169">
        <v>9.9999997764825821E-3</v>
      </c>
      <c r="I1169">
        <v>15855.1298828125</v>
      </c>
      <c r="J1169">
        <v>1359</v>
      </c>
    </row>
    <row r="1170" spans="1:10" x14ac:dyDescent="0.25">
      <c r="A1170">
        <v>20014</v>
      </c>
      <c r="B1170" t="str">
        <v>Intense Tech.</v>
      </c>
      <c r="C1170">
        <v>22.649740999999999</v>
      </c>
      <c r="D1170">
        <v>77.352859497070313</v>
      </c>
      <c r="E1170">
        <v>35.962329864501953</v>
      </c>
      <c r="F1170">
        <v>0.464913010597229</v>
      </c>
      <c r="G1170">
        <v>88.459999084472656</v>
      </c>
      <c r="H1170">
        <v>0</v>
      </c>
      <c r="I1170">
        <v>207.19000244140625</v>
      </c>
      <c r="J1170">
        <v>1353</v>
      </c>
    </row>
    <row r="1171" spans="1:10" x14ac:dyDescent="0.25">
      <c r="A1171">
        <v>3276</v>
      </c>
      <c r="B1171" t="str">
        <v>Inter Globe Fin</v>
      </c>
      <c r="C1171">
        <v>64.025034000000005</v>
      </c>
      <c r="D1171">
        <v>40.540279388427734</v>
      </c>
      <c r="E1171">
        <v>36.324710845947266</v>
      </c>
      <c r="F1171">
        <v>0.8960149884223938</v>
      </c>
      <c r="G1171">
        <v>63.990001678466797</v>
      </c>
      <c r="H1171">
        <v>3.9999999105930328E-2</v>
      </c>
      <c r="I1171">
        <v>57.319999694824219</v>
      </c>
      <c r="J1171">
        <v>1117</v>
      </c>
    </row>
    <row r="1172" spans="1:10" x14ac:dyDescent="0.25">
      <c r="A1172">
        <v>14003</v>
      </c>
      <c r="B1172" t="str">
        <v>Interactive Fin</v>
      </c>
      <c r="C1172">
        <v>5.9513740000000004</v>
      </c>
      <c r="D1172">
        <v>14.44918155670166</v>
      </c>
      <c r="E1172">
        <v>9.5333089828491211</v>
      </c>
      <c r="F1172">
        <v>0.65978199243545532</v>
      </c>
      <c r="G1172">
        <v>19.197500228881836</v>
      </c>
      <c r="H1172">
        <v>0</v>
      </c>
      <c r="I1172">
        <v>13.319999694824219</v>
      </c>
      <c r="J1172">
        <v>1152</v>
      </c>
    </row>
    <row r="1173" spans="1:10" x14ac:dyDescent="0.25">
      <c r="A1173">
        <v>33159</v>
      </c>
      <c r="B1173" t="str">
        <v>Interglobe Aviat</v>
      </c>
      <c r="C1173">
        <v>25.921558000000001</v>
      </c>
      <c r="D1173">
        <v>2478.594482421875</v>
      </c>
      <c r="E1173">
        <v>1223.5101318359375</v>
      </c>
      <c r="F1173">
        <v>0.49363100528717041</v>
      </c>
      <c r="G1173">
        <v>5282.1123046875</v>
      </c>
      <c r="H1173">
        <v>0</v>
      </c>
      <c r="I1173">
        <v>203530.484375</v>
      </c>
      <c r="J1173">
        <v>1359</v>
      </c>
    </row>
    <row r="1174" spans="1:10" x14ac:dyDescent="0.25">
      <c r="A1174">
        <v>7480</v>
      </c>
      <c r="B1174" t="str">
        <v>Interworld Digi.</v>
      </c>
      <c r="C1174">
        <v>13.371836999999999</v>
      </c>
      <c r="D1174">
        <v>0.34757900238037109</v>
      </c>
      <c r="E1174">
        <v>0.14468200504779816</v>
      </c>
      <c r="F1174">
        <v>0.41625499725341797</v>
      </c>
      <c r="G1174">
        <v>0.30750000476837158</v>
      </c>
      <c r="H1174">
        <v>1.9999999552965164E-2</v>
      </c>
      <c r="I1174">
        <v>14.350000381469727</v>
      </c>
      <c r="J1174">
        <v>252</v>
      </c>
    </row>
    <row r="1175" spans="1:10" x14ac:dyDescent="0.25">
      <c r="A1175">
        <v>296</v>
      </c>
      <c r="B1175" t="str">
        <v>Intl. Combustion</v>
      </c>
      <c r="C1175">
        <v>31.323862999999999</v>
      </c>
      <c r="D1175">
        <v>610.54461669921875</v>
      </c>
      <c r="E1175">
        <v>533.40478515625</v>
      </c>
      <c r="F1175">
        <v>0.87365400791168213</v>
      </c>
      <c r="G1175">
        <v>825.3125</v>
      </c>
      <c r="H1175">
        <v>0.20000000298023224</v>
      </c>
      <c r="I1175">
        <v>196.27999877929688</v>
      </c>
      <c r="J1175">
        <v>1357</v>
      </c>
    </row>
    <row r="1176" spans="1:10" x14ac:dyDescent="0.25">
      <c r="A1176">
        <v>5804</v>
      </c>
      <c r="B1176" t="str">
        <v>Intl. Conveyors</v>
      </c>
      <c r="C1176">
        <v>24.168006999999999</v>
      </c>
      <c r="D1176">
        <v>62.377853393554688</v>
      </c>
      <c r="E1176">
        <v>22.547674179077148</v>
      </c>
      <c r="F1176">
        <v>0.36146900057792664</v>
      </c>
      <c r="G1176">
        <v>90.897499084472656</v>
      </c>
      <c r="H1176">
        <v>0.37999999523162842</v>
      </c>
      <c r="I1176">
        <v>569.59002685546875</v>
      </c>
      <c r="J1176">
        <v>1352</v>
      </c>
    </row>
    <row r="1177" spans="1:10" x14ac:dyDescent="0.25">
      <c r="A1177">
        <v>793</v>
      </c>
      <c r="B1177" t="str">
        <v>Intl. Data Mgt.</v>
      </c>
      <c r="C1177">
        <v>24.409091</v>
      </c>
      <c r="D1177">
        <v>16.326616287231445</v>
      </c>
      <c r="E1177">
        <v>8.0625982284545898</v>
      </c>
      <c r="F1177">
        <v>0.49383199214935303</v>
      </c>
      <c r="G1177">
        <v>28.350000381469727</v>
      </c>
      <c r="H1177">
        <v>0</v>
      </c>
      <c r="I1177">
        <v>6.3400001525878906</v>
      </c>
      <c r="J1177">
        <v>891</v>
      </c>
    </row>
    <row r="1178" spans="1:10" x14ac:dyDescent="0.25">
      <c r="A1178">
        <v>3036</v>
      </c>
      <c r="B1178" t="str">
        <v>Intl. Travel Hse</v>
      </c>
      <c r="C1178">
        <v>36.927759000000002</v>
      </c>
      <c r="D1178">
        <v>268.56900024414063</v>
      </c>
      <c r="E1178">
        <v>225.03585815429688</v>
      </c>
      <c r="F1178">
        <v>0.83790701627731323</v>
      </c>
      <c r="G1178">
        <v>498.58749389648438</v>
      </c>
      <c r="H1178">
        <v>9.9999997764825821E-3</v>
      </c>
      <c r="I1178">
        <v>401.51998901367188</v>
      </c>
      <c r="J1178">
        <v>1358</v>
      </c>
    </row>
    <row r="1179" spans="1:10" x14ac:dyDescent="0.25">
      <c r="A1179">
        <v>20710</v>
      </c>
      <c r="B1179" t="str">
        <v>Intrasoft Tech.</v>
      </c>
      <c r="C1179">
        <v>7.4355289999999998</v>
      </c>
      <c r="D1179">
        <v>124.11448669433594</v>
      </c>
      <c r="E1179">
        <v>42.218185424804688</v>
      </c>
      <c r="F1179">
        <v>0.34015500545501709</v>
      </c>
      <c r="G1179">
        <v>112.55000305175781</v>
      </c>
      <c r="H1179">
        <v>0.10999999940395355</v>
      </c>
      <c r="I1179">
        <v>181.8800048828125</v>
      </c>
      <c r="J1179">
        <v>1338</v>
      </c>
    </row>
    <row r="1180" spans="1:10" x14ac:dyDescent="0.25">
      <c r="A1180">
        <v>2244</v>
      </c>
      <c r="B1180" t="str">
        <v>Inv.&amp; Prec.Cast.</v>
      </c>
      <c r="C1180">
        <v>33.702077000000003</v>
      </c>
      <c r="D1180">
        <v>405.38101196289063</v>
      </c>
      <c r="E1180">
        <v>241.87353515625</v>
      </c>
      <c r="F1180">
        <v>0.59665697813034058</v>
      </c>
      <c r="G1180">
        <v>945.3125</v>
      </c>
      <c r="H1180">
        <v>0.85000002384185791</v>
      </c>
      <c r="I1180">
        <v>472.79998779296875</v>
      </c>
      <c r="J1180">
        <v>1352</v>
      </c>
    </row>
    <row r="1181" spans="1:10" x14ac:dyDescent="0.25">
      <c r="A1181">
        <v>22783</v>
      </c>
      <c r="B1181" t="str">
        <v>Inventure Grow.</v>
      </c>
      <c r="C1181">
        <v>2.5340760000000002</v>
      </c>
      <c r="D1181">
        <v>2.3329780101776123</v>
      </c>
      <c r="E1181">
        <v>0.77475398778915405</v>
      </c>
      <c r="F1181">
        <v>0.33208799362182617</v>
      </c>
      <c r="G1181">
        <v>1.6074999570846558</v>
      </c>
      <c r="H1181">
        <v>0.10000000149011612</v>
      </c>
      <c r="I1181">
        <v>165.89999389648438</v>
      </c>
      <c r="J1181">
        <v>1356</v>
      </c>
    </row>
    <row r="1182" spans="1:10" x14ac:dyDescent="0.25">
      <c r="A1182">
        <v>4638</v>
      </c>
      <c r="B1182" t="str">
        <v>Invigorated Bus.</v>
      </c>
      <c r="C1182">
        <v>27.485485000000001</v>
      </c>
      <c r="D1182">
        <v>5.0363078117370605</v>
      </c>
      <c r="E1182">
        <v>2.0944509506225586</v>
      </c>
      <c r="F1182">
        <v>0.41587001085281372</v>
      </c>
      <c r="G1182">
        <v>8.6599998474121094</v>
      </c>
      <c r="H1182">
        <v>0</v>
      </c>
      <c r="I1182">
        <v>35.299999237060547</v>
      </c>
      <c r="J1182">
        <v>866</v>
      </c>
    </row>
    <row r="1183" spans="1:10" x14ac:dyDescent="0.25">
      <c r="A1183">
        <v>3617</v>
      </c>
      <c r="B1183" t="str">
        <v>Ipca Labs.</v>
      </c>
      <c r="C1183">
        <v>16.133092000000001</v>
      </c>
      <c r="D1183">
        <v>1054.05615234375</v>
      </c>
      <c r="E1183">
        <v>241.90277099609375</v>
      </c>
      <c r="F1183">
        <v>0.22949700057506561</v>
      </c>
      <c r="G1183">
        <v>1352.175048828125</v>
      </c>
      <c r="H1183">
        <v>0.20999999344348907</v>
      </c>
      <c r="I1183">
        <v>34525.33984375</v>
      </c>
      <c r="J1183">
        <v>1359</v>
      </c>
    </row>
    <row r="1184" spans="1:10" x14ac:dyDescent="0.25">
      <c r="A1184">
        <v>5497</v>
      </c>
      <c r="B1184" t="str">
        <v>Ircon Intl.</v>
      </c>
      <c r="C1184">
        <v>29.432825000000001</v>
      </c>
      <c r="D1184">
        <v>101.42922973632813</v>
      </c>
      <c r="E1184">
        <v>79.284027099609375</v>
      </c>
      <c r="F1184">
        <v>0.78166800737380981</v>
      </c>
      <c r="G1184">
        <v>194.17500305175781</v>
      </c>
      <c r="H1184">
        <v>0</v>
      </c>
      <c r="I1184">
        <v>17968.55078125</v>
      </c>
      <c r="J1184">
        <v>1359</v>
      </c>
    </row>
    <row r="1185" spans="1:10" x14ac:dyDescent="0.25">
      <c r="A1185">
        <v>1481</v>
      </c>
      <c r="B1185" t="str">
        <v>Ironwood Educa</v>
      </c>
      <c r="C1185">
        <v>-1.1942349999999999</v>
      </c>
      <c r="D1185">
        <v>30.001886367797852</v>
      </c>
      <c r="E1185">
        <v>6.2225618362426758</v>
      </c>
      <c r="F1185">
        <v>0.20740599930286407</v>
      </c>
      <c r="G1185">
        <v>37.470001220703125</v>
      </c>
      <c r="H1185">
        <v>0.60000002384185791</v>
      </c>
      <c r="I1185">
        <v>56.430000305175781</v>
      </c>
      <c r="J1185">
        <v>1015</v>
      </c>
    </row>
    <row r="1186" spans="1:10" x14ac:dyDescent="0.25">
      <c r="A1186">
        <v>7532</v>
      </c>
      <c r="B1186" t="str">
        <v>Ishaan Infrastru</v>
      </c>
      <c r="C1186">
        <v>-11.925515000000001</v>
      </c>
      <c r="D1186">
        <v>5.8439111709594727</v>
      </c>
      <c r="E1186">
        <v>3.2336759567260742</v>
      </c>
      <c r="F1186">
        <v>0.55334097146987915</v>
      </c>
      <c r="G1186">
        <v>7.3474998474121094</v>
      </c>
      <c r="H1186">
        <v>2.9999999329447746E-2</v>
      </c>
      <c r="I1186">
        <v>4.7300000190734863</v>
      </c>
      <c r="J1186">
        <v>1322</v>
      </c>
    </row>
    <row r="1187" spans="1:10" x14ac:dyDescent="0.25">
      <c r="A1187">
        <v>5338</v>
      </c>
      <c r="B1187" t="str">
        <v>Ishan Dyes</v>
      </c>
      <c r="C1187">
        <v>12.043608000000001</v>
      </c>
      <c r="D1187">
        <v>62.654964447021484</v>
      </c>
      <c r="E1187">
        <v>27.723129272460938</v>
      </c>
      <c r="F1187">
        <v>0.44247299432754517</v>
      </c>
      <c r="G1187">
        <v>44.692501068115234</v>
      </c>
      <c r="H1187">
        <v>0.40000000596046448</v>
      </c>
      <c r="I1187">
        <v>93.040000915527344</v>
      </c>
      <c r="J1187">
        <v>1355</v>
      </c>
    </row>
    <row r="1188" spans="1:10" x14ac:dyDescent="0.25">
      <c r="A1188">
        <v>3314</v>
      </c>
      <c r="B1188" t="str">
        <v>Ishita Drugs</v>
      </c>
      <c r="C1188">
        <v>32.767978999999997</v>
      </c>
      <c r="D1188">
        <v>52.735954284667969</v>
      </c>
      <c r="E1188">
        <v>21.677658081054688</v>
      </c>
      <c r="F1188">
        <v>0.41106000542640686</v>
      </c>
      <c r="G1188">
        <v>73.157501220703125</v>
      </c>
      <c r="H1188">
        <v>5.000000074505806E-2</v>
      </c>
      <c r="I1188">
        <v>21.860000610351563</v>
      </c>
      <c r="J1188">
        <v>1295</v>
      </c>
    </row>
    <row r="1189" spans="1:10" x14ac:dyDescent="0.25">
      <c r="A1189">
        <v>3878</v>
      </c>
      <c r="B1189" t="str">
        <v>Iykot Hitech</v>
      </c>
      <c r="C1189">
        <v>33.008189000000002</v>
      </c>
      <c r="D1189">
        <v>8.5108976364135742</v>
      </c>
      <c r="E1189">
        <v>3.8554949760437012</v>
      </c>
      <c r="F1189">
        <v>0.45300701260566711</v>
      </c>
      <c r="G1189">
        <v>13.649999618530273</v>
      </c>
      <c r="H1189">
        <v>0.40999999642372131</v>
      </c>
      <c r="I1189">
        <v>8.0900001525878906</v>
      </c>
      <c r="J1189">
        <v>715</v>
      </c>
    </row>
    <row r="1190" spans="1:10" x14ac:dyDescent="0.25">
      <c r="A1190">
        <v>7311</v>
      </c>
      <c r="B1190" t="str">
        <v>J &amp; K Bank</v>
      </c>
      <c r="C1190">
        <v>23.144863999999998</v>
      </c>
      <c r="D1190">
        <v>59.731254577636719</v>
      </c>
      <c r="E1190">
        <v>39.474697113037109</v>
      </c>
      <c r="F1190">
        <v>0.66087198257446289</v>
      </c>
      <c r="G1190">
        <v>102.40000152587891</v>
      </c>
      <c r="H1190">
        <v>0</v>
      </c>
      <c r="I1190">
        <v>11303.6396484375</v>
      </c>
      <c r="J1190">
        <v>1359</v>
      </c>
    </row>
    <row r="1191" spans="1:10" x14ac:dyDescent="0.25">
      <c r="A1191">
        <v>303</v>
      </c>
      <c r="B1191" t="str">
        <v>J B Chemicals &amp;</v>
      </c>
      <c r="C1191">
        <v>39.67971</v>
      </c>
      <c r="D1191">
        <v>1054.4248046875</v>
      </c>
      <c r="E1191">
        <v>510.72695922851563</v>
      </c>
      <c r="F1191">
        <v>0.48436498641967773</v>
      </c>
      <c r="G1191">
        <v>1692.58740234375</v>
      </c>
      <c r="H1191">
        <v>0.17000000178813934</v>
      </c>
      <c r="I1191">
        <v>26082.130859375</v>
      </c>
      <c r="J1191">
        <v>1359</v>
      </c>
    </row>
    <row r="1192" spans="1:10" x14ac:dyDescent="0.25">
      <c r="A1192">
        <v>4814</v>
      </c>
      <c r="B1192" t="str">
        <v>J J Exporters</v>
      </c>
      <c r="C1192">
        <v>-29.9757</v>
      </c>
      <c r="D1192">
        <v>3.7000000476837158</v>
      </c>
      <c r="E1192">
        <v>0.12727899849414825</v>
      </c>
      <c r="F1192">
        <v>3.4400001168251038E-2</v>
      </c>
      <c r="G1192">
        <v>3.6099998950958252</v>
      </c>
      <c r="H1192">
        <v>0</v>
      </c>
      <c r="I1192">
        <v>3.3399999141693115</v>
      </c>
      <c r="J1192">
        <v>2</v>
      </c>
    </row>
    <row r="1193" spans="1:10" x14ac:dyDescent="0.25">
      <c r="A1193">
        <v>2606</v>
      </c>
      <c r="B1193" t="str">
        <v>J J Finance Corp</v>
      </c>
      <c r="C1193">
        <v>20.831137999999999</v>
      </c>
      <c r="D1193">
        <v>29.244792938232422</v>
      </c>
      <c r="E1193">
        <v>16.263833999633789</v>
      </c>
      <c r="F1193">
        <v>0.55612802505493164</v>
      </c>
      <c r="G1193">
        <v>36.450000762939453</v>
      </c>
      <c r="H1193">
        <v>0</v>
      </c>
      <c r="I1193">
        <v>10.270000457763672</v>
      </c>
      <c r="J1193">
        <v>886</v>
      </c>
    </row>
    <row r="1194" spans="1:10" x14ac:dyDescent="0.25">
      <c r="A1194">
        <v>28300</v>
      </c>
      <c r="B1194" t="str">
        <v>J Kumar Infra</v>
      </c>
      <c r="C1194">
        <v>30.357506000000001</v>
      </c>
      <c r="D1194">
        <v>352.87789916992188</v>
      </c>
      <c r="E1194">
        <v>240.18943786621094</v>
      </c>
      <c r="F1194">
        <v>0.68065899610519409</v>
      </c>
      <c r="G1194">
        <v>708.75</v>
      </c>
      <c r="H1194">
        <v>0.23000000417232513</v>
      </c>
      <c r="I1194">
        <v>5314.75</v>
      </c>
      <c r="J1194">
        <v>1359</v>
      </c>
    </row>
    <row r="1195" spans="1:10" x14ac:dyDescent="0.25">
      <c r="A1195">
        <v>5245</v>
      </c>
      <c r="B1195" t="str">
        <v>J R Foods</v>
      </c>
      <c r="C1195">
        <v>13.081225999999999</v>
      </c>
      <c r="D1195">
        <v>4.5914301872253418</v>
      </c>
      <c r="E1195">
        <v>1.9518909454345703</v>
      </c>
      <c r="F1195">
        <v>0.42511600255966187</v>
      </c>
      <c r="G1195">
        <v>3.6099998950958252</v>
      </c>
      <c r="H1195">
        <v>0</v>
      </c>
      <c r="I1195">
        <v>3.4300000667572021</v>
      </c>
      <c r="J1195">
        <v>743</v>
      </c>
    </row>
    <row r="1196" spans="1:10" x14ac:dyDescent="0.25">
      <c r="A1196">
        <v>672</v>
      </c>
      <c r="B1196" t="str">
        <v>JBF Industries</v>
      </c>
      <c r="C1196">
        <v>-13.407987</v>
      </c>
      <c r="D1196">
        <v>14.197186470031738</v>
      </c>
      <c r="E1196">
        <v>7.3859128952026367</v>
      </c>
      <c r="F1196">
        <v>0.52023798227310181</v>
      </c>
      <c r="G1196">
        <v>4.4200000762939453</v>
      </c>
      <c r="H1196">
        <v>0</v>
      </c>
      <c r="I1196">
        <v>36.189998626708984</v>
      </c>
      <c r="J1196">
        <v>822</v>
      </c>
    </row>
    <row r="1197" spans="1:10" x14ac:dyDescent="0.25">
      <c r="A1197">
        <v>27325</v>
      </c>
      <c r="B1197" t="str">
        <v>JHS Sven.Lab.</v>
      </c>
      <c r="C1197">
        <v>-2.5180760000000002</v>
      </c>
      <c r="D1197">
        <v>20.969184875488281</v>
      </c>
      <c r="E1197">
        <v>5.1273841857910156</v>
      </c>
      <c r="F1197">
        <v>0.24451999366283417</v>
      </c>
      <c r="G1197">
        <v>13.207500457763672</v>
      </c>
      <c r="H1197">
        <v>1.9999999552965164E-2</v>
      </c>
      <c r="I1197">
        <v>111.87999725341797</v>
      </c>
      <c r="J1197">
        <v>1358</v>
      </c>
    </row>
    <row r="1198" spans="1:10" x14ac:dyDescent="0.25">
      <c r="A1198">
        <v>43205</v>
      </c>
      <c r="B1198" t="str">
        <v>JITF Infra Logis</v>
      </c>
      <c r="C1198">
        <v>83.323141000000007</v>
      </c>
      <c r="D1198">
        <v>286.33901977539063</v>
      </c>
      <c r="E1198">
        <v>293.40853881835938</v>
      </c>
      <c r="F1198">
        <v>1.0246889591217041</v>
      </c>
      <c r="G1198">
        <v>384.58749389648438</v>
      </c>
      <c r="H1198">
        <v>0</v>
      </c>
      <c r="I1198">
        <v>979.95001220703125</v>
      </c>
      <c r="J1198">
        <v>1315</v>
      </c>
    </row>
    <row r="1199" spans="1:10" x14ac:dyDescent="0.25">
      <c r="A1199">
        <v>29483</v>
      </c>
      <c r="B1199" t="str">
        <v>JK Agri Genetics</v>
      </c>
      <c r="C1199">
        <v>1.222979</v>
      </c>
      <c r="D1199">
        <v>528.12994384765625</v>
      </c>
      <c r="E1199">
        <v>138.75479125976563</v>
      </c>
      <c r="F1199">
        <v>0.2627280056476593</v>
      </c>
      <c r="G1199">
        <v>381.61248779296875</v>
      </c>
      <c r="H1199">
        <v>0.30000001192092896</v>
      </c>
      <c r="I1199">
        <v>176.8800048828125</v>
      </c>
      <c r="J1199">
        <v>1359</v>
      </c>
    </row>
    <row r="1200" spans="1:10" x14ac:dyDescent="0.25">
      <c r="A1200">
        <v>535</v>
      </c>
      <c r="B1200" t="str">
        <v>JK Lakshmi Cem.</v>
      </c>
      <c r="C1200">
        <v>19.525399</v>
      </c>
      <c r="D1200">
        <v>599.338134765625</v>
      </c>
      <c r="E1200">
        <v>210.75379943847656</v>
      </c>
      <c r="F1200">
        <v>0.35164400935173035</v>
      </c>
      <c r="G1200">
        <v>813.2750244140625</v>
      </c>
      <c r="H1200">
        <v>0.2800000011920929</v>
      </c>
      <c r="I1200">
        <v>9540.6904296875</v>
      </c>
      <c r="J1200">
        <v>1359</v>
      </c>
    </row>
    <row r="1201" spans="1:10" x14ac:dyDescent="0.25">
      <c r="A1201">
        <v>5772</v>
      </c>
      <c r="B1201" t="str">
        <v>JK Paper</v>
      </c>
      <c r="C1201">
        <v>19.685261000000001</v>
      </c>
      <c r="D1201">
        <v>291.63125610351563</v>
      </c>
      <c r="E1201">
        <v>128.67007446289063</v>
      </c>
      <c r="F1201">
        <v>0.44120800495147705</v>
      </c>
      <c r="G1201">
        <v>356.01251220703125</v>
      </c>
      <c r="H1201">
        <v>0.50999999046325684</v>
      </c>
      <c r="I1201">
        <v>5940.08984375</v>
      </c>
      <c r="J1201">
        <v>1359</v>
      </c>
    </row>
    <row r="1202" spans="1:10" x14ac:dyDescent="0.25">
      <c r="A1202">
        <v>304</v>
      </c>
      <c r="B1202" t="str">
        <v>JK Tyre &amp; Indust</v>
      </c>
      <c r="C1202">
        <v>29.597465</v>
      </c>
      <c r="D1202">
        <v>209.79826354980469</v>
      </c>
      <c r="E1202">
        <v>131.00714111328125</v>
      </c>
      <c r="F1202">
        <v>0.62444400787353516</v>
      </c>
      <c r="G1202">
        <v>358.96249389648438</v>
      </c>
      <c r="H1202">
        <v>0.75</v>
      </c>
      <c r="I1202">
        <v>9685.240234375</v>
      </c>
      <c r="J1202">
        <v>1359</v>
      </c>
    </row>
    <row r="1203" spans="1:10" x14ac:dyDescent="0.25">
      <c r="A1203">
        <v>2113</v>
      </c>
      <c r="B1203" t="str">
        <v>JM Financial</v>
      </c>
      <c r="C1203">
        <v>7.5482690000000003</v>
      </c>
      <c r="D1203">
        <v>86.296730041503906</v>
      </c>
      <c r="E1203">
        <v>20.285263061523438</v>
      </c>
      <c r="F1203">
        <v>0.23506399989128113</v>
      </c>
      <c r="G1203">
        <v>139.89999389648438</v>
      </c>
      <c r="H1203">
        <v>9.9999997764825821E-3</v>
      </c>
      <c r="I1203">
        <v>13268.1103515625</v>
      </c>
      <c r="J1203">
        <v>1359</v>
      </c>
    </row>
    <row r="1204" spans="1:10" x14ac:dyDescent="0.25">
      <c r="A1204">
        <v>4353</v>
      </c>
      <c r="B1204" t="str">
        <v>JMC Projects</v>
      </c>
      <c r="C1204">
        <v>6.3689730000000004</v>
      </c>
      <c r="D1204">
        <v>83.536262512207031</v>
      </c>
      <c r="E1204">
        <v>25.768999099731445</v>
      </c>
      <c r="F1204">
        <v>0.3084770143032074</v>
      </c>
      <c r="G1204">
        <v>121.08750152587891</v>
      </c>
      <c r="H1204">
        <v>0.99000000953674316</v>
      </c>
      <c r="I1204">
        <v>1991.3599853515625</v>
      </c>
      <c r="J1204">
        <v>755</v>
      </c>
    </row>
    <row r="1205" spans="1:10" x14ac:dyDescent="0.25">
      <c r="A1205">
        <v>2222</v>
      </c>
      <c r="B1205" t="str">
        <v>JMD Ventures</v>
      </c>
      <c r="C1205">
        <v>19.773720000000001</v>
      </c>
      <c r="D1205">
        <v>15.222631454467773</v>
      </c>
      <c r="E1205">
        <v>9.2549343109130859</v>
      </c>
      <c r="F1205">
        <v>0.60797202587127686</v>
      </c>
      <c r="G1205">
        <v>6.6050000190734863</v>
      </c>
      <c r="H1205">
        <v>0</v>
      </c>
      <c r="I1205">
        <v>18.870000839233398</v>
      </c>
      <c r="J1205">
        <v>766</v>
      </c>
    </row>
    <row r="1206" spans="1:10" x14ac:dyDescent="0.25">
      <c r="A1206">
        <v>2918</v>
      </c>
      <c r="B1206" t="str">
        <v>JMG Corporation</v>
      </c>
      <c r="C1206">
        <v>33.073901999999997</v>
      </c>
      <c r="D1206">
        <v>3.4630229473114014</v>
      </c>
      <c r="E1206">
        <v>2.4257431030273438</v>
      </c>
      <c r="F1206">
        <v>0.700469970703125</v>
      </c>
      <c r="G1206">
        <v>6.179999828338623</v>
      </c>
      <c r="H1206">
        <v>0.11999999731779099</v>
      </c>
      <c r="I1206">
        <v>14.310000419616699</v>
      </c>
      <c r="J1206">
        <v>263</v>
      </c>
    </row>
    <row r="1207" spans="1:10" x14ac:dyDescent="0.25">
      <c r="A1207">
        <v>64981</v>
      </c>
      <c r="B1207" t="str">
        <v>JMJ Fintech</v>
      </c>
      <c r="C1207">
        <v>26.784749000000001</v>
      </c>
      <c r="D1207">
        <v>16.240398406982422</v>
      </c>
      <c r="E1207">
        <v>8.1922178268432617</v>
      </c>
      <c r="F1207">
        <v>0.50443500280380249</v>
      </c>
      <c r="G1207">
        <v>34.575000762939453</v>
      </c>
      <c r="H1207">
        <v>0.4699999988079071</v>
      </c>
      <c r="I1207">
        <v>42.619998931884766</v>
      </c>
      <c r="J1207">
        <v>1238</v>
      </c>
    </row>
    <row r="1208" spans="1:10" x14ac:dyDescent="0.25">
      <c r="A1208">
        <v>15293</v>
      </c>
      <c r="B1208" t="str">
        <v>JP Associates</v>
      </c>
      <c r="C1208">
        <v>9.9024640000000002</v>
      </c>
      <c r="D1208">
        <v>8.8498506546020508</v>
      </c>
      <c r="E1208">
        <v>5.0905179977416992</v>
      </c>
      <c r="F1208">
        <v>0.57520997524261475</v>
      </c>
      <c r="G1208">
        <v>3.4000000953674316</v>
      </c>
      <c r="H1208">
        <v>0.82999998331069946</v>
      </c>
      <c r="I1208">
        <v>834.55999755859375</v>
      </c>
      <c r="J1208">
        <v>1238</v>
      </c>
    </row>
    <row r="1209" spans="1:10" x14ac:dyDescent="0.25">
      <c r="A1209">
        <v>14266</v>
      </c>
      <c r="B1209" t="str">
        <v>JP Power Ven.</v>
      </c>
      <c r="C1209">
        <v>44.554200999999999</v>
      </c>
      <c r="D1209">
        <v>8.6392230987548828</v>
      </c>
      <c r="E1209">
        <v>5.974952220916748</v>
      </c>
      <c r="F1209">
        <v>0.6916080117225647</v>
      </c>
      <c r="G1209">
        <v>17.172500610351563</v>
      </c>
      <c r="H1209">
        <v>0.34000000357627869</v>
      </c>
      <c r="I1209">
        <v>11650.8798828125</v>
      </c>
      <c r="J1209">
        <v>1359</v>
      </c>
    </row>
    <row r="1210" spans="1:10" x14ac:dyDescent="0.25">
      <c r="A1210">
        <v>5319</v>
      </c>
      <c r="B1210" t="str">
        <v>JPT Securities</v>
      </c>
      <c r="C1210">
        <v>6.1317250000000003</v>
      </c>
      <c r="D1210">
        <v>8.7878513336181641</v>
      </c>
      <c r="E1210">
        <v>2.0914149284362793</v>
      </c>
      <c r="F1210">
        <v>0.23798899352550507</v>
      </c>
      <c r="G1210">
        <v>11.675000190734863</v>
      </c>
      <c r="H1210">
        <v>0.10000000149011612</v>
      </c>
      <c r="I1210">
        <v>3.5799999237060547</v>
      </c>
      <c r="J1210">
        <v>369</v>
      </c>
    </row>
    <row r="1211" spans="1:10" x14ac:dyDescent="0.25">
      <c r="A1211">
        <v>27323</v>
      </c>
      <c r="B1211" t="str">
        <v>JSW Energy</v>
      </c>
      <c r="C1211">
        <v>37.474826999999998</v>
      </c>
      <c r="D1211">
        <v>316.32171630859375</v>
      </c>
      <c r="E1211">
        <v>204.4378662109375</v>
      </c>
      <c r="F1211">
        <v>0.64629697799682617</v>
      </c>
      <c r="G1211">
        <v>492.28750610351563</v>
      </c>
      <c r="H1211">
        <v>0.46000000834465027</v>
      </c>
      <c r="I1211">
        <v>84006.4921875</v>
      </c>
      <c r="J1211">
        <v>1359</v>
      </c>
    </row>
    <row r="1212" spans="1:10" x14ac:dyDescent="0.25">
      <c r="A1212">
        <v>24690</v>
      </c>
      <c r="B1212" t="str">
        <v>JSW Holdings</v>
      </c>
      <c r="C1212">
        <v>43.637241000000003</v>
      </c>
      <c r="D1212">
        <v>6074.15576171875</v>
      </c>
      <c r="E1212">
        <v>5159.072265625</v>
      </c>
      <c r="F1212">
        <v>0.84934800863265991</v>
      </c>
      <c r="G1212">
        <v>21158.599609375</v>
      </c>
      <c r="H1212">
        <v>0</v>
      </c>
      <c r="I1212">
        <v>23246.060546875</v>
      </c>
      <c r="J1212">
        <v>1341</v>
      </c>
    </row>
    <row r="1213" spans="1:10" x14ac:dyDescent="0.25">
      <c r="A1213">
        <v>4764</v>
      </c>
      <c r="B1213" t="str">
        <v>JSW Steel</v>
      </c>
      <c r="C1213">
        <v>24.523596999999999</v>
      </c>
      <c r="D1213">
        <v>665.60552978515625</v>
      </c>
      <c r="E1213">
        <v>241.40910339355469</v>
      </c>
      <c r="F1213">
        <v>0.36269098520278931</v>
      </c>
      <c r="G1213">
        <v>991.625</v>
      </c>
      <c r="H1213">
        <v>0.85000002384185791</v>
      </c>
      <c r="I1213">
        <v>243334.90625</v>
      </c>
      <c r="J1213">
        <v>1359</v>
      </c>
    </row>
    <row r="1214" spans="1:10" x14ac:dyDescent="0.25">
      <c r="A1214">
        <v>1054</v>
      </c>
      <c r="B1214" t="str">
        <v>JTEKT India</v>
      </c>
      <c r="C1214">
        <v>8.5733440000000005</v>
      </c>
      <c r="D1214">
        <v>115.66842651367188</v>
      </c>
      <c r="E1214">
        <v>38.509384155273438</v>
      </c>
      <c r="F1214">
        <v>0.33292898535728455</v>
      </c>
      <c r="G1214">
        <v>140.44999694824219</v>
      </c>
      <c r="H1214">
        <v>0.10999999940395355</v>
      </c>
      <c r="I1214">
        <v>3505.260009765625</v>
      </c>
      <c r="J1214">
        <v>1359</v>
      </c>
    </row>
    <row r="1215" spans="1:10" x14ac:dyDescent="0.25">
      <c r="A1215">
        <v>41375</v>
      </c>
      <c r="B1215" t="str">
        <v>JTL Industries</v>
      </c>
      <c r="C1215">
        <v>47.063192999999998</v>
      </c>
      <c r="D1215">
        <v>62.398750305175781</v>
      </c>
      <c r="E1215">
        <v>38.960205078125</v>
      </c>
      <c r="F1215">
        <v>0.62437498569488525</v>
      </c>
      <c r="G1215">
        <v>76.410003662109375</v>
      </c>
      <c r="H1215">
        <v>0.10999999940395355</v>
      </c>
      <c r="I1215">
        <v>2889.760009765625</v>
      </c>
      <c r="J1215">
        <v>1356</v>
      </c>
    </row>
    <row r="1216" spans="1:10" x14ac:dyDescent="0.25">
      <c r="A1216">
        <v>27870</v>
      </c>
      <c r="B1216" t="str">
        <v>Jackson Invest</v>
      </c>
      <c r="C1216">
        <v>18.176998000000001</v>
      </c>
      <c r="D1216">
        <v>0.67784899473190308</v>
      </c>
      <c r="E1216">
        <v>0.21858300268650055</v>
      </c>
      <c r="F1216">
        <v>0.32246598601341248</v>
      </c>
      <c r="G1216">
        <v>0.50249999761581421</v>
      </c>
      <c r="H1216">
        <v>0</v>
      </c>
      <c r="I1216">
        <v>14.539999961853027</v>
      </c>
      <c r="J1216">
        <v>466</v>
      </c>
    </row>
    <row r="1217" spans="1:10" x14ac:dyDescent="0.25">
      <c r="A1217">
        <v>5339</v>
      </c>
      <c r="B1217" t="str">
        <v>Jagan Lamps</v>
      </c>
      <c r="C1217">
        <v>33.380833000000003</v>
      </c>
      <c r="D1217">
        <v>58.619159698486328</v>
      </c>
      <c r="E1217">
        <v>27.739730834960938</v>
      </c>
      <c r="F1217">
        <v>0.47321999073028564</v>
      </c>
      <c r="G1217">
        <v>69.279998779296875</v>
      </c>
      <c r="H1217">
        <v>0.20000000298023224</v>
      </c>
      <c r="I1217">
        <v>49.150001525878906</v>
      </c>
      <c r="J1217">
        <v>1358</v>
      </c>
    </row>
    <row r="1218" spans="1:10" x14ac:dyDescent="0.25">
      <c r="A1218">
        <v>25326</v>
      </c>
      <c r="B1218" t="str">
        <v>Jagjanani Text.</v>
      </c>
      <c r="C1218">
        <v>69.602974000000003</v>
      </c>
      <c r="D1218">
        <v>7.4775199890136719</v>
      </c>
      <c r="E1218">
        <v>5.7259640693664551</v>
      </c>
      <c r="F1218">
        <v>0.76575702428817749</v>
      </c>
      <c r="G1218">
        <v>8.8500003814697266</v>
      </c>
      <c r="H1218">
        <v>0</v>
      </c>
      <c r="I1218">
        <v>14.010000228881836</v>
      </c>
      <c r="J1218">
        <v>833</v>
      </c>
    </row>
    <row r="1219" spans="1:10" x14ac:dyDescent="0.25">
      <c r="A1219">
        <v>22118</v>
      </c>
      <c r="B1219" t="str">
        <v>Jagran Prakashan</v>
      </c>
      <c r="C1219">
        <v>2.4783339999999998</v>
      </c>
      <c r="D1219">
        <v>70.630821228027344</v>
      </c>
      <c r="E1219">
        <v>20.393625259399414</v>
      </c>
      <c r="F1219">
        <v>0.28873598575592041</v>
      </c>
      <c r="G1219">
        <v>71.675003051757813</v>
      </c>
      <c r="H1219">
        <v>0.15000000596046448</v>
      </c>
      <c r="I1219">
        <v>1545.3499755859375</v>
      </c>
      <c r="J1219">
        <v>1359</v>
      </c>
    </row>
    <row r="1220" spans="1:10" x14ac:dyDescent="0.25">
      <c r="A1220">
        <v>5161</v>
      </c>
      <c r="B1220" t="str">
        <v>Jagsonpal Fin.</v>
      </c>
      <c r="C1220">
        <v>62.419195999999999</v>
      </c>
      <c r="D1220">
        <v>25.66680908203125</v>
      </c>
      <c r="E1220">
        <v>31.729009628295898</v>
      </c>
      <c r="F1220">
        <v>1.2361880540847778</v>
      </c>
      <c r="G1220">
        <v>50.080001831054688</v>
      </c>
      <c r="H1220">
        <v>0</v>
      </c>
      <c r="I1220">
        <v>91.169998168945313</v>
      </c>
      <c r="J1220">
        <v>580</v>
      </c>
    </row>
    <row r="1221" spans="1:10" x14ac:dyDescent="0.25">
      <c r="A1221">
        <v>2171</v>
      </c>
      <c r="B1221" t="str">
        <v>Jagsonpal Pharma</v>
      </c>
      <c r="C1221">
        <v>59.903284999999997</v>
      </c>
      <c r="D1221">
        <v>111.39316558837891</v>
      </c>
      <c r="E1221">
        <v>70.599739074707031</v>
      </c>
      <c r="F1221">
        <v>0.63378900289535522</v>
      </c>
      <c r="G1221">
        <v>219.22500610351563</v>
      </c>
      <c r="H1221">
        <v>3.9999999105930328E-2</v>
      </c>
      <c r="I1221">
        <v>1422.530029296875</v>
      </c>
      <c r="J1221">
        <v>1359</v>
      </c>
    </row>
    <row r="1222" spans="1:10" x14ac:dyDescent="0.25">
      <c r="A1222">
        <v>24619</v>
      </c>
      <c r="B1222" t="str">
        <v>Jai Balaji Inds.</v>
      </c>
      <c r="C1222">
        <v>59.236631000000003</v>
      </c>
      <c r="D1222">
        <v>61.431869506835938</v>
      </c>
      <c r="E1222">
        <v>77.420997619628906</v>
      </c>
      <c r="F1222">
        <v>1.2602740526199341</v>
      </c>
      <c r="G1222">
        <v>104.28749847412109</v>
      </c>
      <c r="H1222">
        <v>0.64999997615814209</v>
      </c>
      <c r="I1222">
        <v>9583.6103515625</v>
      </c>
      <c r="J1222">
        <v>1332</v>
      </c>
    </row>
    <row r="1223" spans="1:10" x14ac:dyDescent="0.25">
      <c r="A1223">
        <v>1572</v>
      </c>
      <c r="B1223" t="str">
        <v>Jai Corp</v>
      </c>
      <c r="C1223">
        <v>3.0204550000000001</v>
      </c>
      <c r="D1223">
        <v>172.18305969238281</v>
      </c>
      <c r="E1223">
        <v>97.695121765136719</v>
      </c>
      <c r="F1223">
        <v>0.56739097833633423</v>
      </c>
      <c r="G1223">
        <v>108.86250305175781</v>
      </c>
      <c r="H1223">
        <v>0</v>
      </c>
      <c r="I1223">
        <v>1901.3800048828125</v>
      </c>
      <c r="J1223">
        <v>1359</v>
      </c>
    </row>
    <row r="1224" spans="1:10" x14ac:dyDescent="0.25">
      <c r="A1224">
        <v>2246</v>
      </c>
      <c r="B1224" t="str">
        <v>Jai Mata Glass</v>
      </c>
      <c r="C1224">
        <v>44.973258000000001</v>
      </c>
      <c r="D1224">
        <v>1.9823759794235229</v>
      </c>
      <c r="E1224">
        <v>0.84229999780654907</v>
      </c>
      <c r="F1224">
        <v>0.42489400506019592</v>
      </c>
      <c r="G1224">
        <v>1.9450000524520874</v>
      </c>
      <c r="H1224">
        <v>9.9999997764825821E-3</v>
      </c>
      <c r="I1224">
        <v>19</v>
      </c>
      <c r="J1224">
        <v>702</v>
      </c>
    </row>
    <row r="1225" spans="1:10" x14ac:dyDescent="0.25">
      <c r="A1225">
        <v>3228</v>
      </c>
      <c r="B1225" t="str">
        <v>Jaihind Synth</v>
      </c>
      <c r="C1225">
        <v>56.078336</v>
      </c>
      <c r="D1225">
        <v>23.101528167724609</v>
      </c>
      <c r="E1225">
        <v>15.312925338745117</v>
      </c>
      <c r="F1225">
        <v>0.66285300254821777</v>
      </c>
      <c r="G1225">
        <v>52.525001525878906</v>
      </c>
      <c r="H1225">
        <v>5.9999998658895493E-2</v>
      </c>
      <c r="I1225">
        <v>43.590000152587891</v>
      </c>
      <c r="J1225">
        <v>1113</v>
      </c>
    </row>
    <row r="1226" spans="1:10" x14ac:dyDescent="0.25">
      <c r="A1226">
        <v>1127</v>
      </c>
      <c r="B1226" t="str">
        <v>Jain Irrigation</v>
      </c>
      <c r="C1226">
        <v>38.580674999999999</v>
      </c>
      <c r="D1226">
        <v>40.18316650390625</v>
      </c>
      <c r="E1226">
        <v>20.459556579589844</v>
      </c>
      <c r="F1226">
        <v>0.50915700197219849</v>
      </c>
      <c r="G1226">
        <v>61.327499389648438</v>
      </c>
      <c r="H1226">
        <v>0.55000001192092896</v>
      </c>
      <c r="I1226">
        <v>4119.93994140625</v>
      </c>
      <c r="J1226">
        <v>1359</v>
      </c>
    </row>
    <row r="1227" spans="1:10" x14ac:dyDescent="0.25">
      <c r="A1227">
        <v>12828</v>
      </c>
      <c r="B1227" t="str">
        <v>Jain Studios</v>
      </c>
      <c r="C1227">
        <v>11.302269000000001</v>
      </c>
      <c r="D1227">
        <v>2.2673869132995605</v>
      </c>
      <c r="E1227">
        <v>0.66393601894378662</v>
      </c>
      <c r="F1227">
        <v>0.29282000660896301</v>
      </c>
      <c r="G1227">
        <v>2.6500000953674316</v>
      </c>
      <c r="H1227">
        <v>0</v>
      </c>
      <c r="I1227">
        <v>7.5799999237060547</v>
      </c>
      <c r="J1227">
        <v>508</v>
      </c>
    </row>
    <row r="1228" spans="1:10" x14ac:dyDescent="0.25">
      <c r="A1228">
        <v>4745</v>
      </c>
      <c r="B1228" t="str">
        <v>Jainco Projects</v>
      </c>
      <c r="C1228">
        <v>47.605995</v>
      </c>
      <c r="D1228">
        <v>5.2392029762268066</v>
      </c>
      <c r="E1228">
        <v>2.2411549091339111</v>
      </c>
      <c r="F1228">
        <v>0.42776599526405334</v>
      </c>
      <c r="G1228">
        <v>6.0250000953674316</v>
      </c>
      <c r="H1228">
        <v>0.62000000476837158</v>
      </c>
      <c r="I1228">
        <v>5.9699997901916504</v>
      </c>
      <c r="J1228">
        <v>1082</v>
      </c>
    </row>
    <row r="1229" spans="1:10" x14ac:dyDescent="0.25">
      <c r="A1229">
        <v>1536</v>
      </c>
      <c r="B1229" t="str">
        <v>Jaipan Industrie</v>
      </c>
      <c r="C1229">
        <v>23.121410000000001</v>
      </c>
      <c r="D1229">
        <v>24.164602279663086</v>
      </c>
      <c r="E1229">
        <v>13.894543647766113</v>
      </c>
      <c r="F1229">
        <v>0.57499599456787109</v>
      </c>
      <c r="G1229">
        <v>34.625</v>
      </c>
      <c r="H1229">
        <v>0.55000001192092896</v>
      </c>
      <c r="I1229">
        <v>20.479999542236328</v>
      </c>
      <c r="J1229">
        <v>1326</v>
      </c>
    </row>
    <row r="1230" spans="1:10" x14ac:dyDescent="0.25">
      <c r="A1230">
        <v>43952</v>
      </c>
      <c r="B1230" t="str">
        <v>James Warren Tea</v>
      </c>
      <c r="C1230">
        <v>26.079177999999999</v>
      </c>
      <c r="D1230">
        <v>224.56904602050781</v>
      </c>
      <c r="E1230">
        <v>77.060829162597656</v>
      </c>
      <c r="F1230">
        <v>0.34314998984336853</v>
      </c>
      <c r="G1230">
        <v>322.10000610351563</v>
      </c>
      <c r="H1230">
        <v>0</v>
      </c>
      <c r="I1230">
        <v>115.58999633789063</v>
      </c>
      <c r="J1230">
        <v>1322</v>
      </c>
    </row>
    <row r="1231" spans="1:10" x14ac:dyDescent="0.25">
      <c r="A1231">
        <v>1149</v>
      </c>
      <c r="B1231" t="str">
        <v>Jamna Auto Inds.</v>
      </c>
      <c r="C1231">
        <v>12.190087</v>
      </c>
      <c r="D1231">
        <v>91.534446716308594</v>
      </c>
      <c r="E1231">
        <v>30.310226440429688</v>
      </c>
      <c r="F1231">
        <v>0.33113500475883484</v>
      </c>
      <c r="G1231">
        <v>90.300003051757813</v>
      </c>
      <c r="H1231">
        <v>0.10999999940395355</v>
      </c>
      <c r="I1231">
        <v>3532.969970703125</v>
      </c>
      <c r="J1231">
        <v>1359</v>
      </c>
    </row>
    <row r="1232" spans="1:10" x14ac:dyDescent="0.25">
      <c r="A1232">
        <v>1750</v>
      </c>
      <c r="B1232" t="str">
        <v>Jamshri Realty</v>
      </c>
      <c r="C1232">
        <v>33.118074999999997</v>
      </c>
      <c r="D1232">
        <v>69.668006896972656</v>
      </c>
      <c r="E1232">
        <v>58.015567779541016</v>
      </c>
      <c r="F1232">
        <v>0.83274298906326294</v>
      </c>
      <c r="G1232">
        <v>125.37750244140625</v>
      </c>
      <c r="H1232">
        <v>0</v>
      </c>
      <c r="I1232">
        <v>86.510002136230469</v>
      </c>
      <c r="J1232">
        <v>863</v>
      </c>
    </row>
    <row r="1233" spans="1:10" x14ac:dyDescent="0.25">
      <c r="A1233">
        <v>4072</v>
      </c>
      <c r="B1233" t="str">
        <v>Jasch Industries</v>
      </c>
      <c r="C1233">
        <v>34.201076999999998</v>
      </c>
      <c r="D1233">
        <v>134.73065185546875</v>
      </c>
      <c r="E1233">
        <v>66.707221984863281</v>
      </c>
      <c r="F1233">
        <v>0.4951150119304657</v>
      </c>
      <c r="G1233">
        <v>203.71249389648438</v>
      </c>
      <c r="H1233">
        <v>0.20000000298023224</v>
      </c>
      <c r="I1233">
        <v>135.55000305175781</v>
      </c>
      <c r="J1233">
        <v>1265</v>
      </c>
    </row>
    <row r="1234" spans="1:10" x14ac:dyDescent="0.25">
      <c r="A1234">
        <v>3877</v>
      </c>
      <c r="B1234" t="str">
        <v>Jatalia Global</v>
      </c>
      <c r="C1234">
        <v>-29.967424000000001</v>
      </c>
      <c r="D1234">
        <v>4.366203784942627</v>
      </c>
      <c r="E1234">
        <v>1.1477060317993164</v>
      </c>
      <c r="F1234">
        <v>0.26286101341247559</v>
      </c>
      <c r="G1234">
        <v>1.3700000047683716</v>
      </c>
      <c r="H1234">
        <v>0</v>
      </c>
      <c r="I1234">
        <v>2.1400001049041748</v>
      </c>
      <c r="J1234">
        <v>623</v>
      </c>
    </row>
    <row r="1235" spans="1:10" x14ac:dyDescent="0.25">
      <c r="A1235">
        <v>3268</v>
      </c>
      <c r="B1235" t="str">
        <v>Jattashankar Ind</v>
      </c>
      <c r="C1235">
        <v>62.320858000000001</v>
      </c>
      <c r="D1235">
        <v>82.8118896484375</v>
      </c>
      <c r="E1235">
        <v>78.537200927734375</v>
      </c>
      <c r="F1235">
        <v>0.94838100671768188</v>
      </c>
      <c r="G1235">
        <v>277.33749389648438</v>
      </c>
      <c r="H1235">
        <v>0</v>
      </c>
      <c r="I1235">
        <v>122.27999877929688</v>
      </c>
      <c r="J1235">
        <v>396</v>
      </c>
    </row>
    <row r="1236" spans="1:10" x14ac:dyDescent="0.25">
      <c r="A1236">
        <v>3801</v>
      </c>
      <c r="B1236" t="str">
        <v>Jauss Polymers</v>
      </c>
      <c r="C1236">
        <v>10.265605000000001</v>
      </c>
      <c r="D1236">
        <v>5.9283919334411621</v>
      </c>
      <c r="E1236">
        <v>1.6252859830856323</v>
      </c>
      <c r="F1236">
        <v>0.27415299415588379</v>
      </c>
      <c r="G1236">
        <v>6.2300000190734863</v>
      </c>
      <c r="H1236">
        <v>0</v>
      </c>
      <c r="I1236">
        <v>2.880000114440918</v>
      </c>
      <c r="J1236">
        <v>1063</v>
      </c>
    </row>
    <row r="1237" spans="1:10" x14ac:dyDescent="0.25">
      <c r="A1237">
        <v>1150</v>
      </c>
      <c r="B1237" t="str">
        <v>Jay Bharat Maru.</v>
      </c>
      <c r="C1237">
        <v>9.1853730000000002</v>
      </c>
      <c r="D1237">
        <v>74.416946411132813</v>
      </c>
      <c r="E1237">
        <v>27.443645477294922</v>
      </c>
      <c r="F1237">
        <v>0.36878201365470886</v>
      </c>
      <c r="G1237">
        <v>76.730003356933594</v>
      </c>
      <c r="H1237">
        <v>0.74000000953674316</v>
      </c>
      <c r="I1237">
        <v>814.03997802734375</v>
      </c>
      <c r="J1237">
        <v>1359</v>
      </c>
    </row>
    <row r="1238" spans="1:10" x14ac:dyDescent="0.25">
      <c r="A1238">
        <v>1560</v>
      </c>
      <c r="B1238" t="str">
        <v>Jayabharat Cred.</v>
      </c>
      <c r="C1238">
        <v>21.703696000000001</v>
      </c>
      <c r="D1238">
        <v>8.6166982650756836</v>
      </c>
      <c r="E1238">
        <v>3.4369819164276123</v>
      </c>
      <c r="F1238">
        <v>0.39887499809265137</v>
      </c>
      <c r="G1238">
        <v>13.090000152587891</v>
      </c>
      <c r="H1238">
        <v>0</v>
      </c>
      <c r="I1238">
        <v>6.6999998092651367</v>
      </c>
      <c r="J1238">
        <v>708</v>
      </c>
    </row>
    <row r="1239" spans="1:10" x14ac:dyDescent="0.25">
      <c r="A1239">
        <v>2915</v>
      </c>
      <c r="B1239" t="str">
        <v>Jayant Agro Org.</v>
      </c>
      <c r="C1239">
        <v>13.090282</v>
      </c>
      <c r="D1239">
        <v>201.55738830566406</v>
      </c>
      <c r="E1239">
        <v>66.533027648925781</v>
      </c>
      <c r="F1239">
        <v>0.33009499311447144</v>
      </c>
      <c r="G1239">
        <v>246.38749694824219</v>
      </c>
      <c r="H1239">
        <v>7.0000000298023224E-2</v>
      </c>
      <c r="I1239">
        <v>733.79998779296875</v>
      </c>
      <c r="J1239">
        <v>1358</v>
      </c>
    </row>
    <row r="1240" spans="1:10" x14ac:dyDescent="0.25">
      <c r="A1240">
        <v>305</v>
      </c>
      <c r="B1240" t="str">
        <v>Jaykay Enter.</v>
      </c>
      <c r="C1240">
        <v>88.997924999999995</v>
      </c>
      <c r="D1240">
        <v>47.686805725097656</v>
      </c>
      <c r="E1240">
        <v>43.815013885498047</v>
      </c>
      <c r="F1240">
        <v>0.9188079833984375</v>
      </c>
      <c r="G1240">
        <v>155.23750305175781</v>
      </c>
      <c r="H1240">
        <v>1.9999999552965164E-2</v>
      </c>
      <c r="I1240">
        <v>1867.9599609375</v>
      </c>
      <c r="J1240">
        <v>1358</v>
      </c>
    </row>
    <row r="1241" spans="1:10" x14ac:dyDescent="0.25">
      <c r="A1241">
        <v>13044</v>
      </c>
      <c r="B1241" t="str">
        <v>Jayshree Chem.</v>
      </c>
      <c r="C1241">
        <v>15.642313</v>
      </c>
      <c r="D1241">
        <v>6.9560480117797852</v>
      </c>
      <c r="E1241">
        <v>2.2571320533752441</v>
      </c>
      <c r="F1241">
        <v>0.32448500394821167</v>
      </c>
      <c r="G1241">
        <v>7.8949999809265137</v>
      </c>
      <c r="H1241">
        <v>7.0000000298023224E-2</v>
      </c>
      <c r="I1241">
        <v>22.870000839233398</v>
      </c>
      <c r="J1241">
        <v>1355</v>
      </c>
    </row>
    <row r="1242" spans="1:10" x14ac:dyDescent="0.25">
      <c r="A1242">
        <v>3936</v>
      </c>
      <c r="B1242" t="str">
        <v>Jaysynth Orgo</v>
      </c>
      <c r="C1242">
        <v>38.567436000000001</v>
      </c>
      <c r="D1242">
        <v>8.893916130065918</v>
      </c>
      <c r="E1242">
        <v>6.7364339828491211</v>
      </c>
      <c r="F1242">
        <v>0.75742000341415405</v>
      </c>
      <c r="G1242">
        <v>21.547500610351563</v>
      </c>
      <c r="H1242">
        <v>9.9999997764825821E-3</v>
      </c>
      <c r="I1242">
        <v>288.55999755859375</v>
      </c>
      <c r="J1242">
        <v>1147</v>
      </c>
    </row>
    <row r="1243" spans="1:10" x14ac:dyDescent="0.25">
      <c r="A1243">
        <v>20948</v>
      </c>
      <c r="B1243" t="str">
        <v>Jeevan Scienti.</v>
      </c>
      <c r="C1243">
        <v>12.566090000000001</v>
      </c>
      <c r="D1243">
        <v>62.170391082763672</v>
      </c>
      <c r="E1243">
        <v>36.353107452392578</v>
      </c>
      <c r="F1243">
        <v>0.58473300933837891</v>
      </c>
      <c r="G1243">
        <v>38.102500915527344</v>
      </c>
      <c r="H1243">
        <v>0.15000000596046448</v>
      </c>
      <c r="I1243">
        <v>60.220001220703125</v>
      </c>
      <c r="J1243">
        <v>1357</v>
      </c>
    </row>
    <row r="1244" spans="1:10" x14ac:dyDescent="0.25">
      <c r="A1244">
        <v>4394</v>
      </c>
      <c r="B1244" t="str">
        <v>Jenburkt Pharma</v>
      </c>
      <c r="C1244">
        <v>22.355053999999999</v>
      </c>
      <c r="D1244">
        <v>652.53448486328125</v>
      </c>
      <c r="E1244">
        <v>245.15809631347656</v>
      </c>
      <c r="F1244">
        <v>0.37570101022720337</v>
      </c>
      <c r="G1244">
        <v>1310.6624755859375</v>
      </c>
      <c r="H1244">
        <v>9.9999997764825821E-3</v>
      </c>
      <c r="I1244">
        <v>571.010009765625</v>
      </c>
      <c r="J1244">
        <v>1359</v>
      </c>
    </row>
    <row r="1245" spans="1:10" x14ac:dyDescent="0.25">
      <c r="A1245">
        <v>5586</v>
      </c>
      <c r="B1245" t="str">
        <v>Jet Airways</v>
      </c>
      <c r="C1245">
        <v>2.825078</v>
      </c>
      <c r="D1245">
        <v>66.868728637695313</v>
      </c>
      <c r="E1245">
        <v>28.548776626586914</v>
      </c>
      <c r="F1245">
        <v>0.42693799734115601</v>
      </c>
      <c r="G1245">
        <v>35.599998474121094</v>
      </c>
      <c r="H1245">
        <v>0</v>
      </c>
      <c r="I1245">
        <v>386.69000244140625</v>
      </c>
      <c r="J1245">
        <v>1208</v>
      </c>
    </row>
    <row r="1246" spans="1:10" x14ac:dyDescent="0.25">
      <c r="A1246">
        <v>2189</v>
      </c>
      <c r="B1246" t="str">
        <v>Jetking Infotrai</v>
      </c>
      <c r="C1246">
        <v>32.688214000000002</v>
      </c>
      <c r="D1246">
        <v>50.3118896484375</v>
      </c>
      <c r="E1246">
        <v>23.976161956787109</v>
      </c>
      <c r="F1246">
        <v>0.47655099630355835</v>
      </c>
      <c r="G1246">
        <v>169.89999389648438</v>
      </c>
      <c r="H1246">
        <v>3.9999999105930328E-2</v>
      </c>
      <c r="I1246">
        <v>100.37000274658203</v>
      </c>
      <c r="J1246">
        <v>1334</v>
      </c>
    </row>
    <row r="1247" spans="1:10" x14ac:dyDescent="0.25">
      <c r="A1247">
        <v>6937</v>
      </c>
      <c r="B1247" t="str">
        <v>Jhaveri Credits</v>
      </c>
      <c r="C1247">
        <v>97.220573999999999</v>
      </c>
      <c r="D1247">
        <v>159.72688293457031</v>
      </c>
      <c r="E1247">
        <v>150.98136901855469</v>
      </c>
      <c r="F1247">
        <v>0.94524699449539185</v>
      </c>
      <c r="G1247">
        <v>240.75</v>
      </c>
      <c r="H1247">
        <v>9.9999997764825821E-3</v>
      </c>
      <c r="I1247">
        <v>213.00999450683594</v>
      </c>
      <c r="J1247">
        <v>893</v>
      </c>
    </row>
    <row r="1248" spans="1:10" x14ac:dyDescent="0.25">
      <c r="A1248">
        <v>5010</v>
      </c>
      <c r="B1248" t="str">
        <v>Jindal Capital</v>
      </c>
      <c r="C1248">
        <v>44.946621</v>
      </c>
      <c r="D1248">
        <v>26.409177780151367</v>
      </c>
      <c r="E1248">
        <v>13.626364707946777</v>
      </c>
      <c r="F1248">
        <v>0.51597100496292114</v>
      </c>
      <c r="G1248">
        <v>41.242500305175781</v>
      </c>
      <c r="H1248">
        <v>0.30000001192092896</v>
      </c>
      <c r="I1248">
        <v>29.389999389648438</v>
      </c>
      <c r="J1248">
        <v>1249</v>
      </c>
    </row>
    <row r="1249" spans="1:10" x14ac:dyDescent="0.25">
      <c r="A1249">
        <v>1291</v>
      </c>
      <c r="B1249" t="str">
        <v>Jindal Drilling</v>
      </c>
      <c r="C1249">
        <v>39.684466</v>
      </c>
      <c r="D1249">
        <v>349.90133666992188</v>
      </c>
      <c r="E1249">
        <v>269.66534423828125</v>
      </c>
      <c r="F1249">
        <v>0.77069002389907837</v>
      </c>
      <c r="G1249">
        <v>649.9375</v>
      </c>
      <c r="H1249">
        <v>0.2199999988079071</v>
      </c>
      <c r="I1249">
        <v>1858.780029296875</v>
      </c>
      <c r="J1249">
        <v>1359</v>
      </c>
    </row>
    <row r="1250" spans="1:10" x14ac:dyDescent="0.25">
      <c r="A1250">
        <v>5167</v>
      </c>
      <c r="B1250" t="str">
        <v>Jindal Leasefin</v>
      </c>
      <c r="C1250">
        <v>22.124744</v>
      </c>
      <c r="D1250">
        <v>34.848331451416016</v>
      </c>
      <c r="E1250">
        <v>13.240584373474121</v>
      </c>
      <c r="F1250">
        <v>0.37994900345802307</v>
      </c>
      <c r="G1250">
        <v>41.392501831054688</v>
      </c>
      <c r="H1250">
        <v>3.9999999105930328E-2</v>
      </c>
      <c r="I1250">
        <v>12.380000114440918</v>
      </c>
      <c r="J1250">
        <v>950</v>
      </c>
    </row>
    <row r="1251" spans="1:10" x14ac:dyDescent="0.25">
      <c r="A1251">
        <v>24941</v>
      </c>
      <c r="B1251" t="str">
        <v>Jindal Photo</v>
      </c>
      <c r="C1251">
        <v>86.188778999999997</v>
      </c>
      <c r="D1251">
        <v>360.02255249023438</v>
      </c>
      <c r="E1251">
        <v>290.53433227539063</v>
      </c>
      <c r="F1251">
        <v>0.80698901414871216</v>
      </c>
      <c r="G1251">
        <v>983.875</v>
      </c>
      <c r="H1251">
        <v>0</v>
      </c>
      <c r="I1251">
        <v>1009.3699951171875</v>
      </c>
      <c r="J1251">
        <v>1335</v>
      </c>
    </row>
    <row r="1252" spans="1:10" x14ac:dyDescent="0.25">
      <c r="A1252">
        <v>4162</v>
      </c>
      <c r="B1252" t="str">
        <v>Jindal Poly Film</v>
      </c>
      <c r="C1252">
        <v>18.793817000000001</v>
      </c>
      <c r="D1252">
        <v>713.66290283203125</v>
      </c>
      <c r="E1252">
        <v>248.123046875</v>
      </c>
      <c r="F1252">
        <v>0.34767499566078186</v>
      </c>
      <c r="G1252">
        <v>607.95001220703125</v>
      </c>
      <c r="H1252">
        <v>0.12999999523162842</v>
      </c>
      <c r="I1252">
        <v>2645.7900390625</v>
      </c>
      <c r="J1252">
        <v>1359</v>
      </c>
    </row>
    <row r="1253" spans="1:10" x14ac:dyDescent="0.25">
      <c r="A1253">
        <v>43863</v>
      </c>
      <c r="B1253" t="str">
        <v>Jindal Poly Inve</v>
      </c>
      <c r="C1253">
        <v>87.075845999999999</v>
      </c>
      <c r="D1253">
        <v>465.16702270507813</v>
      </c>
      <c r="E1253">
        <v>289.12930297851563</v>
      </c>
      <c r="F1253">
        <v>0.62155997753143311</v>
      </c>
      <c r="G1253">
        <v>902.5374755859375</v>
      </c>
      <c r="H1253">
        <v>3.9999999105930328E-2</v>
      </c>
      <c r="I1253">
        <v>940.42999267578125</v>
      </c>
      <c r="J1253">
        <v>1134</v>
      </c>
    </row>
    <row r="1254" spans="1:10" x14ac:dyDescent="0.25">
      <c r="A1254">
        <v>965</v>
      </c>
      <c r="B1254" t="str">
        <v>Jindal Saw</v>
      </c>
      <c r="C1254">
        <v>33.680737000000001</v>
      </c>
      <c r="D1254">
        <v>122.30782318115234</v>
      </c>
      <c r="E1254">
        <v>104.87580871582031</v>
      </c>
      <c r="F1254">
        <v>0.85747402906417847</v>
      </c>
      <c r="G1254">
        <v>233.98750305175781</v>
      </c>
      <c r="H1254">
        <v>0.31000000238418579</v>
      </c>
      <c r="I1254">
        <v>14858.9697265625</v>
      </c>
      <c r="J1254">
        <v>1359</v>
      </c>
    </row>
    <row r="1255" spans="1:10" x14ac:dyDescent="0.25">
      <c r="A1255">
        <v>24610</v>
      </c>
      <c r="B1255" t="str">
        <v>Jindal Stain.</v>
      </c>
      <c r="C1255">
        <v>55.433515999999997</v>
      </c>
      <c r="D1255">
        <v>309.55929565429688</v>
      </c>
      <c r="E1255">
        <v>254.97926330566406</v>
      </c>
      <c r="F1255">
        <v>0.82368499040603638</v>
      </c>
      <c r="G1255">
        <v>667.0999755859375</v>
      </c>
      <c r="H1255">
        <v>0.30000001192092896</v>
      </c>
      <c r="I1255">
        <v>54150.48828125</v>
      </c>
      <c r="J1255">
        <v>1359</v>
      </c>
    </row>
    <row r="1256" spans="1:10" x14ac:dyDescent="0.25">
      <c r="A1256">
        <v>20287</v>
      </c>
      <c r="B1256" t="str">
        <v>Jindal Steel</v>
      </c>
      <c r="C1256">
        <v>31.72268</v>
      </c>
      <c r="D1256">
        <v>539.1585693359375</v>
      </c>
      <c r="E1256">
        <v>272.16049194335938</v>
      </c>
      <c r="F1256">
        <v>0.50478702783584595</v>
      </c>
      <c r="G1256">
        <v>890.0625</v>
      </c>
      <c r="H1256">
        <v>0.2800000011920929</v>
      </c>
      <c r="I1256">
        <v>90787.84375</v>
      </c>
      <c r="J1256">
        <v>1359</v>
      </c>
    </row>
    <row r="1257" spans="1:10" x14ac:dyDescent="0.25">
      <c r="A1257">
        <v>6902</v>
      </c>
      <c r="B1257" t="str">
        <v>Jindal Worldwide</v>
      </c>
      <c r="C1257">
        <v>28.502587999999999</v>
      </c>
      <c r="D1257">
        <v>46.718898773193359</v>
      </c>
      <c r="E1257">
        <v>27.076322555541992</v>
      </c>
      <c r="F1257">
        <v>0.57955801486968994</v>
      </c>
      <c r="G1257">
        <v>57.395000457763672</v>
      </c>
      <c r="H1257">
        <v>0.93000000715255737</v>
      </c>
      <c r="I1257">
        <v>5709.81982421875</v>
      </c>
      <c r="J1257">
        <v>1359</v>
      </c>
    </row>
    <row r="1258" spans="1:10" x14ac:dyDescent="0.25">
      <c r="A1258">
        <v>65851</v>
      </c>
      <c r="B1258" t="str">
        <v>Jiya Eco-Product</v>
      </c>
      <c r="C1258">
        <v>-82.508932000000001</v>
      </c>
      <c r="D1258">
        <v>8.984222412109375</v>
      </c>
      <c r="E1258">
        <v>4.7153229713439941</v>
      </c>
      <c r="F1258">
        <v>0.52484500408172607</v>
      </c>
      <c r="G1258">
        <v>3.6099998950958252</v>
      </c>
      <c r="H1258">
        <v>0.33000001311302185</v>
      </c>
      <c r="I1258">
        <v>10.859999656677246</v>
      </c>
      <c r="J1258">
        <v>431</v>
      </c>
    </row>
    <row r="1259" spans="1:10" x14ac:dyDescent="0.25">
      <c r="A1259">
        <v>3326</v>
      </c>
      <c r="B1259" t="str">
        <v>John Cockerill</v>
      </c>
      <c r="C1259">
        <v>23.53237</v>
      </c>
      <c r="D1259">
        <v>2039.6241455078125</v>
      </c>
      <c r="E1259">
        <v>1466.743408203125</v>
      </c>
      <c r="F1259">
        <v>0.71912401914596558</v>
      </c>
      <c r="G1259">
        <v>3294.53759765625</v>
      </c>
      <c r="H1259">
        <v>9.9999997764825821E-3</v>
      </c>
      <c r="I1259">
        <v>1584.8399658203125</v>
      </c>
      <c r="J1259">
        <v>1359</v>
      </c>
    </row>
    <row r="1260" spans="1:10" x14ac:dyDescent="0.25">
      <c r="A1260">
        <v>2100</v>
      </c>
      <c r="B1260" t="str">
        <v>Johnson Con. Hit</v>
      </c>
      <c r="C1260">
        <v>-1.6417949999999999</v>
      </c>
      <c r="D1260">
        <v>1797.2205810546875</v>
      </c>
      <c r="E1260">
        <v>504.71282958984375</v>
      </c>
      <c r="F1260">
        <v>0.28082999587059021</v>
      </c>
      <c r="G1260">
        <v>1751.9749755859375</v>
      </c>
      <c r="H1260">
        <v>7.0000000298023224E-2</v>
      </c>
      <c r="I1260">
        <v>4722.6298828125</v>
      </c>
      <c r="J1260">
        <v>1358</v>
      </c>
    </row>
    <row r="1261" spans="1:10" x14ac:dyDescent="0.25">
      <c r="A1261">
        <v>7919</v>
      </c>
      <c r="B1261" t="str">
        <v>Johnson Pharma</v>
      </c>
      <c r="C1261">
        <v>27.244173</v>
      </c>
      <c r="D1261">
        <v>0.72527098655700684</v>
      </c>
      <c r="E1261">
        <v>0.33220499753952026</v>
      </c>
      <c r="F1261">
        <v>0.45804300904273987</v>
      </c>
      <c r="G1261">
        <v>0.88749998807907104</v>
      </c>
      <c r="H1261">
        <v>2.9999999329447746E-2</v>
      </c>
      <c r="I1261">
        <v>48.950000762939453</v>
      </c>
      <c r="J1261">
        <v>1143</v>
      </c>
    </row>
    <row r="1262" spans="1:10" x14ac:dyDescent="0.25">
      <c r="A1262">
        <v>7354</v>
      </c>
      <c r="B1262" t="str">
        <v>Joindre Capital</v>
      </c>
      <c r="C1262">
        <v>22.666222999999999</v>
      </c>
      <c r="D1262">
        <v>32.635822296142578</v>
      </c>
      <c r="E1262">
        <v>13.987513542175293</v>
      </c>
      <c r="F1262">
        <v>0.42859399318695068</v>
      </c>
      <c r="G1262">
        <v>52.912498474121094</v>
      </c>
      <c r="H1262">
        <v>0.12999999523162842</v>
      </c>
      <c r="I1262">
        <v>72.449996948242188</v>
      </c>
      <c r="J1262">
        <v>1357</v>
      </c>
    </row>
    <row r="1263" spans="1:10" x14ac:dyDescent="0.25">
      <c r="A1263">
        <v>1293</v>
      </c>
      <c r="B1263" t="str">
        <v>Josts Engg. Co.</v>
      </c>
      <c r="C1263">
        <v>42.266894999999998</v>
      </c>
      <c r="D1263">
        <v>210.82821655273438</v>
      </c>
      <c r="E1263">
        <v>182.01924133300781</v>
      </c>
      <c r="F1263">
        <v>0.86335301399230957</v>
      </c>
      <c r="G1263">
        <v>502.75</v>
      </c>
      <c r="H1263">
        <v>0.11999999731779099</v>
      </c>
      <c r="I1263">
        <v>497.739990234375</v>
      </c>
      <c r="J1263">
        <v>1321</v>
      </c>
    </row>
    <row r="1264" spans="1:10" x14ac:dyDescent="0.25">
      <c r="A1264">
        <v>592</v>
      </c>
      <c r="B1264" t="str">
        <v>Jubilant Pharmo</v>
      </c>
      <c r="C1264">
        <v>16.461576000000001</v>
      </c>
      <c r="D1264">
        <v>607.737060546875</v>
      </c>
      <c r="E1264">
        <v>241.39300537109375</v>
      </c>
      <c r="F1264">
        <v>0.39719998836517334</v>
      </c>
      <c r="G1264">
        <v>1125.0999755859375</v>
      </c>
      <c r="H1264">
        <v>0.15000000596046448</v>
      </c>
      <c r="I1264">
        <v>17946.740234375</v>
      </c>
      <c r="J1264">
        <v>1359</v>
      </c>
    </row>
    <row r="1265" spans="1:10" x14ac:dyDescent="0.25">
      <c r="A1265">
        <v>42165</v>
      </c>
      <c r="B1265" t="str">
        <v>Jupiter Info.</v>
      </c>
      <c r="C1265">
        <v>-1.0421929999999999</v>
      </c>
      <c r="D1265">
        <v>30.369148254394531</v>
      </c>
      <c r="E1265">
        <v>10.925962448120117</v>
      </c>
      <c r="F1265">
        <v>0.35977199673652649</v>
      </c>
      <c r="G1265">
        <v>50.590000152587891</v>
      </c>
      <c r="H1265">
        <v>0</v>
      </c>
      <c r="I1265">
        <v>50.169998168945313</v>
      </c>
      <c r="J1265">
        <v>1315</v>
      </c>
    </row>
    <row r="1266" spans="1:10" x14ac:dyDescent="0.25">
      <c r="A1266">
        <v>39220</v>
      </c>
      <c r="B1266" t="str">
        <v>Jupiter Wagons</v>
      </c>
      <c r="C1266">
        <v>63.835396000000003</v>
      </c>
      <c r="D1266">
        <v>178.39143371582031</v>
      </c>
      <c r="E1266">
        <v>193.36198425292969</v>
      </c>
      <c r="F1266">
        <v>1.0839200019836426</v>
      </c>
      <c r="G1266">
        <v>372.8125</v>
      </c>
      <c r="H1266">
        <v>0.25999999046325684</v>
      </c>
      <c r="I1266">
        <v>15523.8896484375</v>
      </c>
      <c r="J1266">
        <v>1358</v>
      </c>
    </row>
    <row r="1267" spans="1:10" x14ac:dyDescent="0.25">
      <c r="A1267">
        <v>41369</v>
      </c>
      <c r="B1267" t="str">
        <v>Just Dial</v>
      </c>
      <c r="C1267">
        <v>8.0892710000000001</v>
      </c>
      <c r="D1267">
        <v>758.94732666015625</v>
      </c>
      <c r="E1267">
        <v>223.55984497070313</v>
      </c>
      <c r="F1267">
        <v>0.29456600546836853</v>
      </c>
      <c r="G1267">
        <v>882.7249755859375</v>
      </c>
      <c r="H1267">
        <v>1.9999999552965164E-2</v>
      </c>
      <c r="I1267">
        <v>7397.18017578125</v>
      </c>
      <c r="J1267">
        <v>1359</v>
      </c>
    </row>
    <row r="1268" spans="1:10" x14ac:dyDescent="0.25">
      <c r="A1268">
        <v>14775</v>
      </c>
      <c r="B1268" t="str">
        <v>Jyothy Labs</v>
      </c>
      <c r="C1268">
        <v>14.989534000000001</v>
      </c>
      <c r="D1268">
        <v>252.36004638671875</v>
      </c>
      <c r="E1268">
        <v>135.62113952636719</v>
      </c>
      <c r="F1268">
        <v>0.53741097450256348</v>
      </c>
      <c r="G1268">
        <v>333</v>
      </c>
      <c r="H1268">
        <v>5.000000074505806E-2</v>
      </c>
      <c r="I1268">
        <v>12127.259765625</v>
      </c>
      <c r="J1268">
        <v>1359</v>
      </c>
    </row>
    <row r="1269" spans="1:10" x14ac:dyDescent="0.25">
      <c r="A1269">
        <v>315</v>
      </c>
      <c r="B1269" t="str">
        <v>Jyoti</v>
      </c>
      <c r="C1269">
        <v>60.487637999999997</v>
      </c>
      <c r="D1269">
        <v>35.697223663330078</v>
      </c>
      <c r="E1269">
        <v>34.570640563964844</v>
      </c>
      <c r="F1269">
        <v>0.96844100952148438</v>
      </c>
      <c r="G1269">
        <v>107.72499847412109</v>
      </c>
      <c r="H1269">
        <v>0</v>
      </c>
      <c r="I1269">
        <v>246.39999389648438</v>
      </c>
      <c r="J1269">
        <v>1283</v>
      </c>
    </row>
    <row r="1270" spans="1:10" x14ac:dyDescent="0.25">
      <c r="A1270">
        <v>4266</v>
      </c>
      <c r="B1270" t="str">
        <v>Jyoti Resins</v>
      </c>
      <c r="C1270">
        <v>63.828302000000001</v>
      </c>
      <c r="D1270">
        <v>852.86322021484375</v>
      </c>
      <c r="E1270">
        <v>596.18408203125</v>
      </c>
      <c r="F1270">
        <v>0.69903802871704102</v>
      </c>
      <c r="G1270">
        <v>1353.5625</v>
      </c>
      <c r="H1270">
        <v>0</v>
      </c>
      <c r="I1270">
        <v>1606.739990234375</v>
      </c>
      <c r="J1270">
        <v>1359</v>
      </c>
    </row>
    <row r="1271" spans="1:10" x14ac:dyDescent="0.25">
      <c r="A1271">
        <v>66538</v>
      </c>
      <c r="B1271" t="str">
        <v>Jyotirgamya Ent.</v>
      </c>
      <c r="C1271">
        <v>25.069196000000002</v>
      </c>
      <c r="D1271">
        <v>68.074676513671875</v>
      </c>
      <c r="E1271">
        <v>37.691249847412109</v>
      </c>
      <c r="F1271">
        <v>0.55367499589920044</v>
      </c>
      <c r="G1271">
        <v>116.55000305175781</v>
      </c>
      <c r="H1271">
        <v>0</v>
      </c>
      <c r="I1271">
        <v>25.850000381469727</v>
      </c>
      <c r="J1271">
        <v>46</v>
      </c>
    </row>
    <row r="1272" spans="1:10" x14ac:dyDescent="0.25">
      <c r="A1272">
        <v>316</v>
      </c>
      <c r="B1272" t="str">
        <v>K C P</v>
      </c>
      <c r="C1272">
        <v>21.770285999999999</v>
      </c>
      <c r="D1272">
        <v>131.44854736328125</v>
      </c>
      <c r="E1272">
        <v>57.448276519775391</v>
      </c>
      <c r="F1272">
        <v>0.43704000115394592</v>
      </c>
      <c r="G1272">
        <v>197.0625</v>
      </c>
      <c r="H1272">
        <v>0.37999999523162842</v>
      </c>
      <c r="I1272">
        <v>2517.18994140625</v>
      </c>
      <c r="J1272">
        <v>1359</v>
      </c>
    </row>
    <row r="1273" spans="1:10" x14ac:dyDescent="0.25">
      <c r="A1273">
        <v>27273</v>
      </c>
      <c r="B1273" t="str">
        <v>K E C Intl.</v>
      </c>
      <c r="C1273">
        <v>20.091555</v>
      </c>
      <c r="D1273">
        <v>537.5963134765625</v>
      </c>
      <c r="E1273">
        <v>220.49806213378906</v>
      </c>
      <c r="F1273">
        <v>0.41015499830245972</v>
      </c>
      <c r="G1273">
        <v>890.0999755859375</v>
      </c>
      <c r="H1273">
        <v>0.75</v>
      </c>
      <c r="I1273">
        <v>23674.5</v>
      </c>
      <c r="J1273">
        <v>1359</v>
      </c>
    </row>
    <row r="1274" spans="1:10" x14ac:dyDescent="0.25">
      <c r="A1274">
        <v>1300</v>
      </c>
      <c r="B1274" t="str">
        <v>K K Fincorp</v>
      </c>
      <c r="C1274">
        <v>36.261994000000001</v>
      </c>
      <c r="D1274">
        <v>16.707756042480469</v>
      </c>
      <c r="E1274">
        <v>9.5218162536621094</v>
      </c>
      <c r="F1274">
        <v>0.56990402936935425</v>
      </c>
      <c r="G1274">
        <v>58.205001831054688</v>
      </c>
      <c r="H1274">
        <v>0</v>
      </c>
      <c r="I1274">
        <v>32.270000457763672</v>
      </c>
      <c r="J1274">
        <v>780</v>
      </c>
    </row>
    <row r="1275" spans="1:10" x14ac:dyDescent="0.25">
      <c r="A1275">
        <v>28009</v>
      </c>
      <c r="B1275" t="str">
        <v>K P R Mill Ltd</v>
      </c>
      <c r="C1275">
        <v>40.995538000000003</v>
      </c>
      <c r="D1275">
        <v>556.99346923828125</v>
      </c>
      <c r="E1275">
        <v>296.38442993164063</v>
      </c>
      <c r="F1275">
        <v>0.53211498260498047</v>
      </c>
      <c r="G1275">
        <v>1111.862548828125</v>
      </c>
      <c r="H1275">
        <v>0.11999999731779099</v>
      </c>
      <c r="I1275">
        <v>38113.96875</v>
      </c>
      <c r="J1275">
        <v>1358</v>
      </c>
    </row>
    <row r="1276" spans="1:10" x14ac:dyDescent="0.25">
      <c r="A1276">
        <v>4680</v>
      </c>
      <c r="B1276" t="str">
        <v>K Z Leasing</v>
      </c>
      <c r="C1276">
        <v>20.580888999999999</v>
      </c>
      <c r="D1276">
        <v>21.21403694152832</v>
      </c>
      <c r="E1276">
        <v>9.8487663269042969</v>
      </c>
      <c r="F1276">
        <v>0.46425700187683105</v>
      </c>
      <c r="G1276">
        <v>25.184999465942383</v>
      </c>
      <c r="H1276">
        <v>0.31999999284744263</v>
      </c>
      <c r="I1276">
        <v>7.440000057220459</v>
      </c>
      <c r="J1276">
        <v>959</v>
      </c>
    </row>
    <row r="1277" spans="1:10" x14ac:dyDescent="0.25">
      <c r="A1277">
        <v>2778</v>
      </c>
      <c r="B1277" t="str">
        <v>K-Lifestyle</v>
      </c>
      <c r="C1277">
        <v>6.4843060000000001</v>
      </c>
      <c r="D1277">
        <v>0.25494098663330078</v>
      </c>
      <c r="E1277">
        <v>5.7413000613451004E-2</v>
      </c>
      <c r="F1277">
        <v>0.22520099580287933</v>
      </c>
      <c r="G1277">
        <v>0.27000001072883606</v>
      </c>
      <c r="H1277">
        <v>0</v>
      </c>
      <c r="I1277">
        <v>27.600000381469727</v>
      </c>
      <c r="J1277">
        <v>254</v>
      </c>
    </row>
    <row r="1278" spans="1:10" x14ac:dyDescent="0.25">
      <c r="A1278">
        <v>67194</v>
      </c>
      <c r="B1278" t="str">
        <v>K.P. Energy</v>
      </c>
      <c r="C1278">
        <v>61.203662000000001</v>
      </c>
      <c r="D1278">
        <v>154.62797546386719</v>
      </c>
      <c r="E1278">
        <v>182.35597229003906</v>
      </c>
      <c r="F1278">
        <v>1.1793210506439209</v>
      </c>
      <c r="G1278">
        <v>488.72500610351563</v>
      </c>
      <c r="H1278">
        <v>0.5</v>
      </c>
      <c r="I1278">
        <v>3191.469970703125</v>
      </c>
      <c r="J1278">
        <v>1335</v>
      </c>
    </row>
    <row r="1279" spans="1:10" x14ac:dyDescent="0.25">
      <c r="A1279">
        <v>71635</v>
      </c>
      <c r="B1279" t="str">
        <v>KBC Global</v>
      </c>
      <c r="C1279">
        <v>-14.368285999999999</v>
      </c>
      <c r="D1279">
        <v>3.1381120681762695</v>
      </c>
      <c r="E1279">
        <v>2.9636640548706055</v>
      </c>
      <c r="F1279">
        <v>0.94441002607345581</v>
      </c>
      <c r="G1279">
        <v>0.54000002145767212</v>
      </c>
      <c r="H1279">
        <v>0.10999999940395355</v>
      </c>
      <c r="I1279">
        <v>277.1199951171875</v>
      </c>
      <c r="J1279">
        <v>1355</v>
      </c>
    </row>
    <row r="1280" spans="1:10" x14ac:dyDescent="0.25">
      <c r="A1280">
        <v>7043</v>
      </c>
      <c r="B1280" t="str">
        <v>KBS India</v>
      </c>
      <c r="C1280">
        <v>50.155236000000002</v>
      </c>
      <c r="D1280">
        <v>6.1737780570983887</v>
      </c>
      <c r="E1280">
        <v>4.0555901527404785</v>
      </c>
      <c r="F1280">
        <v>0.65690600872039795</v>
      </c>
      <c r="G1280">
        <v>5.8550000190734863</v>
      </c>
      <c r="H1280">
        <v>0</v>
      </c>
      <c r="I1280">
        <v>63.299999237060547</v>
      </c>
      <c r="J1280">
        <v>1056</v>
      </c>
    </row>
    <row r="1281" spans="1:10" x14ac:dyDescent="0.25">
      <c r="A1281">
        <v>7734</v>
      </c>
      <c r="B1281" t="str">
        <v>KCD Industries</v>
      </c>
      <c r="C1281">
        <v>6.8701280000000002</v>
      </c>
      <c r="D1281">
        <v>11.022598266601563</v>
      </c>
      <c r="E1281">
        <v>5.7775640487670898</v>
      </c>
      <c r="F1281">
        <v>0.52415597438812256</v>
      </c>
      <c r="G1281">
        <v>5.7775001525878906</v>
      </c>
      <c r="H1281">
        <v>0</v>
      </c>
      <c r="I1281">
        <v>14.189999580383301</v>
      </c>
      <c r="J1281">
        <v>991</v>
      </c>
    </row>
    <row r="1282" spans="1:10" x14ac:dyDescent="0.25">
      <c r="A1282">
        <v>14857</v>
      </c>
      <c r="B1282" t="str">
        <v>KCL Infra</v>
      </c>
      <c r="C1282">
        <v>24.248975999999999</v>
      </c>
      <c r="D1282">
        <v>1.61524498462677</v>
      </c>
      <c r="E1282">
        <v>0.74845397472381592</v>
      </c>
      <c r="F1282">
        <v>0.46336901187896729</v>
      </c>
      <c r="G1282">
        <v>1.4674999713897705</v>
      </c>
      <c r="H1282">
        <v>9.0000003576278687E-2</v>
      </c>
      <c r="I1282">
        <v>24.489999771118164</v>
      </c>
      <c r="J1282">
        <v>1194</v>
      </c>
    </row>
    <row r="1283" spans="1:10" x14ac:dyDescent="0.25">
      <c r="A1283">
        <v>7820</v>
      </c>
      <c r="B1283" t="str">
        <v>KCP Sugar &amp;Inds.</v>
      </c>
      <c r="C1283">
        <v>16.261389000000001</v>
      </c>
      <c r="D1283">
        <v>27.842470169067383</v>
      </c>
      <c r="E1283">
        <v>11.045801162719727</v>
      </c>
      <c r="F1283">
        <v>0.39672499895095825</v>
      </c>
      <c r="G1283">
        <v>34.712501525878906</v>
      </c>
      <c r="H1283">
        <v>0.5</v>
      </c>
      <c r="I1283">
        <v>389.82000732421875</v>
      </c>
      <c r="J1283">
        <v>1359</v>
      </c>
    </row>
    <row r="1284" spans="1:10" x14ac:dyDescent="0.25">
      <c r="A1284">
        <v>2631</v>
      </c>
      <c r="B1284" t="str">
        <v>KDDL Ltd</v>
      </c>
      <c r="C1284">
        <v>42.006777999999997</v>
      </c>
      <c r="D1284">
        <v>1335.516357421875</v>
      </c>
      <c r="E1284">
        <v>1064.0284423828125</v>
      </c>
      <c r="F1284">
        <v>0.79671698808670044</v>
      </c>
      <c r="G1284">
        <v>2805.1748046875</v>
      </c>
      <c r="H1284">
        <v>0.23999999463558197</v>
      </c>
      <c r="I1284">
        <v>3454.409912109375</v>
      </c>
      <c r="J1284">
        <v>1340</v>
      </c>
    </row>
    <row r="1285" spans="1:10" x14ac:dyDescent="0.25">
      <c r="A1285">
        <v>4679</v>
      </c>
      <c r="B1285" t="str">
        <v>KEI Industries</v>
      </c>
      <c r="C1285">
        <v>38.987516999999997</v>
      </c>
      <c r="D1285">
        <v>1870.6011962890625</v>
      </c>
      <c r="E1285">
        <v>1375.7650146484375</v>
      </c>
      <c r="F1285">
        <v>0.73546701669692993</v>
      </c>
      <c r="G1285">
        <v>3602.0625</v>
      </c>
      <c r="H1285">
        <v>5.9999998658895493E-2</v>
      </c>
      <c r="I1285">
        <v>34422.33984375</v>
      </c>
      <c r="J1285">
        <v>1359</v>
      </c>
    </row>
    <row r="1286" spans="1:10" x14ac:dyDescent="0.25">
      <c r="A1286">
        <v>14503</v>
      </c>
      <c r="B1286" t="str">
        <v>KG Petrochem</v>
      </c>
      <c r="C1286">
        <v>25.225038999999999</v>
      </c>
      <c r="D1286">
        <v>226.44966125488281</v>
      </c>
      <c r="E1286">
        <v>77.883209228515625</v>
      </c>
      <c r="F1286">
        <v>0.34393200278282166</v>
      </c>
      <c r="G1286">
        <v>285.57501220703125</v>
      </c>
      <c r="H1286">
        <v>0.93999999761581421</v>
      </c>
      <c r="I1286">
        <v>144.22999572753906</v>
      </c>
      <c r="J1286">
        <v>1187</v>
      </c>
    </row>
    <row r="1287" spans="1:10" x14ac:dyDescent="0.25">
      <c r="A1287">
        <v>4330</v>
      </c>
      <c r="B1287" t="str">
        <v>KIC Metaliks</v>
      </c>
      <c r="C1287">
        <v>-3.6407189999999998</v>
      </c>
      <c r="D1287">
        <v>44.386627197265625</v>
      </c>
      <c r="E1287">
        <v>9.7514362335205078</v>
      </c>
      <c r="F1287">
        <v>0.21969300508499146</v>
      </c>
      <c r="G1287">
        <v>37.319999694824219</v>
      </c>
      <c r="H1287">
        <v>0.72000002861022949</v>
      </c>
      <c r="I1287">
        <v>131.69000244140625</v>
      </c>
      <c r="J1287">
        <v>1341</v>
      </c>
    </row>
    <row r="1288" spans="1:10" x14ac:dyDescent="0.25">
      <c r="A1288">
        <v>12546</v>
      </c>
      <c r="B1288" t="str">
        <v>KIOCL</v>
      </c>
      <c r="C1288">
        <v>16.575932000000002</v>
      </c>
      <c r="D1288">
        <v>243.63458251953125</v>
      </c>
      <c r="E1288">
        <v>106.33936309814453</v>
      </c>
      <c r="F1288">
        <v>0.43647098541259766</v>
      </c>
      <c r="G1288">
        <v>286.25</v>
      </c>
      <c r="H1288">
        <v>0.18000000715255737</v>
      </c>
      <c r="I1288">
        <v>17089.9609375</v>
      </c>
      <c r="J1288">
        <v>1354</v>
      </c>
    </row>
    <row r="1289" spans="1:10" x14ac:dyDescent="0.25">
      <c r="A1289">
        <v>21318</v>
      </c>
      <c r="B1289" t="str">
        <v>KJMC Corporate</v>
      </c>
      <c r="C1289">
        <v>29.390544999999999</v>
      </c>
      <c r="D1289">
        <v>45.254631042480469</v>
      </c>
      <c r="E1289">
        <v>25.218141555786133</v>
      </c>
      <c r="F1289">
        <v>0.55725002288818359</v>
      </c>
      <c r="G1289">
        <v>83.87249755859375</v>
      </c>
      <c r="H1289">
        <v>0</v>
      </c>
      <c r="I1289">
        <v>30.819999694824219</v>
      </c>
      <c r="J1289">
        <v>979</v>
      </c>
    </row>
    <row r="1290" spans="1:10" x14ac:dyDescent="0.25">
      <c r="A1290">
        <v>4911</v>
      </c>
      <c r="B1290" t="str">
        <v>KJMC Financial</v>
      </c>
      <c r="C1290">
        <v>42.447237000000001</v>
      </c>
      <c r="D1290">
        <v>47.983097076416016</v>
      </c>
      <c r="E1290">
        <v>32.806621551513672</v>
      </c>
      <c r="F1290">
        <v>0.68371200561523438</v>
      </c>
      <c r="G1290">
        <v>93.879997253417969</v>
      </c>
      <c r="H1290">
        <v>9.0000003576278687E-2</v>
      </c>
      <c r="I1290">
        <v>44.340000152587891</v>
      </c>
      <c r="J1290">
        <v>1053</v>
      </c>
    </row>
    <row r="1291" spans="1:10" x14ac:dyDescent="0.25">
      <c r="A1291">
        <v>5228</v>
      </c>
      <c r="B1291" t="str">
        <v>KLG Capital</v>
      </c>
      <c r="C1291">
        <v>17.814035000000001</v>
      </c>
      <c r="D1291">
        <v>10.712935447692871</v>
      </c>
      <c r="E1291">
        <v>2.6747329235076904</v>
      </c>
      <c r="F1291">
        <v>0.24967299401760101</v>
      </c>
      <c r="G1291">
        <v>19.424999237060547</v>
      </c>
      <c r="H1291">
        <v>2.9999999329447746E-2</v>
      </c>
      <c r="I1291">
        <v>6.0500001907348633</v>
      </c>
      <c r="J1291">
        <v>460</v>
      </c>
    </row>
    <row r="1292" spans="1:10" x14ac:dyDescent="0.25">
      <c r="A1292">
        <v>26760</v>
      </c>
      <c r="B1292" t="str">
        <v>KM Sugar Mills</v>
      </c>
      <c r="C1292">
        <v>24.43178</v>
      </c>
      <c r="D1292">
        <v>25.724964141845703</v>
      </c>
      <c r="E1292">
        <v>10.104709625244141</v>
      </c>
      <c r="F1292">
        <v>0.39279800653457642</v>
      </c>
      <c r="G1292">
        <v>28.264999389648438</v>
      </c>
      <c r="H1292">
        <v>0.97000002861022949</v>
      </c>
      <c r="I1292">
        <v>258.98001098632813</v>
      </c>
      <c r="J1292">
        <v>1359</v>
      </c>
    </row>
    <row r="1293" spans="1:10" x14ac:dyDescent="0.25">
      <c r="A1293">
        <v>4090</v>
      </c>
      <c r="B1293" t="str">
        <v>KMC Speciality</v>
      </c>
      <c r="C1293">
        <v>28.873373999999998</v>
      </c>
      <c r="D1293">
        <v>57.426750183105469</v>
      </c>
      <c r="E1293">
        <v>24.791202545166016</v>
      </c>
      <c r="F1293">
        <v>0.43170100450515747</v>
      </c>
      <c r="G1293">
        <v>66.317497253417969</v>
      </c>
      <c r="H1293">
        <v>0.50999999046325684</v>
      </c>
      <c r="I1293">
        <v>1069.93994140625</v>
      </c>
      <c r="J1293">
        <v>1359</v>
      </c>
    </row>
    <row r="1294" spans="1:10" x14ac:dyDescent="0.25">
      <c r="A1294">
        <v>6845</v>
      </c>
      <c r="B1294" t="str">
        <v>KMF Builders</v>
      </c>
      <c r="C1294">
        <v>34.390445</v>
      </c>
      <c r="D1294">
        <v>5.7806839942932129</v>
      </c>
      <c r="E1294">
        <v>2.5269300937652588</v>
      </c>
      <c r="F1294">
        <v>0.43713301420211792</v>
      </c>
      <c r="G1294">
        <v>9.4174995422363281</v>
      </c>
      <c r="H1294">
        <v>2.9999999329447746E-2</v>
      </c>
      <c r="I1294">
        <v>11.210000038146973</v>
      </c>
      <c r="J1294">
        <v>1110</v>
      </c>
    </row>
    <row r="1295" spans="1:10" x14ac:dyDescent="0.25">
      <c r="A1295">
        <v>28334</v>
      </c>
      <c r="B1295" t="str">
        <v>KNR Construct.</v>
      </c>
      <c r="C1295">
        <v>9.5201750000000001</v>
      </c>
      <c r="D1295">
        <v>240.05186462402344</v>
      </c>
      <c r="E1295">
        <v>68.129936218261719</v>
      </c>
      <c r="F1295">
        <v>0.2838129997253418</v>
      </c>
      <c r="G1295">
        <v>209.61250305175781</v>
      </c>
      <c r="H1295">
        <v>0</v>
      </c>
      <c r="I1295">
        <v>5866.5498046875</v>
      </c>
      <c r="J1295">
        <v>1359</v>
      </c>
    </row>
    <row r="1296" spans="1:10" x14ac:dyDescent="0.25">
      <c r="A1296">
        <v>72062</v>
      </c>
      <c r="B1296" t="str">
        <v>KPIT Technologi.</v>
      </c>
      <c r="C1296">
        <v>52.974252</v>
      </c>
      <c r="D1296">
        <v>767.38519287109375</v>
      </c>
      <c r="E1296">
        <v>561.67034912109375</v>
      </c>
      <c r="F1296">
        <v>0.73192799091339111</v>
      </c>
      <c r="G1296">
        <v>1401.449951171875</v>
      </c>
      <c r="H1296">
        <v>3.9999999105930328E-2</v>
      </c>
      <c r="I1296">
        <v>38155.33984375</v>
      </c>
      <c r="J1296">
        <v>1359</v>
      </c>
    </row>
    <row r="1297" spans="1:10" x14ac:dyDescent="0.25">
      <c r="A1297">
        <v>1626</v>
      </c>
      <c r="B1297" t="str">
        <v>KPT Industries</v>
      </c>
      <c r="C1297">
        <v>53.890130999999997</v>
      </c>
      <c r="D1297">
        <v>363.63726806640625</v>
      </c>
      <c r="E1297">
        <v>338.52139282226563</v>
      </c>
      <c r="F1297">
        <v>0.93093198537826538</v>
      </c>
      <c r="G1297">
        <v>901.2874755859375</v>
      </c>
      <c r="H1297">
        <v>0.67000001668930054</v>
      </c>
      <c r="I1297">
        <v>306.04998779296875</v>
      </c>
      <c r="J1297">
        <v>1334</v>
      </c>
    </row>
    <row r="1298" spans="1:10" x14ac:dyDescent="0.25">
      <c r="A1298">
        <v>5991</v>
      </c>
      <c r="B1298" t="str">
        <v>KRBL</v>
      </c>
      <c r="C1298">
        <v>3.6415009999999999</v>
      </c>
      <c r="D1298">
        <v>292.12139892578125</v>
      </c>
      <c r="E1298">
        <v>64.523849487304688</v>
      </c>
      <c r="F1298">
        <v>0.22088000178337097</v>
      </c>
      <c r="G1298">
        <v>347.82501220703125</v>
      </c>
      <c r="H1298">
        <v>7.9999998211860657E-2</v>
      </c>
      <c r="I1298">
        <v>7902.419921875</v>
      </c>
      <c r="J1298">
        <v>1359</v>
      </c>
    </row>
    <row r="1299" spans="1:10" x14ac:dyDescent="0.25">
      <c r="A1299">
        <v>342</v>
      </c>
      <c r="B1299" t="str">
        <v>KSB</v>
      </c>
      <c r="C1299">
        <v>35.014510000000001</v>
      </c>
      <c r="D1299">
        <v>421.85043334960938</v>
      </c>
      <c r="E1299">
        <v>277.80224609375</v>
      </c>
      <c r="F1299">
        <v>0.65853297710418701</v>
      </c>
      <c r="G1299">
        <v>850.9749755859375</v>
      </c>
      <c r="H1299">
        <v>0</v>
      </c>
      <c r="I1299">
        <v>14504.4296875</v>
      </c>
      <c r="J1299">
        <v>1359</v>
      </c>
    </row>
    <row r="1300" spans="1:10" x14ac:dyDescent="0.25">
      <c r="A1300">
        <v>3849</v>
      </c>
      <c r="B1300" t="str">
        <v>KSE</v>
      </c>
      <c r="C1300">
        <v>11.407624999999999</v>
      </c>
      <c r="D1300">
        <v>1968.0040283203125</v>
      </c>
      <c r="E1300">
        <v>370.42715454101563</v>
      </c>
      <c r="F1300">
        <v>0.18822500109672546</v>
      </c>
      <c r="G1300">
        <v>2266.0498046875</v>
      </c>
      <c r="H1300">
        <v>9.0000003576278687E-2</v>
      </c>
      <c r="I1300">
        <v>719.489990234375</v>
      </c>
      <c r="J1300">
        <v>1359</v>
      </c>
    </row>
    <row r="1301" spans="1:10" x14ac:dyDescent="0.25">
      <c r="A1301">
        <v>29187</v>
      </c>
      <c r="B1301" t="str">
        <v>KSK Energy Ven.</v>
      </c>
      <c r="C1301">
        <v>2.5630069999999998</v>
      </c>
      <c r="D1301">
        <v>0.44696900248527527</v>
      </c>
      <c r="E1301">
        <v>0.1115960031747818</v>
      </c>
      <c r="F1301">
        <v>0.24967299401760101</v>
      </c>
      <c r="G1301">
        <v>0.56999999284744263</v>
      </c>
      <c r="H1301">
        <v>0.46000000834465027</v>
      </c>
      <c r="I1301">
        <v>24.170000076293945</v>
      </c>
      <c r="J1301">
        <v>240</v>
      </c>
    </row>
    <row r="1302" spans="1:10" x14ac:dyDescent="0.25">
      <c r="A1302">
        <v>7629</v>
      </c>
      <c r="B1302" t="str">
        <v>KSS</v>
      </c>
      <c r="C1302">
        <v>1.789501</v>
      </c>
      <c r="D1302">
        <v>0.22165000438690186</v>
      </c>
      <c r="E1302">
        <v>4.5795001089572906E-2</v>
      </c>
      <c r="F1302">
        <v>0.20660999417304993</v>
      </c>
      <c r="G1302">
        <v>0.19499999284744263</v>
      </c>
      <c r="H1302">
        <v>0.12999999523162842</v>
      </c>
      <c r="I1302">
        <v>40.580001831054688</v>
      </c>
      <c r="J1302">
        <v>244</v>
      </c>
    </row>
    <row r="1303" spans="1:10" x14ac:dyDescent="0.25">
      <c r="A1303">
        <v>24710</v>
      </c>
      <c r="B1303" t="str">
        <v>Kabra Commercial</v>
      </c>
      <c r="C1303">
        <v>10.633044999999999</v>
      </c>
      <c r="D1303">
        <v>20.747501373291016</v>
      </c>
      <c r="E1303">
        <v>2.7081160545349121</v>
      </c>
      <c r="F1303">
        <v>0.13052700459957123</v>
      </c>
      <c r="G1303">
        <v>25.770000457763672</v>
      </c>
      <c r="H1303">
        <v>0.62000000476837158</v>
      </c>
      <c r="I1303">
        <v>7.5799999237060547</v>
      </c>
      <c r="J1303">
        <v>12</v>
      </c>
    </row>
    <row r="1304" spans="1:10" x14ac:dyDescent="0.25">
      <c r="A1304">
        <v>1227</v>
      </c>
      <c r="B1304" t="str">
        <v>Kabra Extrusion</v>
      </c>
      <c r="C1304">
        <v>27.750299999999999</v>
      </c>
      <c r="D1304">
        <v>317.21563720703125</v>
      </c>
      <c r="E1304">
        <v>159.4610595703125</v>
      </c>
      <c r="F1304">
        <v>0.50269001722335815</v>
      </c>
      <c r="G1304">
        <v>271.70001220703125</v>
      </c>
      <c r="H1304">
        <v>0.18999999761581421</v>
      </c>
      <c r="I1304">
        <v>945.489990234375</v>
      </c>
      <c r="J1304">
        <v>1359</v>
      </c>
    </row>
    <row r="1305" spans="1:10" x14ac:dyDescent="0.25">
      <c r="A1305">
        <v>4189</v>
      </c>
      <c r="B1305" t="str">
        <v>Kabsons Industri</v>
      </c>
      <c r="C1305">
        <v>40.258032</v>
      </c>
      <c r="D1305">
        <v>14.390474319458008</v>
      </c>
      <c r="E1305">
        <v>9.8306541442871094</v>
      </c>
      <c r="F1305">
        <v>0.683135986328125</v>
      </c>
      <c r="G1305">
        <v>22.427499771118164</v>
      </c>
      <c r="H1305">
        <v>3.9999999105930328E-2</v>
      </c>
      <c r="I1305">
        <v>38.770000457763672</v>
      </c>
      <c r="J1305">
        <v>1324</v>
      </c>
    </row>
    <row r="1306" spans="1:10" x14ac:dyDescent="0.25">
      <c r="A1306">
        <v>14853</v>
      </c>
      <c r="B1306" t="str">
        <v>Kachchh Minerals</v>
      </c>
      <c r="C1306">
        <v>66.047988000000004</v>
      </c>
      <c r="D1306">
        <v>22.068008422851563</v>
      </c>
      <c r="E1306">
        <v>10.286300659179688</v>
      </c>
      <c r="F1306">
        <v>0.46611800789833069</v>
      </c>
      <c r="G1306">
        <v>43.840000152587891</v>
      </c>
      <c r="H1306">
        <v>0.2800000011920929</v>
      </c>
      <c r="I1306">
        <v>23.239999771118164</v>
      </c>
      <c r="J1306">
        <v>1175</v>
      </c>
    </row>
    <row r="1307" spans="1:10" x14ac:dyDescent="0.25">
      <c r="A1307">
        <v>918</v>
      </c>
      <c r="B1307" t="str">
        <v>Kaira Can</v>
      </c>
      <c r="C1307">
        <v>18.907229000000001</v>
      </c>
      <c r="D1307">
        <v>1919.072998046875</v>
      </c>
      <c r="E1307">
        <v>677.41351318359375</v>
      </c>
      <c r="F1307">
        <v>0.35299000144004822</v>
      </c>
      <c r="G1307">
        <v>1829.949951171875</v>
      </c>
      <c r="H1307">
        <v>0</v>
      </c>
      <c r="I1307">
        <v>168.74000549316406</v>
      </c>
      <c r="J1307">
        <v>1280</v>
      </c>
    </row>
    <row r="1308" spans="1:10" x14ac:dyDescent="0.25">
      <c r="A1308">
        <v>24820</v>
      </c>
      <c r="B1308" t="str">
        <v>Kairosoft AI</v>
      </c>
      <c r="C1308">
        <v>36.472386</v>
      </c>
      <c r="D1308">
        <v>108.77628326416016</v>
      </c>
      <c r="E1308">
        <v>76.954704284667969</v>
      </c>
      <c r="F1308">
        <v>0.7074580192565918</v>
      </c>
      <c r="G1308">
        <v>197.60000610351563</v>
      </c>
      <c r="H1308">
        <v>0</v>
      </c>
      <c r="I1308">
        <v>23.379999160766602</v>
      </c>
      <c r="J1308">
        <v>1221</v>
      </c>
    </row>
    <row r="1309" spans="1:10" x14ac:dyDescent="0.25">
      <c r="A1309">
        <v>7201</v>
      </c>
      <c r="B1309" t="str">
        <v>Kaiser Corporat.</v>
      </c>
      <c r="C1309">
        <v>33.725842999999998</v>
      </c>
      <c r="D1309">
        <v>26.396442413330078</v>
      </c>
      <c r="E1309">
        <v>27.15440559387207</v>
      </c>
      <c r="F1309">
        <v>1.0287150144577026</v>
      </c>
      <c r="G1309">
        <v>7.4675002098083496</v>
      </c>
      <c r="H1309">
        <v>0</v>
      </c>
      <c r="I1309">
        <v>41.200000762939453</v>
      </c>
      <c r="J1309">
        <v>964</v>
      </c>
    </row>
    <row r="1310" spans="1:10" x14ac:dyDescent="0.25">
      <c r="A1310">
        <v>44323</v>
      </c>
      <c r="B1310" t="str">
        <v>Kaizen Agro</v>
      </c>
      <c r="C1310">
        <v>9.9600159999999995</v>
      </c>
      <c r="D1310">
        <v>10.515864372253418</v>
      </c>
      <c r="E1310">
        <v>6.0908122062683105</v>
      </c>
      <c r="F1310">
        <v>0.57920199632644653</v>
      </c>
      <c r="G1310">
        <v>14.569999694824219</v>
      </c>
      <c r="H1310">
        <v>0</v>
      </c>
      <c r="I1310">
        <v>73.010002136230469</v>
      </c>
      <c r="J1310">
        <v>1071</v>
      </c>
    </row>
    <row r="1311" spans="1:10" x14ac:dyDescent="0.25">
      <c r="A1311">
        <v>1129</v>
      </c>
      <c r="B1311" t="str">
        <v>Kajaria Ceramics</v>
      </c>
      <c r="C1311">
        <v>12.389198</v>
      </c>
      <c r="D1311">
        <v>1023.8423461914063</v>
      </c>
      <c r="E1311">
        <v>306.7012939453125</v>
      </c>
      <c r="F1311">
        <v>0.29955899715423584</v>
      </c>
      <c r="G1311">
        <v>1022.8125</v>
      </c>
      <c r="H1311">
        <v>3.9999999105930328E-2</v>
      </c>
      <c r="I1311">
        <v>16239.400390625</v>
      </c>
      <c r="J1311">
        <v>1359</v>
      </c>
    </row>
    <row r="1312" spans="1:10" x14ac:dyDescent="0.25">
      <c r="A1312">
        <v>1861</v>
      </c>
      <c r="B1312" t="str">
        <v>Kakatiya Cement</v>
      </c>
      <c r="C1312">
        <v>-1.244861</v>
      </c>
      <c r="D1312">
        <v>203.01773071289063</v>
      </c>
      <c r="E1312">
        <v>37.091747283935547</v>
      </c>
      <c r="F1312">
        <v>0.18270200490951538</v>
      </c>
      <c r="G1312">
        <v>154.39999389648438</v>
      </c>
      <c r="H1312">
        <v>0.38999998569488525</v>
      </c>
      <c r="I1312">
        <v>116.61000061035156</v>
      </c>
      <c r="J1312">
        <v>1357</v>
      </c>
    </row>
    <row r="1313" spans="1:10" x14ac:dyDescent="0.25">
      <c r="A1313">
        <v>2887</v>
      </c>
      <c r="B1313" t="str">
        <v>Kakatiya Textile</v>
      </c>
      <c r="C1313">
        <v>32.991567000000003</v>
      </c>
      <c r="D1313">
        <v>23.032127380371094</v>
      </c>
      <c r="E1313">
        <v>16.722492218017578</v>
      </c>
      <c r="F1313">
        <v>0.7260509729385376</v>
      </c>
      <c r="G1313">
        <v>19.215000152587891</v>
      </c>
      <c r="H1313">
        <v>0</v>
      </c>
      <c r="I1313">
        <v>11.109999656677246</v>
      </c>
      <c r="J1313">
        <v>1020</v>
      </c>
    </row>
    <row r="1314" spans="1:10" x14ac:dyDescent="0.25">
      <c r="A1314">
        <v>4518</v>
      </c>
      <c r="B1314" t="str">
        <v>Kalpataru Proj.</v>
      </c>
      <c r="C1314">
        <v>19.742079</v>
      </c>
      <c r="D1314">
        <v>606.11053466796875</v>
      </c>
      <c r="E1314">
        <v>343.8568115234375</v>
      </c>
      <c r="F1314">
        <v>0.56731700897216797</v>
      </c>
      <c r="G1314">
        <v>1190.60009765625</v>
      </c>
      <c r="H1314">
        <v>0.52999997138977051</v>
      </c>
      <c r="I1314">
        <v>20344.130859375</v>
      </c>
      <c r="J1314">
        <v>1359</v>
      </c>
    </row>
    <row r="1315" spans="1:10" x14ac:dyDescent="0.25">
      <c r="A1315">
        <v>3464</v>
      </c>
      <c r="B1315" t="str">
        <v>Kalyani Forge</v>
      </c>
      <c r="C1315">
        <v>27.809595999999999</v>
      </c>
      <c r="D1315">
        <v>308.68612670898438</v>
      </c>
      <c r="E1315">
        <v>175.55429077148438</v>
      </c>
      <c r="F1315">
        <v>0.56871497631072998</v>
      </c>
      <c r="G1315">
        <v>724.9124755859375</v>
      </c>
      <c r="H1315">
        <v>0.62000000476837158</v>
      </c>
      <c r="I1315">
        <v>265.67001342773438</v>
      </c>
      <c r="J1315">
        <v>1242</v>
      </c>
    </row>
    <row r="1316" spans="1:10" x14ac:dyDescent="0.25">
      <c r="A1316">
        <v>36017</v>
      </c>
      <c r="B1316" t="str">
        <v>Kalyani Invest.</v>
      </c>
      <c r="C1316">
        <v>19.311354000000001</v>
      </c>
      <c r="D1316">
        <v>2670.200927734375</v>
      </c>
      <c r="E1316">
        <v>1611.1927490234375</v>
      </c>
      <c r="F1316">
        <v>0.60339802503585815</v>
      </c>
      <c r="G1316">
        <v>5059.8125</v>
      </c>
      <c r="H1316">
        <v>0</v>
      </c>
      <c r="I1316">
        <v>2170.449951171875</v>
      </c>
      <c r="J1316">
        <v>1344</v>
      </c>
    </row>
    <row r="1317" spans="1:10" x14ac:dyDescent="0.25">
      <c r="A1317">
        <v>322</v>
      </c>
      <c r="B1317" t="str">
        <v>Kalyani Steels</v>
      </c>
      <c r="C1317">
        <v>23.389330000000001</v>
      </c>
      <c r="D1317">
        <v>456.72784423828125</v>
      </c>
      <c r="E1317">
        <v>249.38142395019531</v>
      </c>
      <c r="F1317">
        <v>0.54601800441741943</v>
      </c>
      <c r="G1317">
        <v>874.2750244140625</v>
      </c>
      <c r="H1317">
        <v>0.34999999403953552</v>
      </c>
      <c r="I1317">
        <v>3763.989990234375</v>
      </c>
      <c r="J1317">
        <v>1359</v>
      </c>
    </row>
    <row r="1318" spans="1:10" x14ac:dyDescent="0.25">
      <c r="A1318">
        <v>22895</v>
      </c>
      <c r="B1318" t="str">
        <v>Kama Holdings</v>
      </c>
      <c r="C1318">
        <v>16.971233999999999</v>
      </c>
      <c r="D1318">
        <v>2101.71435546875</v>
      </c>
      <c r="E1318">
        <v>685.67645263671875</v>
      </c>
      <c r="F1318">
        <v>0.3262459933757782</v>
      </c>
      <c r="G1318">
        <v>2846.1875</v>
      </c>
      <c r="H1318">
        <v>0</v>
      </c>
      <c r="I1318">
        <v>9161.2197265625</v>
      </c>
      <c r="J1318">
        <v>1357</v>
      </c>
    </row>
    <row r="1319" spans="1:10" x14ac:dyDescent="0.25">
      <c r="A1319">
        <v>1579</v>
      </c>
      <c r="B1319" t="str">
        <v>Kamanwala Housin</v>
      </c>
      <c r="C1319">
        <v>27.786376000000001</v>
      </c>
      <c r="D1319">
        <v>11.024365425109863</v>
      </c>
      <c r="E1319">
        <v>4.545867919921875</v>
      </c>
      <c r="F1319">
        <v>0.41234698891639709</v>
      </c>
      <c r="G1319">
        <v>20.989999771118164</v>
      </c>
      <c r="H1319">
        <v>1.9999999552965164E-2</v>
      </c>
      <c r="I1319">
        <v>29.569999694824219</v>
      </c>
      <c r="J1319">
        <v>1280</v>
      </c>
    </row>
    <row r="1320" spans="1:10" x14ac:dyDescent="0.25">
      <c r="A1320">
        <v>4354</v>
      </c>
      <c r="B1320" t="str">
        <v>Kamat Hotels</v>
      </c>
      <c r="C1320">
        <v>36.049477000000003</v>
      </c>
      <c r="D1320">
        <v>128.10191345214844</v>
      </c>
      <c r="E1320">
        <v>95.016654968261719</v>
      </c>
      <c r="F1320">
        <v>0.74172699451446533</v>
      </c>
      <c r="G1320">
        <v>229.42500305175781</v>
      </c>
      <c r="H1320">
        <v>0.9100000262260437</v>
      </c>
      <c r="I1320">
        <v>666.25</v>
      </c>
      <c r="J1320">
        <v>1359</v>
      </c>
    </row>
    <row r="1321" spans="1:10" x14ac:dyDescent="0.25">
      <c r="A1321">
        <v>16825</v>
      </c>
      <c r="B1321" t="str">
        <v>Kamdhenu</v>
      </c>
      <c r="C1321">
        <v>21.942830000000001</v>
      </c>
      <c r="D1321">
        <v>26.947055816650391</v>
      </c>
      <c r="E1321">
        <v>15.680241584777832</v>
      </c>
      <c r="F1321">
        <v>0.58189100027084351</v>
      </c>
      <c r="G1321">
        <v>30.957500457763672</v>
      </c>
      <c r="H1321">
        <v>1.9999999552965164E-2</v>
      </c>
      <c r="I1321">
        <v>855.969970703125</v>
      </c>
      <c r="J1321">
        <v>1358</v>
      </c>
    </row>
    <row r="1322" spans="1:10" x14ac:dyDescent="0.25">
      <c r="A1322">
        <v>7045</v>
      </c>
      <c r="B1322" t="str">
        <v>Kanani Industrie</v>
      </c>
      <c r="C1322">
        <v>-3.6277750000000002</v>
      </c>
      <c r="D1322">
        <v>4.277918815612793</v>
      </c>
      <c r="E1322">
        <v>2.9020709991455078</v>
      </c>
      <c r="F1322">
        <v>0.67838400602340698</v>
      </c>
      <c r="G1322">
        <v>2.130000114440918</v>
      </c>
      <c r="H1322">
        <v>0.41999998688697815</v>
      </c>
      <c r="I1322">
        <v>42.740001678466797</v>
      </c>
      <c r="J1322">
        <v>1218</v>
      </c>
    </row>
    <row r="1323" spans="1:10" x14ac:dyDescent="0.25">
      <c r="A1323">
        <v>6357</v>
      </c>
      <c r="B1323" t="str">
        <v>Kanchi Karpooram</v>
      </c>
      <c r="C1323">
        <v>8.5496809999999996</v>
      </c>
      <c r="D1323">
        <v>543.79705810546875</v>
      </c>
      <c r="E1323">
        <v>218.84141540527344</v>
      </c>
      <c r="F1323">
        <v>0.40243199467658997</v>
      </c>
      <c r="G1323">
        <v>430.38751220703125</v>
      </c>
      <c r="H1323">
        <v>0</v>
      </c>
      <c r="I1323">
        <v>185.07000732421875</v>
      </c>
      <c r="J1323">
        <v>1359</v>
      </c>
    </row>
    <row r="1324" spans="1:10" x14ac:dyDescent="0.25">
      <c r="A1324">
        <v>41310</v>
      </c>
      <c r="B1324" t="str">
        <v>Kanco Tea</v>
      </c>
      <c r="C1324">
        <v>14.577327</v>
      </c>
      <c r="D1324">
        <v>69.618179321289063</v>
      </c>
      <c r="E1324">
        <v>19.416469573974609</v>
      </c>
      <c r="F1324">
        <v>0.27889901399612427</v>
      </c>
      <c r="G1324">
        <v>70.589996337890625</v>
      </c>
      <c r="H1324">
        <v>0.69999998807907104</v>
      </c>
      <c r="I1324">
        <v>35.080001831054688</v>
      </c>
      <c r="J1324">
        <v>1310</v>
      </c>
    </row>
    <row r="1325" spans="1:10" x14ac:dyDescent="0.25">
      <c r="A1325">
        <v>4631</v>
      </c>
      <c r="B1325" t="str">
        <v>Kandagiri Spinng</v>
      </c>
      <c r="C1325">
        <v>47.006449000000003</v>
      </c>
      <c r="D1325">
        <v>20.373937606811523</v>
      </c>
      <c r="E1325">
        <v>7.7841811180114746</v>
      </c>
      <c r="F1325">
        <v>0.38206601142883301</v>
      </c>
      <c r="G1325">
        <v>42.569999694824219</v>
      </c>
      <c r="H1325">
        <v>0</v>
      </c>
      <c r="I1325">
        <v>16.389999389648438</v>
      </c>
      <c r="J1325">
        <v>694</v>
      </c>
    </row>
    <row r="1326" spans="1:10" x14ac:dyDescent="0.25">
      <c r="A1326">
        <v>3695</v>
      </c>
      <c r="B1326" t="str">
        <v>Kanel Indust.</v>
      </c>
      <c r="C1326">
        <v>26.229127999999999</v>
      </c>
      <c r="D1326">
        <v>2.1503729820251465</v>
      </c>
      <c r="E1326">
        <v>1.3363679647445679</v>
      </c>
      <c r="F1326">
        <v>0.62145900726318359</v>
      </c>
      <c r="G1326">
        <v>2.25</v>
      </c>
      <c r="H1326">
        <v>0</v>
      </c>
      <c r="I1326">
        <v>4.1399998664855957</v>
      </c>
      <c r="J1326">
        <v>978</v>
      </c>
    </row>
    <row r="1327" spans="1:10" x14ac:dyDescent="0.25">
      <c r="A1327">
        <v>3095</v>
      </c>
      <c r="B1327" t="str">
        <v>Kanishk Steel</v>
      </c>
      <c r="C1327">
        <v>30.841422999999999</v>
      </c>
      <c r="D1327">
        <v>26.368576049804688</v>
      </c>
      <c r="E1327">
        <v>9.8223743438720703</v>
      </c>
      <c r="F1327">
        <v>0.37250301241874695</v>
      </c>
      <c r="G1327">
        <v>46.707500457763672</v>
      </c>
      <c r="H1327">
        <v>0.56000000238418579</v>
      </c>
      <c r="I1327">
        <v>132.69999694824219</v>
      </c>
      <c r="J1327">
        <v>1238</v>
      </c>
    </row>
    <row r="1328" spans="1:10" x14ac:dyDescent="0.25">
      <c r="A1328">
        <v>743</v>
      </c>
      <c r="B1328" t="str">
        <v>Kanoria Chem.</v>
      </c>
      <c r="C1328">
        <v>15.193925999999999</v>
      </c>
      <c r="D1328">
        <v>110.30911254882813</v>
      </c>
      <c r="E1328">
        <v>42.341697692871094</v>
      </c>
      <c r="F1328">
        <v>0.38384601473808289</v>
      </c>
      <c r="G1328">
        <v>93.754997253417969</v>
      </c>
      <c r="H1328">
        <v>0.20999999344348907</v>
      </c>
      <c r="I1328">
        <v>407.760009765625</v>
      </c>
      <c r="J1328">
        <v>1357</v>
      </c>
    </row>
    <row r="1329" spans="1:10" x14ac:dyDescent="0.25">
      <c r="A1329">
        <v>200</v>
      </c>
      <c r="B1329" t="str">
        <v>Kansai Nerolac</v>
      </c>
      <c r="C1329">
        <v>-6.4934229999999999</v>
      </c>
      <c r="D1329">
        <v>314.529541015625</v>
      </c>
      <c r="E1329">
        <v>51.238971710205078</v>
      </c>
      <c r="F1329">
        <v>0.16290700435638428</v>
      </c>
      <c r="G1329">
        <v>242.26249694824219</v>
      </c>
      <c r="H1329">
        <v>2.9999999329447746E-2</v>
      </c>
      <c r="I1329">
        <v>19484.630859375</v>
      </c>
      <c r="J1329">
        <v>1359</v>
      </c>
    </row>
    <row r="1330" spans="1:10" x14ac:dyDescent="0.25">
      <c r="A1330">
        <v>2250</v>
      </c>
      <c r="B1330" t="str">
        <v>Kapil Cotex</v>
      </c>
      <c r="C1330">
        <v>39.340293000000003</v>
      </c>
      <c r="D1330">
        <v>119.61629486083984</v>
      </c>
      <c r="E1330">
        <v>78.128593444824219</v>
      </c>
      <c r="F1330">
        <v>0.6531599760055542</v>
      </c>
      <c r="G1330">
        <v>178.10000610351563</v>
      </c>
      <c r="H1330">
        <v>0</v>
      </c>
      <c r="I1330">
        <v>34.090000152587891</v>
      </c>
      <c r="J1330">
        <v>571</v>
      </c>
    </row>
    <row r="1331" spans="1:10" x14ac:dyDescent="0.25">
      <c r="A1331">
        <v>67660</v>
      </c>
      <c r="B1331" t="str">
        <v>Kapil Raj Financ</v>
      </c>
      <c r="C1331">
        <v>48.230967999999997</v>
      </c>
      <c r="D1331">
        <v>2.2130250930786133</v>
      </c>
      <c r="E1331">
        <v>1.908642053604126</v>
      </c>
      <c r="F1331">
        <v>0.8624579906463623</v>
      </c>
      <c r="G1331">
        <v>5.2950000762939453</v>
      </c>
      <c r="H1331">
        <v>9.9999997764825821E-3</v>
      </c>
      <c r="I1331">
        <v>56.450000762939453</v>
      </c>
      <c r="J1331">
        <v>971</v>
      </c>
    </row>
    <row r="1332" spans="1:10" x14ac:dyDescent="0.25">
      <c r="A1332">
        <v>39082</v>
      </c>
      <c r="B1332" t="str">
        <v>Karma Energy Ltd</v>
      </c>
      <c r="C1332">
        <v>32.127558000000001</v>
      </c>
      <c r="D1332">
        <v>39.237834930419922</v>
      </c>
      <c r="E1332">
        <v>24.135229110717773</v>
      </c>
      <c r="F1332">
        <v>0.61510097980499268</v>
      </c>
      <c r="G1332">
        <v>77.220001220703125</v>
      </c>
      <c r="H1332">
        <v>0.10000000149011612</v>
      </c>
      <c r="I1332">
        <v>88.120002746582031</v>
      </c>
      <c r="J1332">
        <v>1257</v>
      </c>
    </row>
    <row r="1333" spans="1:10" x14ac:dyDescent="0.25">
      <c r="A1333">
        <v>5860</v>
      </c>
      <c r="B1333" t="str">
        <v>Karnataka Bank</v>
      </c>
      <c r="C1333">
        <v>21.055637999999998</v>
      </c>
      <c r="D1333">
        <v>127.05215454101563</v>
      </c>
      <c r="E1333">
        <v>74.670738220214844</v>
      </c>
      <c r="F1333">
        <v>0.58771699666976929</v>
      </c>
      <c r="G1333">
        <v>201.83749389648438</v>
      </c>
      <c r="H1333">
        <v>0</v>
      </c>
      <c r="I1333">
        <v>7553.7001953125</v>
      </c>
      <c r="J1333">
        <v>1359</v>
      </c>
    </row>
    <row r="1334" spans="1:10" x14ac:dyDescent="0.25">
      <c r="A1334">
        <v>2722</v>
      </c>
      <c r="B1334" t="str">
        <v>Karur Vysya Bank</v>
      </c>
      <c r="C1334">
        <v>26.515394000000001</v>
      </c>
      <c r="D1334">
        <v>105.98084259033203</v>
      </c>
      <c r="E1334">
        <v>70.205741882324219</v>
      </c>
      <c r="F1334">
        <v>0.66243797540664673</v>
      </c>
      <c r="G1334">
        <v>245.21249389648438</v>
      </c>
      <c r="H1334">
        <v>0</v>
      </c>
      <c r="I1334">
        <v>19587.380859375</v>
      </c>
      <c r="J1334">
        <v>1359</v>
      </c>
    </row>
    <row r="1335" spans="1:10" x14ac:dyDescent="0.25">
      <c r="A1335">
        <v>6733</v>
      </c>
      <c r="B1335" t="str">
        <v>Karuturi Global</v>
      </c>
      <c r="C1335">
        <v>-24.081306000000001</v>
      </c>
      <c r="D1335">
        <v>0.2981249988079071</v>
      </c>
      <c r="E1335">
        <v>7.6512999832630157E-2</v>
      </c>
      <c r="F1335">
        <v>0.25664600729942322</v>
      </c>
      <c r="G1335">
        <v>0.23999999463558197</v>
      </c>
      <c r="H1335">
        <v>5.000000074505806E-2</v>
      </c>
      <c r="I1335">
        <v>35.939998626708984</v>
      </c>
      <c r="J1335">
        <v>320</v>
      </c>
    </row>
    <row r="1336" spans="1:10" x14ac:dyDescent="0.25">
      <c r="A1336">
        <v>1759</v>
      </c>
      <c r="B1336" t="str">
        <v>Katare Spinning</v>
      </c>
      <c r="C1336">
        <v>35.320481000000001</v>
      </c>
      <c r="D1336">
        <v>204.80278015136719</v>
      </c>
      <c r="E1336">
        <v>110.81412506103516</v>
      </c>
      <c r="F1336">
        <v>0.54107701778411865</v>
      </c>
      <c r="G1336">
        <v>166.30000305175781</v>
      </c>
      <c r="H1336">
        <v>0.43000000715255737</v>
      </c>
      <c r="I1336">
        <v>48.020000457763672</v>
      </c>
      <c r="J1336">
        <v>1045</v>
      </c>
    </row>
    <row r="1337" spans="1:10" x14ac:dyDescent="0.25">
      <c r="A1337">
        <v>27696</v>
      </c>
      <c r="B1337" t="str">
        <v>Kaushalya Infra.</v>
      </c>
      <c r="C1337">
        <v>59.472968000000002</v>
      </c>
      <c r="D1337">
        <v>497.99661254882813</v>
      </c>
      <c r="E1337">
        <v>302.37789916992188</v>
      </c>
      <c r="F1337">
        <v>0.60718899965286255</v>
      </c>
      <c r="G1337">
        <v>908.76251220703125</v>
      </c>
      <c r="H1337">
        <v>0.54000002145767212</v>
      </c>
      <c r="I1337">
        <v>31.309999465942383</v>
      </c>
      <c r="J1337">
        <v>1273</v>
      </c>
    </row>
    <row r="1338" spans="1:10" x14ac:dyDescent="0.25">
      <c r="A1338">
        <v>18203</v>
      </c>
      <c r="B1338" t="str">
        <v>Kavveri Telecom</v>
      </c>
      <c r="C1338">
        <v>56.814619</v>
      </c>
      <c r="D1338">
        <v>18.64851188659668</v>
      </c>
      <c r="E1338">
        <v>16.471590042114258</v>
      </c>
      <c r="F1338">
        <v>0.88326597213745117</v>
      </c>
      <c r="G1338">
        <v>44.860000610351563</v>
      </c>
      <c r="H1338">
        <v>0</v>
      </c>
      <c r="I1338">
        <v>154.19999694824219</v>
      </c>
      <c r="J1338">
        <v>971</v>
      </c>
    </row>
    <row r="1339" spans="1:10" x14ac:dyDescent="0.25">
      <c r="A1339">
        <v>26579</v>
      </c>
      <c r="B1339" t="str">
        <v>Kaya Ltd</v>
      </c>
      <c r="C1339">
        <v>-1.1280030000000001</v>
      </c>
      <c r="D1339">
        <v>335.66571044921875</v>
      </c>
      <c r="E1339">
        <v>88.863548278808594</v>
      </c>
      <c r="F1339">
        <v>0.26473799347877502</v>
      </c>
      <c r="G1339">
        <v>348.02499389648438</v>
      </c>
      <c r="H1339">
        <v>0</v>
      </c>
      <c r="I1339">
        <v>455.66000366210938</v>
      </c>
      <c r="J1339">
        <v>1355</v>
      </c>
    </row>
    <row r="1340" spans="1:10" x14ac:dyDescent="0.25">
      <c r="A1340">
        <v>327</v>
      </c>
      <c r="B1340" t="str">
        <v>Kaycee Inds.</v>
      </c>
      <c r="C1340">
        <v>61.686596999999999</v>
      </c>
      <c r="D1340">
        <v>528.15411376953125</v>
      </c>
      <c r="E1340">
        <v>875.7220458984375</v>
      </c>
      <c r="F1340">
        <v>1.658079981803894</v>
      </c>
      <c r="G1340">
        <v>1597.0875244140625</v>
      </c>
      <c r="H1340">
        <v>0.20000000298023224</v>
      </c>
      <c r="I1340">
        <v>508.3599853515625</v>
      </c>
      <c r="J1340">
        <v>1224</v>
      </c>
    </row>
    <row r="1341" spans="1:10" x14ac:dyDescent="0.25">
      <c r="A1341">
        <v>1860</v>
      </c>
      <c r="B1341" t="str">
        <v>Keerthi Indus</v>
      </c>
      <c r="C1341">
        <v>7.5986159999999998</v>
      </c>
      <c r="D1341">
        <v>114.67183685302734</v>
      </c>
      <c r="E1341">
        <v>41.682201385498047</v>
      </c>
      <c r="F1341">
        <v>0.3634909987449646</v>
      </c>
      <c r="G1341">
        <v>72.800003051757813</v>
      </c>
      <c r="H1341">
        <v>0.87999999523162842</v>
      </c>
      <c r="I1341">
        <v>58.549999237060547</v>
      </c>
      <c r="J1341">
        <v>1295</v>
      </c>
    </row>
    <row r="1342" spans="1:10" x14ac:dyDescent="0.25">
      <c r="A1342">
        <v>4974</v>
      </c>
      <c r="B1342" t="str">
        <v>Kellton Tech</v>
      </c>
      <c r="C1342">
        <v>37.455162999999999</v>
      </c>
      <c r="D1342">
        <v>77.223587036132813</v>
      </c>
      <c r="E1342">
        <v>37.843494415283203</v>
      </c>
      <c r="F1342">
        <v>0.49005100131034851</v>
      </c>
      <c r="G1342">
        <v>125.78749847412109</v>
      </c>
      <c r="H1342">
        <v>0.37000000476837158</v>
      </c>
      <c r="I1342">
        <v>1203.3199462890625</v>
      </c>
      <c r="J1342">
        <v>1359</v>
      </c>
    </row>
    <row r="1343" spans="1:10" x14ac:dyDescent="0.25">
      <c r="A1343">
        <v>326</v>
      </c>
      <c r="B1343" t="str">
        <v>Keltech Energies</v>
      </c>
      <c r="C1343">
        <v>35.577537999999997</v>
      </c>
      <c r="D1343">
        <v>1572.34521484375</v>
      </c>
      <c r="E1343">
        <v>1275.614990234375</v>
      </c>
      <c r="F1343">
        <v>0.81128197908401489</v>
      </c>
      <c r="G1343">
        <v>4150</v>
      </c>
      <c r="H1343">
        <v>0.31000000238418579</v>
      </c>
      <c r="I1343">
        <v>408.70001220703125</v>
      </c>
      <c r="J1343">
        <v>1354</v>
      </c>
    </row>
    <row r="1344" spans="1:10" x14ac:dyDescent="0.25">
      <c r="A1344">
        <v>5081</v>
      </c>
      <c r="B1344" t="str">
        <v>Kemistar Corp.</v>
      </c>
      <c r="C1344">
        <v>8.6846440000000005</v>
      </c>
      <c r="D1344">
        <v>48.220199584960938</v>
      </c>
      <c r="E1344">
        <v>16.836549758911133</v>
      </c>
      <c r="F1344">
        <v>0.34915998578071594</v>
      </c>
      <c r="G1344">
        <v>72.805000305175781</v>
      </c>
      <c r="H1344">
        <v>0</v>
      </c>
      <c r="I1344">
        <v>76.519996643066406</v>
      </c>
      <c r="J1344">
        <v>1314</v>
      </c>
    </row>
    <row r="1345" spans="1:10" x14ac:dyDescent="0.25">
      <c r="A1345">
        <v>921</v>
      </c>
      <c r="B1345" t="str">
        <v>Kemp &amp; Co.</v>
      </c>
      <c r="C1345">
        <v>16.538868999999998</v>
      </c>
      <c r="D1345">
        <v>921.61212158203125</v>
      </c>
      <c r="E1345">
        <v>329.944091796875</v>
      </c>
      <c r="F1345">
        <v>0.3580079972743988</v>
      </c>
      <c r="G1345">
        <v>1348.2374267578125</v>
      </c>
      <c r="H1345">
        <v>0</v>
      </c>
      <c r="I1345">
        <v>145.6199951171875</v>
      </c>
      <c r="J1345">
        <v>573</v>
      </c>
    </row>
    <row r="1346" spans="1:10" x14ac:dyDescent="0.25">
      <c r="A1346">
        <v>610</v>
      </c>
      <c r="B1346" t="str">
        <v>Kennametal India</v>
      </c>
      <c r="C1346">
        <v>15.985205000000001</v>
      </c>
      <c r="D1346">
        <v>1957.0166015625</v>
      </c>
      <c r="E1346">
        <v>804.22344970703125</v>
      </c>
      <c r="F1346">
        <v>0.41094401478767395</v>
      </c>
      <c r="G1346">
        <v>2372.175048828125</v>
      </c>
      <c r="H1346">
        <v>0</v>
      </c>
      <c r="I1346">
        <v>5148.83984375</v>
      </c>
      <c r="J1346">
        <v>1358</v>
      </c>
    </row>
    <row r="1347" spans="1:10" x14ac:dyDescent="0.25">
      <c r="A1347">
        <v>71814</v>
      </c>
      <c r="B1347" t="str">
        <v>Kenvi Jewels</v>
      </c>
      <c r="C1347">
        <v>25.363151999999999</v>
      </c>
      <c r="D1347">
        <v>5.5195212364196777</v>
      </c>
      <c r="E1347">
        <v>2.6622979640960693</v>
      </c>
      <c r="F1347">
        <v>0.48234200477600098</v>
      </c>
      <c r="G1347">
        <v>3.3650000095367432</v>
      </c>
      <c r="H1347">
        <v>0.33000001311302185</v>
      </c>
      <c r="I1347">
        <v>41.959999084472656</v>
      </c>
      <c r="J1347">
        <v>725</v>
      </c>
    </row>
    <row r="1348" spans="1:10" x14ac:dyDescent="0.25">
      <c r="A1348">
        <v>16305</v>
      </c>
      <c r="B1348" t="str">
        <v>Kernex Microsys.</v>
      </c>
      <c r="C1348">
        <v>81.030080999999996</v>
      </c>
      <c r="D1348">
        <v>350.08328247070313</v>
      </c>
      <c r="E1348">
        <v>343.22653198242188</v>
      </c>
      <c r="F1348">
        <v>0.98041397333145142</v>
      </c>
      <c r="G1348">
        <v>1179.875</v>
      </c>
      <c r="H1348">
        <v>0.15000000596046448</v>
      </c>
      <c r="I1348">
        <v>1916.8599853515625</v>
      </c>
      <c r="J1348">
        <v>1315</v>
      </c>
    </row>
    <row r="1349" spans="1:10" x14ac:dyDescent="0.25">
      <c r="A1349">
        <v>922</v>
      </c>
      <c r="B1349" t="str">
        <v>Kesar Enterprise</v>
      </c>
      <c r="C1349">
        <v>15.635463</v>
      </c>
      <c r="D1349">
        <v>84.4461669921875</v>
      </c>
      <c r="E1349">
        <v>37.677410125732422</v>
      </c>
      <c r="F1349">
        <v>0.44617098569869995</v>
      </c>
      <c r="G1349">
        <v>77.272499084472656</v>
      </c>
      <c r="H1349">
        <v>0</v>
      </c>
      <c r="I1349">
        <v>76.889999389648438</v>
      </c>
      <c r="J1349">
        <v>1355</v>
      </c>
    </row>
    <row r="1350" spans="1:10" x14ac:dyDescent="0.25">
      <c r="A1350">
        <v>2029</v>
      </c>
      <c r="B1350" t="str">
        <v>Kesar Petroprod.</v>
      </c>
      <c r="C1350">
        <v>28.907700999999999</v>
      </c>
      <c r="D1350">
        <v>11.086557388305664</v>
      </c>
      <c r="E1350">
        <v>7.9953517913818359</v>
      </c>
      <c r="F1350">
        <v>0.72117501497268677</v>
      </c>
      <c r="G1350">
        <v>25.1875</v>
      </c>
      <c r="H1350">
        <v>0.46000000834465027</v>
      </c>
      <c r="I1350">
        <v>245.25999450683594</v>
      </c>
      <c r="J1350">
        <v>949</v>
      </c>
    </row>
    <row r="1351" spans="1:10" x14ac:dyDescent="0.25">
      <c r="A1351">
        <v>32948</v>
      </c>
      <c r="B1351" t="str">
        <v>Kesar Terminals</v>
      </c>
      <c r="C1351">
        <v>22.592587000000002</v>
      </c>
      <c r="D1351">
        <v>51.168205261230469</v>
      </c>
      <c r="E1351">
        <v>24.929105758666992</v>
      </c>
      <c r="F1351">
        <v>0.48719900846481323</v>
      </c>
      <c r="G1351">
        <v>104.71499633789063</v>
      </c>
      <c r="H1351">
        <v>0.81000000238418579</v>
      </c>
      <c r="I1351">
        <v>111.19000244140625</v>
      </c>
      <c r="J1351">
        <v>1329</v>
      </c>
    </row>
    <row r="1352" spans="1:10" x14ac:dyDescent="0.25">
      <c r="A1352">
        <v>27266</v>
      </c>
      <c r="B1352" t="str">
        <v>Kewal Kir.Cloth.</v>
      </c>
      <c r="C1352">
        <v>15.93843</v>
      </c>
      <c r="D1352">
        <v>401.92593383789063</v>
      </c>
      <c r="E1352">
        <v>219.08056640625</v>
      </c>
      <c r="F1352">
        <v>0.54507702589035034</v>
      </c>
      <c r="G1352">
        <v>470.29998779296875</v>
      </c>
      <c r="H1352">
        <v>7.0000000298023224E-2</v>
      </c>
      <c r="I1352">
        <v>2959.860107421875</v>
      </c>
      <c r="J1352">
        <v>1340</v>
      </c>
    </row>
    <row r="1353" spans="1:10" x14ac:dyDescent="0.25">
      <c r="A1353">
        <v>1295</v>
      </c>
      <c r="B1353" t="str">
        <v>Key Corp</v>
      </c>
      <c r="C1353">
        <v>50.606771999999999</v>
      </c>
      <c r="D1353">
        <v>92.99505615234375</v>
      </c>
      <c r="E1353">
        <v>83.138885498046875</v>
      </c>
      <c r="F1353">
        <v>0.89401400089263916</v>
      </c>
      <c r="G1353">
        <v>128.82499694824219</v>
      </c>
      <c r="H1353">
        <v>0</v>
      </c>
      <c r="I1353">
        <v>76.199996948242188</v>
      </c>
      <c r="J1353">
        <v>1126</v>
      </c>
    </row>
    <row r="1354" spans="1:10" x14ac:dyDescent="0.25">
      <c r="A1354">
        <v>4138</v>
      </c>
      <c r="B1354" t="str">
        <v>Keynote Finan.</v>
      </c>
      <c r="C1354">
        <v>43.497219000000001</v>
      </c>
      <c r="D1354">
        <v>132.99127197265625</v>
      </c>
      <c r="E1354">
        <v>78.728141784667969</v>
      </c>
      <c r="F1354">
        <v>0.59197998046875</v>
      </c>
      <c r="G1354">
        <v>273.47500610351563</v>
      </c>
      <c r="H1354">
        <v>0</v>
      </c>
      <c r="I1354">
        <v>192.3800048828125</v>
      </c>
      <c r="J1354">
        <v>1202</v>
      </c>
    </row>
    <row r="1355" spans="1:10" x14ac:dyDescent="0.25">
      <c r="A1355">
        <v>2412</v>
      </c>
      <c r="B1355" t="str">
        <v>Khaitan (India)</v>
      </c>
      <c r="C1355">
        <v>33.348723999999997</v>
      </c>
      <c r="D1355">
        <v>61.422512054443359</v>
      </c>
      <c r="E1355">
        <v>24.177730560302734</v>
      </c>
      <c r="F1355">
        <v>0.39362999796867371</v>
      </c>
      <c r="G1355">
        <v>119.27500152587891</v>
      </c>
      <c r="H1355">
        <v>0.56999999284744263</v>
      </c>
      <c r="I1355">
        <v>57</v>
      </c>
      <c r="J1355">
        <v>928</v>
      </c>
    </row>
    <row r="1356" spans="1:10" x14ac:dyDescent="0.25">
      <c r="A1356">
        <v>7255</v>
      </c>
      <c r="B1356" t="str">
        <v>Khandwala Sec.</v>
      </c>
      <c r="C1356">
        <v>6.3385249999999997</v>
      </c>
      <c r="D1356">
        <v>24.095197677612305</v>
      </c>
      <c r="E1356">
        <v>7.9047660827636719</v>
      </c>
      <c r="F1356">
        <v>0.32806399464607239</v>
      </c>
      <c r="G1356">
        <v>23.545000076293945</v>
      </c>
      <c r="H1356">
        <v>7.0000000298023224E-2</v>
      </c>
      <c r="I1356">
        <v>35.400001525878906</v>
      </c>
      <c r="J1356">
        <v>1227</v>
      </c>
    </row>
    <row r="1357" spans="1:10" x14ac:dyDescent="0.25">
      <c r="A1357">
        <v>818</v>
      </c>
      <c r="B1357" t="str">
        <v>Khoday India</v>
      </c>
      <c r="C1357">
        <v>12.712657999999999</v>
      </c>
      <c r="D1357">
        <v>73.998306274414063</v>
      </c>
      <c r="E1357">
        <v>13.040566444396973</v>
      </c>
      <c r="F1357">
        <v>0.17622800171375275</v>
      </c>
      <c r="G1357">
        <v>111</v>
      </c>
      <c r="H1357">
        <v>0</v>
      </c>
      <c r="I1357">
        <v>391.29998779296875</v>
      </c>
      <c r="J1357">
        <v>829</v>
      </c>
    </row>
    <row r="1358" spans="1:10" x14ac:dyDescent="0.25">
      <c r="A1358">
        <v>27831</v>
      </c>
      <c r="B1358" t="str">
        <v>Khoobsurat Ltd</v>
      </c>
      <c r="C1358">
        <v>25.329661000000002</v>
      </c>
      <c r="D1358">
        <v>0.92598098516464233</v>
      </c>
      <c r="E1358">
        <v>0.62052398920059204</v>
      </c>
      <c r="F1358">
        <v>0.67012602090835571</v>
      </c>
      <c r="G1358">
        <v>0.57499998807907104</v>
      </c>
      <c r="H1358">
        <v>7.0000000298023224E-2</v>
      </c>
      <c r="I1358">
        <v>26.809999465942383</v>
      </c>
      <c r="J1358">
        <v>1160</v>
      </c>
    </row>
    <row r="1359" spans="1:10" x14ac:dyDescent="0.25">
      <c r="A1359">
        <v>5230</v>
      </c>
      <c r="B1359" t="str">
        <v>Khyati Multimed.</v>
      </c>
      <c r="C1359">
        <v>40.404400000000003</v>
      </c>
      <c r="D1359">
        <v>2.0786190032958984</v>
      </c>
      <c r="E1359">
        <v>1.5474720001220703</v>
      </c>
      <c r="F1359">
        <v>0.74447101354598999</v>
      </c>
      <c r="G1359">
        <v>4.1075000762939453</v>
      </c>
      <c r="H1359">
        <v>0.46000000834465027</v>
      </c>
      <c r="I1359">
        <v>4.5799999237060547</v>
      </c>
      <c r="J1359">
        <v>601</v>
      </c>
    </row>
    <row r="1360" spans="1:10" x14ac:dyDescent="0.25">
      <c r="A1360">
        <v>6522</v>
      </c>
      <c r="B1360" t="str">
        <v>Kiduja India</v>
      </c>
      <c r="C1360">
        <v>37.990504999999999</v>
      </c>
      <c r="D1360">
        <v>17.381134033203125</v>
      </c>
      <c r="E1360">
        <v>12.978325843811035</v>
      </c>
      <c r="F1360">
        <v>0.74668997526168823</v>
      </c>
      <c r="G1360">
        <v>19.799999237060547</v>
      </c>
      <c r="H1360">
        <v>0</v>
      </c>
      <c r="I1360">
        <v>47.040000915527344</v>
      </c>
      <c r="J1360">
        <v>996</v>
      </c>
    </row>
    <row r="1361" spans="1:10" x14ac:dyDescent="0.25">
      <c r="A1361">
        <v>1844</v>
      </c>
      <c r="B1361" t="str">
        <v>Kilburn Engg.</v>
      </c>
      <c r="C1361">
        <v>55.194566999999999</v>
      </c>
      <c r="D1361">
        <v>152.29830932617188</v>
      </c>
      <c r="E1361">
        <v>161.47987365722656</v>
      </c>
      <c r="F1361">
        <v>1.0602869987487793</v>
      </c>
      <c r="G1361">
        <v>435</v>
      </c>
      <c r="H1361">
        <v>0.38999998569488525</v>
      </c>
      <c r="I1361">
        <v>2113.340087890625</v>
      </c>
      <c r="J1361">
        <v>1357</v>
      </c>
    </row>
    <row r="1362" spans="1:10" x14ac:dyDescent="0.25">
      <c r="A1362">
        <v>1136</v>
      </c>
      <c r="B1362" t="str">
        <v>Kilburn Off. Aut</v>
      </c>
      <c r="C1362">
        <v>-29.470835999999998</v>
      </c>
      <c r="D1362">
        <v>1.1299999952316284</v>
      </c>
      <c r="E1362">
        <v>2.5820000097155571E-2</v>
      </c>
      <c r="F1362">
        <v>2.2848999127745628E-2</v>
      </c>
      <c r="G1362">
        <v>1.1000000238418579</v>
      </c>
      <c r="H1362">
        <v>0</v>
      </c>
      <c r="I1362">
        <v>0.74000000953674316</v>
      </c>
      <c r="J1362">
        <v>10</v>
      </c>
    </row>
    <row r="1363" spans="1:10" x14ac:dyDescent="0.25">
      <c r="A1363">
        <v>3630</v>
      </c>
      <c r="B1363" t="str">
        <v>Kilitch Drugs</v>
      </c>
      <c r="C1363">
        <v>23.640937000000001</v>
      </c>
      <c r="D1363">
        <v>211.98030090332031</v>
      </c>
      <c r="E1363">
        <v>103.572998046875</v>
      </c>
      <c r="F1363">
        <v>0.48859700560569763</v>
      </c>
      <c r="G1363">
        <v>448.78750610351563</v>
      </c>
      <c r="H1363">
        <v>0.12999999523162842</v>
      </c>
      <c r="I1363">
        <v>718.8800048828125</v>
      </c>
      <c r="J1363">
        <v>1358</v>
      </c>
    </row>
    <row r="1364" spans="1:10" x14ac:dyDescent="0.25">
      <c r="A1364">
        <v>2547</v>
      </c>
      <c r="B1364" t="str">
        <v>Kingfa Science</v>
      </c>
      <c r="C1364">
        <v>30.411648</v>
      </c>
      <c r="D1364">
        <v>1548.1644287109375</v>
      </c>
      <c r="E1364">
        <v>912.6943359375</v>
      </c>
      <c r="F1364">
        <v>0.58953297138214111</v>
      </c>
      <c r="G1364">
        <v>3070.4375</v>
      </c>
      <c r="H1364">
        <v>7.0000000298023224E-2</v>
      </c>
      <c r="I1364">
        <v>3697.260009765625</v>
      </c>
      <c r="J1364">
        <v>1353</v>
      </c>
    </row>
    <row r="1365" spans="1:10" x14ac:dyDescent="0.25">
      <c r="A1365">
        <v>4919</v>
      </c>
      <c r="B1365" t="str">
        <v>Kings Infra</v>
      </c>
      <c r="C1365">
        <v>32.933872000000001</v>
      </c>
      <c r="D1365">
        <v>90.432373046875</v>
      </c>
      <c r="E1365">
        <v>57.598251342773438</v>
      </c>
      <c r="F1365">
        <v>0.6369209885597229</v>
      </c>
      <c r="G1365">
        <v>130.71249389648438</v>
      </c>
      <c r="H1365">
        <v>0.70999997854232788</v>
      </c>
      <c r="I1365">
        <v>319.05999755859375</v>
      </c>
      <c r="J1365">
        <v>1359</v>
      </c>
    </row>
    <row r="1366" spans="1:10" x14ac:dyDescent="0.25">
      <c r="A1366">
        <v>6574</v>
      </c>
      <c r="B1366" t="str">
        <v>Kiran Print Pack</v>
      </c>
      <c r="C1366">
        <v>44.462128</v>
      </c>
      <c r="D1366">
        <v>12.745208740234375</v>
      </c>
      <c r="E1366">
        <v>11.01810359954834</v>
      </c>
      <c r="F1366">
        <v>0.86448997259140015</v>
      </c>
      <c r="G1366">
        <v>36.025001525878906</v>
      </c>
      <c r="H1366">
        <v>0</v>
      </c>
      <c r="I1366">
        <v>18.459999084472656</v>
      </c>
      <c r="J1366">
        <v>861</v>
      </c>
    </row>
    <row r="1367" spans="1:10" x14ac:dyDescent="0.25">
      <c r="A1367">
        <v>43363</v>
      </c>
      <c r="B1367" t="str">
        <v>Kiran Vyapar</v>
      </c>
      <c r="C1367">
        <v>16.282374999999998</v>
      </c>
      <c r="D1367">
        <v>143.26278686523438</v>
      </c>
      <c r="E1367">
        <v>52.902172088623047</v>
      </c>
      <c r="F1367">
        <v>0.36926698684692383</v>
      </c>
      <c r="G1367">
        <v>232.60000610351563</v>
      </c>
      <c r="H1367">
        <v>0.10000000149011612</v>
      </c>
      <c r="I1367">
        <v>627.53997802734375</v>
      </c>
      <c r="J1367">
        <v>1356</v>
      </c>
    </row>
    <row r="1368" spans="1:10" x14ac:dyDescent="0.25">
      <c r="A1368">
        <v>28049</v>
      </c>
      <c r="B1368" t="str">
        <v>Kiri Industries</v>
      </c>
      <c r="C1368">
        <v>7.0587660000000003</v>
      </c>
      <c r="D1368">
        <v>436.73211669921875</v>
      </c>
      <c r="E1368">
        <v>106.6217041015625</v>
      </c>
      <c r="F1368">
        <v>0.24413500726222992</v>
      </c>
      <c r="G1368">
        <v>582.4124755859375</v>
      </c>
      <c r="H1368">
        <v>0.18999999761581421</v>
      </c>
      <c r="I1368">
        <v>3211.179931640625</v>
      </c>
      <c r="J1368">
        <v>1359</v>
      </c>
    </row>
    <row r="1369" spans="1:10" x14ac:dyDescent="0.25">
      <c r="A1369">
        <v>336</v>
      </c>
      <c r="B1369" t="str">
        <v>Kirl. Brothers</v>
      </c>
      <c r="C1369">
        <v>48.786911000000003</v>
      </c>
      <c r="D1369">
        <v>712.21295166015625</v>
      </c>
      <c r="E1369">
        <v>664.08935546875</v>
      </c>
      <c r="F1369">
        <v>0.93243098258972168</v>
      </c>
      <c r="G1369">
        <v>1809.550048828125</v>
      </c>
      <c r="H1369">
        <v>5.9999998658895493E-2</v>
      </c>
      <c r="I1369">
        <v>14311.4697265625</v>
      </c>
      <c r="J1369">
        <v>1359</v>
      </c>
    </row>
    <row r="1370" spans="1:10" x14ac:dyDescent="0.25">
      <c r="A1370">
        <v>3511</v>
      </c>
      <c r="B1370" t="str">
        <v>Kirl. Ferrous</v>
      </c>
      <c r="C1370">
        <v>42.653454000000004</v>
      </c>
      <c r="D1370">
        <v>344.79248046875</v>
      </c>
      <c r="E1370">
        <v>204.14584350585938</v>
      </c>
      <c r="F1370">
        <v>0.59208297729492188</v>
      </c>
      <c r="G1370">
        <v>579.0374755859375</v>
      </c>
      <c r="H1370">
        <v>0.34999999403953552</v>
      </c>
      <c r="I1370">
        <v>9555.2099609375</v>
      </c>
      <c r="J1370">
        <v>1359</v>
      </c>
    </row>
    <row r="1371" spans="1:10" x14ac:dyDescent="0.25">
      <c r="A1371">
        <v>318</v>
      </c>
      <c r="B1371" t="str">
        <v>Kirl.Pneumatic</v>
      </c>
      <c r="C1371">
        <v>43.235467999999997</v>
      </c>
      <c r="D1371">
        <v>594.984375</v>
      </c>
      <c r="E1371">
        <v>415.15277099609375</v>
      </c>
      <c r="F1371">
        <v>0.69775402545928955</v>
      </c>
      <c r="G1371">
        <v>1312.487548828125</v>
      </c>
      <c r="H1371">
        <v>0</v>
      </c>
      <c r="I1371">
        <v>8380.4697265625</v>
      </c>
      <c r="J1371">
        <v>1359</v>
      </c>
    </row>
    <row r="1372" spans="1:10" x14ac:dyDescent="0.25">
      <c r="A1372">
        <v>1071</v>
      </c>
      <c r="B1372" t="str">
        <v>Kirloskar Indus.</v>
      </c>
      <c r="C1372">
        <v>33.161081000000003</v>
      </c>
      <c r="D1372">
        <v>2426.01806640625</v>
      </c>
      <c r="E1372">
        <v>1582.0821533203125</v>
      </c>
      <c r="F1372">
        <v>0.65213102102279663</v>
      </c>
      <c r="G1372">
        <v>3579.9248046875</v>
      </c>
      <c r="H1372">
        <v>0</v>
      </c>
      <c r="I1372">
        <v>3692.219970703125</v>
      </c>
      <c r="J1372">
        <v>1350</v>
      </c>
    </row>
    <row r="1373" spans="1:10" x14ac:dyDescent="0.25">
      <c r="A1373">
        <v>33444</v>
      </c>
      <c r="B1373" t="str">
        <v>Kirloskar Oil</v>
      </c>
      <c r="C1373">
        <v>33.202727000000003</v>
      </c>
      <c r="D1373">
        <v>439.87289428710938</v>
      </c>
      <c r="E1373">
        <v>374.237548828125</v>
      </c>
      <c r="F1373">
        <v>0.85078597068786621</v>
      </c>
      <c r="G1373">
        <v>846.4000244140625</v>
      </c>
      <c r="H1373">
        <v>5.9999998658895493E-2</v>
      </c>
      <c r="I1373">
        <v>12133.8798828125</v>
      </c>
      <c r="J1373">
        <v>1359</v>
      </c>
    </row>
    <row r="1374" spans="1:10" x14ac:dyDescent="0.25">
      <c r="A1374">
        <v>2917</v>
      </c>
      <c r="B1374" t="str">
        <v>Kisaan Parivar</v>
      </c>
      <c r="C1374">
        <v>52.716642999999998</v>
      </c>
      <c r="D1374">
        <v>14.991621971130371</v>
      </c>
      <c r="E1374">
        <v>21.776460647583008</v>
      </c>
      <c r="F1374">
        <v>1.4525749683380127</v>
      </c>
      <c r="G1374">
        <v>28.232500076293945</v>
      </c>
      <c r="H1374">
        <v>0</v>
      </c>
      <c r="I1374">
        <v>25.049999237060547</v>
      </c>
      <c r="J1374">
        <v>965</v>
      </c>
    </row>
    <row r="1375" spans="1:10" x14ac:dyDescent="0.25">
      <c r="A1375">
        <v>4621</v>
      </c>
      <c r="B1375" t="str">
        <v>Kitex Garments</v>
      </c>
      <c r="C1375">
        <v>37.104478999999998</v>
      </c>
      <c r="D1375">
        <v>81.029838562011719</v>
      </c>
      <c r="E1375">
        <v>60.351375579833984</v>
      </c>
      <c r="F1375">
        <v>0.7448040246963501</v>
      </c>
      <c r="G1375">
        <v>259.95001220703125</v>
      </c>
      <c r="H1375">
        <v>5.000000074505806E-2</v>
      </c>
      <c r="I1375">
        <v>5035.3798828125</v>
      </c>
      <c r="J1375">
        <v>1359</v>
      </c>
    </row>
    <row r="1376" spans="1:10" x14ac:dyDescent="0.25">
      <c r="A1376">
        <v>6012</v>
      </c>
      <c r="B1376" t="str">
        <v>Kobo Biotech</v>
      </c>
      <c r="C1376">
        <v>-5.1878120000000001</v>
      </c>
      <c r="D1376">
        <v>4.4220800399780273</v>
      </c>
      <c r="E1376">
        <v>1.6775219440460205</v>
      </c>
      <c r="F1376">
        <v>0.37935099005699158</v>
      </c>
      <c r="G1376">
        <v>2.5174999237060547</v>
      </c>
      <c r="H1376">
        <v>0</v>
      </c>
      <c r="I1376">
        <v>6</v>
      </c>
      <c r="J1376">
        <v>1249</v>
      </c>
    </row>
    <row r="1377" spans="1:10" x14ac:dyDescent="0.25">
      <c r="A1377">
        <v>3537</v>
      </c>
      <c r="B1377" t="str">
        <v>Kohinoor Foods</v>
      </c>
      <c r="C1377">
        <v>25.269022</v>
      </c>
      <c r="D1377">
        <v>37.530094146728516</v>
      </c>
      <c r="E1377">
        <v>20.675888061523438</v>
      </c>
      <c r="F1377">
        <v>0.55091500282287598</v>
      </c>
      <c r="G1377">
        <v>35.462501525878906</v>
      </c>
      <c r="H1377">
        <v>0</v>
      </c>
      <c r="I1377">
        <v>127.75</v>
      </c>
      <c r="J1377">
        <v>1023</v>
      </c>
    </row>
    <row r="1378" spans="1:10" x14ac:dyDescent="0.25">
      <c r="A1378">
        <v>1097</v>
      </c>
      <c r="B1378" t="str">
        <v>Kokuyo Camlin</v>
      </c>
      <c r="C1378">
        <v>8.0770499999999998</v>
      </c>
      <c r="D1378">
        <v>94.105148315429688</v>
      </c>
      <c r="E1378">
        <v>40.249355316162109</v>
      </c>
      <c r="F1378">
        <v>0.42770600318908691</v>
      </c>
      <c r="G1378">
        <v>128.61250305175781</v>
      </c>
      <c r="H1378">
        <v>0.23999999463558197</v>
      </c>
      <c r="I1378">
        <v>1258.31005859375</v>
      </c>
      <c r="J1378">
        <v>1359</v>
      </c>
    </row>
    <row r="1379" spans="1:10" x14ac:dyDescent="0.25">
      <c r="A1379">
        <v>7515</v>
      </c>
      <c r="B1379" t="str">
        <v>Kome-on Commun.</v>
      </c>
      <c r="C1379">
        <v>12.762180000000001</v>
      </c>
      <c r="D1379">
        <v>2.6871399879455566</v>
      </c>
      <c r="E1379">
        <v>1.975782036781311</v>
      </c>
      <c r="F1379">
        <v>0.73527300357818604</v>
      </c>
      <c r="G1379">
        <v>1.6549999713897705</v>
      </c>
      <c r="H1379">
        <v>0</v>
      </c>
      <c r="I1379">
        <v>2.3900001049041748</v>
      </c>
      <c r="J1379">
        <v>855</v>
      </c>
    </row>
    <row r="1380" spans="1:10" x14ac:dyDescent="0.25">
      <c r="A1380">
        <v>18612</v>
      </c>
      <c r="B1380" t="str">
        <v>Konndor Indust.</v>
      </c>
      <c r="C1380">
        <v>54.220117999999999</v>
      </c>
      <c r="D1380">
        <v>8.2104263305664063</v>
      </c>
      <c r="E1380">
        <v>3.4388070106506348</v>
      </c>
      <c r="F1380">
        <v>0.41883400082588196</v>
      </c>
      <c r="G1380">
        <v>16.680000305175781</v>
      </c>
      <c r="H1380">
        <v>0</v>
      </c>
      <c r="I1380">
        <v>9.1999998092651367</v>
      </c>
      <c r="J1380">
        <v>1000</v>
      </c>
    </row>
    <row r="1381" spans="1:10" x14ac:dyDescent="0.25">
      <c r="A1381">
        <v>2717</v>
      </c>
      <c r="B1381" t="str">
        <v>Kopran</v>
      </c>
      <c r="C1381">
        <v>33.954098000000002</v>
      </c>
      <c r="D1381">
        <v>184.20143127441406</v>
      </c>
      <c r="E1381">
        <v>79.856857299804688</v>
      </c>
      <c r="F1381">
        <v>0.43353000283241272</v>
      </c>
      <c r="G1381">
        <v>187.36250305175781</v>
      </c>
      <c r="H1381">
        <v>5.9999998658895493E-2</v>
      </c>
      <c r="I1381">
        <v>894.010009765625</v>
      </c>
      <c r="J1381">
        <v>1359</v>
      </c>
    </row>
    <row r="1382" spans="1:10" x14ac:dyDescent="0.25">
      <c r="A1382">
        <v>436</v>
      </c>
      <c r="B1382" t="str">
        <v>Kore Foods</v>
      </c>
      <c r="C1382">
        <v>36.121512000000003</v>
      </c>
      <c r="D1382">
        <v>9.1226272583007813</v>
      </c>
      <c r="E1382">
        <v>9.6793708801269531</v>
      </c>
      <c r="F1382">
        <v>1.0610289573669434</v>
      </c>
      <c r="G1382">
        <v>28.307500839233398</v>
      </c>
      <c r="H1382">
        <v>0</v>
      </c>
      <c r="I1382">
        <v>72.099998474121094</v>
      </c>
      <c r="J1382">
        <v>1209</v>
      </c>
    </row>
    <row r="1383" spans="1:10" x14ac:dyDescent="0.25">
      <c r="A1383">
        <v>2330</v>
      </c>
      <c r="B1383" t="str">
        <v>Kotak Mah. Bank</v>
      </c>
      <c r="C1383">
        <v>4.4688759999999998</v>
      </c>
      <c r="D1383">
        <v>1769.3294677734375</v>
      </c>
      <c r="E1383">
        <v>202.48893737792969</v>
      </c>
      <c r="F1383">
        <v>0.11444400250911713</v>
      </c>
      <c r="G1383">
        <v>2145.64990234375</v>
      </c>
      <c r="H1383">
        <v>0</v>
      </c>
      <c r="I1383">
        <v>426545</v>
      </c>
      <c r="J1383">
        <v>1359</v>
      </c>
    </row>
    <row r="1384" spans="1:10" x14ac:dyDescent="0.25">
      <c r="A1384">
        <v>2743</v>
      </c>
      <c r="B1384" t="str">
        <v>Kothari Ferment.</v>
      </c>
      <c r="C1384">
        <v>3.7177950000000002</v>
      </c>
      <c r="D1384">
        <v>63.656848907470703</v>
      </c>
      <c r="E1384">
        <v>15.889592170715332</v>
      </c>
      <c r="F1384">
        <v>0.24961300194263458</v>
      </c>
      <c r="G1384">
        <v>63.669998168945313</v>
      </c>
      <c r="H1384">
        <v>0.79000002145767212</v>
      </c>
      <c r="I1384">
        <v>94.040000915527344</v>
      </c>
      <c r="J1384">
        <v>1357</v>
      </c>
    </row>
    <row r="1385" spans="1:10" x14ac:dyDescent="0.25">
      <c r="A1385">
        <v>4936</v>
      </c>
      <c r="B1385" t="str">
        <v>Kothari Products</v>
      </c>
      <c r="C1385">
        <v>19.001009</v>
      </c>
      <c r="D1385">
        <v>55.878082275390625</v>
      </c>
      <c r="E1385">
        <v>18.673149108886719</v>
      </c>
      <c r="F1385">
        <v>0.33417698740959167</v>
      </c>
      <c r="G1385">
        <v>83.614997863769531</v>
      </c>
      <c r="H1385">
        <v>7.9999998211860657E-2</v>
      </c>
      <c r="I1385">
        <v>494.75</v>
      </c>
      <c r="J1385">
        <v>1353</v>
      </c>
    </row>
    <row r="1386" spans="1:10" x14ac:dyDescent="0.25">
      <c r="A1386">
        <v>7022</v>
      </c>
      <c r="B1386" t="str">
        <v>Kotia Enterprise</v>
      </c>
      <c r="C1386">
        <v>0.100595</v>
      </c>
      <c r="D1386">
        <v>16.475261688232422</v>
      </c>
      <c r="E1386">
        <v>4.9526300430297852</v>
      </c>
      <c r="F1386">
        <v>0.3006100058555603</v>
      </c>
      <c r="G1386">
        <v>22.799999237060547</v>
      </c>
      <c r="H1386">
        <v>0</v>
      </c>
      <c r="I1386">
        <v>16.010000228881836</v>
      </c>
      <c r="J1386">
        <v>439</v>
      </c>
    </row>
    <row r="1387" spans="1:10" x14ac:dyDescent="0.25">
      <c r="A1387">
        <v>2551</v>
      </c>
      <c r="B1387" t="str">
        <v>Kovai Medical</v>
      </c>
      <c r="C1387">
        <v>39.531734</v>
      </c>
      <c r="D1387">
        <v>2434.211669921875</v>
      </c>
      <c r="E1387">
        <v>1658.9658203125</v>
      </c>
      <c r="F1387">
        <v>0.68152099847793579</v>
      </c>
      <c r="G1387">
        <v>5779.7626953125</v>
      </c>
      <c r="H1387">
        <v>0.50999999046325684</v>
      </c>
      <c r="I1387">
        <v>6278.6298828125</v>
      </c>
      <c r="J1387">
        <v>1359</v>
      </c>
    </row>
    <row r="1388" spans="1:10" x14ac:dyDescent="0.25">
      <c r="A1388">
        <v>4866</v>
      </c>
      <c r="B1388" t="str">
        <v>Kreon Finnancial</v>
      </c>
      <c r="C1388">
        <v>24.933962000000001</v>
      </c>
      <c r="D1388">
        <v>42.423606872558594</v>
      </c>
      <c r="E1388">
        <v>18.949024200439453</v>
      </c>
      <c r="F1388">
        <v>0.44666200876235962</v>
      </c>
      <c r="G1388">
        <v>22.245000839233398</v>
      </c>
      <c r="H1388">
        <v>0.72000002861022949</v>
      </c>
      <c r="I1388">
        <v>46.569999694824219</v>
      </c>
      <c r="J1388">
        <v>996</v>
      </c>
    </row>
    <row r="1389" spans="1:10" x14ac:dyDescent="0.25">
      <c r="A1389">
        <v>6302</v>
      </c>
      <c r="B1389" t="str">
        <v>Kretto Syscon</v>
      </c>
      <c r="C1389">
        <v>34.370041000000001</v>
      </c>
      <c r="D1389">
        <v>0.67362099885940552</v>
      </c>
      <c r="E1389">
        <v>0.44606998562812805</v>
      </c>
      <c r="F1389">
        <v>0.66219699382781982</v>
      </c>
      <c r="G1389">
        <v>1.9900000095367432</v>
      </c>
      <c r="H1389">
        <v>1.9999999552965164E-2</v>
      </c>
      <c r="I1389">
        <v>122.93000030517578</v>
      </c>
      <c r="J1389">
        <v>1260</v>
      </c>
    </row>
    <row r="1390" spans="1:10" x14ac:dyDescent="0.25">
      <c r="A1390">
        <v>40506</v>
      </c>
      <c r="B1390" t="str">
        <v>Kridhan Infra</v>
      </c>
      <c r="C1390">
        <v>7.0717829999999999</v>
      </c>
      <c r="D1390">
        <v>4.0073518753051758</v>
      </c>
      <c r="E1390">
        <v>1.3294080495834351</v>
      </c>
      <c r="F1390">
        <v>0.33174198865890503</v>
      </c>
      <c r="G1390">
        <v>4.622499942779541</v>
      </c>
      <c r="H1390">
        <v>0</v>
      </c>
      <c r="I1390">
        <v>43.029998779296875</v>
      </c>
      <c r="J1390">
        <v>1354</v>
      </c>
    </row>
    <row r="1391" spans="1:10" x14ac:dyDescent="0.25">
      <c r="A1391">
        <v>2499</v>
      </c>
      <c r="B1391" t="str">
        <v>Krishanveer Forg</v>
      </c>
      <c r="C1391">
        <v>25.796446</v>
      </c>
      <c r="D1391">
        <v>59.578342437744141</v>
      </c>
      <c r="E1391">
        <v>29.537803649902344</v>
      </c>
      <c r="F1391">
        <v>0.49578100442886353</v>
      </c>
      <c r="G1391">
        <v>103.85500335693359</v>
      </c>
      <c r="H1391">
        <v>-3.9999999105930328E-2</v>
      </c>
      <c r="I1391">
        <v>104.41999816894531</v>
      </c>
      <c r="J1391">
        <v>1293</v>
      </c>
    </row>
    <row r="1392" spans="1:10" x14ac:dyDescent="0.25">
      <c r="A1392">
        <v>7631</v>
      </c>
      <c r="B1392" t="str">
        <v>Krishna Capital</v>
      </c>
      <c r="C1392">
        <v>43.604120000000002</v>
      </c>
      <c r="D1392">
        <v>17.165517807006836</v>
      </c>
      <c r="E1392">
        <v>8.9039573669433594</v>
      </c>
      <c r="F1392">
        <v>0.51871198415756226</v>
      </c>
      <c r="G1392">
        <v>27.850000381469727</v>
      </c>
      <c r="H1392">
        <v>0</v>
      </c>
      <c r="I1392">
        <v>8.8000001907348633</v>
      </c>
      <c r="J1392">
        <v>930</v>
      </c>
    </row>
    <row r="1393" spans="1:10" x14ac:dyDescent="0.25">
      <c r="A1393">
        <v>3715</v>
      </c>
      <c r="B1393" t="str">
        <v>Krishna Fil. Ind</v>
      </c>
      <c r="C1393">
        <v>-0.32766600000000001</v>
      </c>
      <c r="D1393">
        <v>5.5658330917358398</v>
      </c>
      <c r="E1393">
        <v>2.4514610767364502</v>
      </c>
      <c r="F1393">
        <v>0.44044798612594604</v>
      </c>
      <c r="G1393">
        <v>6.1500000953674316</v>
      </c>
      <c r="H1393">
        <v>0</v>
      </c>
      <c r="I1393">
        <v>4.7899999618530273</v>
      </c>
      <c r="J1393">
        <v>882</v>
      </c>
    </row>
    <row r="1394" spans="1:10" x14ac:dyDescent="0.25">
      <c r="A1394">
        <v>6622</v>
      </c>
      <c r="B1394" t="str">
        <v>Krishna Vent.</v>
      </c>
      <c r="C1394">
        <v>1.849844</v>
      </c>
      <c r="D1394">
        <v>54.455661773681641</v>
      </c>
      <c r="E1394">
        <v>34.249343872070313</v>
      </c>
      <c r="F1394">
        <v>0.62893998622894287</v>
      </c>
      <c r="G1394">
        <v>15.487500190734863</v>
      </c>
      <c r="H1394">
        <v>0</v>
      </c>
      <c r="I1394">
        <v>16.299999237060547</v>
      </c>
      <c r="J1394">
        <v>1214</v>
      </c>
    </row>
    <row r="1395" spans="1:10" x14ac:dyDescent="0.25">
      <c r="A1395">
        <v>3606</v>
      </c>
      <c r="B1395" t="str">
        <v>Kriti Industries</v>
      </c>
      <c r="C1395">
        <v>37.345165000000001</v>
      </c>
      <c r="D1395">
        <v>100.14907836914063</v>
      </c>
      <c r="E1395">
        <v>51.336532592773438</v>
      </c>
      <c r="F1395">
        <v>0.51260101795196533</v>
      </c>
      <c r="G1395">
        <v>155.60000610351563</v>
      </c>
      <c r="H1395">
        <v>0.94999998807907104</v>
      </c>
      <c r="I1395">
        <v>786.989990234375</v>
      </c>
      <c r="J1395">
        <v>1358</v>
      </c>
    </row>
    <row r="1396" spans="1:10" x14ac:dyDescent="0.25">
      <c r="A1396">
        <v>28258</v>
      </c>
      <c r="B1396" t="str">
        <v>Kriti Nutrients</v>
      </c>
      <c r="C1396">
        <v>35.816453000000003</v>
      </c>
      <c r="D1396">
        <v>65.163192749023438</v>
      </c>
      <c r="E1396">
        <v>35.45654296875</v>
      </c>
      <c r="F1396">
        <v>0.54411900043487549</v>
      </c>
      <c r="G1396">
        <v>119.625</v>
      </c>
      <c r="H1396">
        <v>0.17000000178813934</v>
      </c>
      <c r="I1396">
        <v>575.44000244140625</v>
      </c>
      <c r="J1396">
        <v>1358</v>
      </c>
    </row>
    <row r="1397" spans="1:10" x14ac:dyDescent="0.25">
      <c r="A1397">
        <v>2428</v>
      </c>
      <c r="B1397" t="str">
        <v>Krypton Industri</v>
      </c>
      <c r="C1397">
        <v>28.786062999999999</v>
      </c>
      <c r="D1397">
        <v>27.561607360839844</v>
      </c>
      <c r="E1397">
        <v>19.68031120300293</v>
      </c>
      <c r="F1397">
        <v>0.71404802799224854</v>
      </c>
      <c r="G1397">
        <v>46.5625</v>
      </c>
      <c r="H1397">
        <v>0.51999998092651367</v>
      </c>
      <c r="I1397">
        <v>68.360000610351563</v>
      </c>
      <c r="J1397">
        <v>1348</v>
      </c>
    </row>
    <row r="1398" spans="1:10" x14ac:dyDescent="0.25">
      <c r="A1398">
        <v>66968</v>
      </c>
      <c r="B1398" t="str">
        <v>Kuber Udyog</v>
      </c>
      <c r="C1398">
        <v>49.485954999999997</v>
      </c>
      <c r="D1398">
        <v>9.6027050018310547</v>
      </c>
      <c r="E1398">
        <v>8.6368808746337891</v>
      </c>
      <c r="F1398">
        <v>0.89942198991775513</v>
      </c>
      <c r="G1398">
        <v>18.477500915527344</v>
      </c>
      <c r="H1398">
        <v>0.85000002384185791</v>
      </c>
      <c r="I1398">
        <v>6.5900001525878906</v>
      </c>
      <c r="J1398">
        <v>696</v>
      </c>
    </row>
    <row r="1399" spans="1:10" x14ac:dyDescent="0.25">
      <c r="A1399">
        <v>2517</v>
      </c>
      <c r="B1399" t="str">
        <v>Kunststoff Inds.</v>
      </c>
      <c r="C1399">
        <v>10.280154</v>
      </c>
      <c r="D1399">
        <v>25.241676330566406</v>
      </c>
      <c r="E1399">
        <v>6.6834330558776855</v>
      </c>
      <c r="F1399">
        <v>0.26477798819541931</v>
      </c>
      <c r="G1399">
        <v>23.030000686645508</v>
      </c>
      <c r="H1399">
        <v>0</v>
      </c>
      <c r="I1399">
        <v>15.409999847412109</v>
      </c>
      <c r="J1399">
        <v>1226</v>
      </c>
    </row>
    <row r="1400" spans="1:10" x14ac:dyDescent="0.25">
      <c r="A1400">
        <v>2842</v>
      </c>
      <c r="B1400" t="str">
        <v>Kush Industries</v>
      </c>
      <c r="C1400">
        <v>42.779193999999997</v>
      </c>
      <c r="D1400">
        <v>5.7508039474487305</v>
      </c>
      <c r="E1400">
        <v>3.1904969215393066</v>
      </c>
      <c r="F1400">
        <v>0.55479097366333008</v>
      </c>
      <c r="G1400">
        <v>9.067500114440918</v>
      </c>
      <c r="H1400">
        <v>0</v>
      </c>
      <c r="I1400">
        <v>13.819999694824219</v>
      </c>
      <c r="J1400">
        <v>1182</v>
      </c>
    </row>
    <row r="1401" spans="1:10" x14ac:dyDescent="0.25">
      <c r="A1401">
        <v>1927</v>
      </c>
      <c r="B1401" t="str">
        <v>L G Balakrishnan</v>
      </c>
      <c r="C1401">
        <v>27.507401999999999</v>
      </c>
      <c r="D1401">
        <v>755.11334228515625</v>
      </c>
      <c r="E1401">
        <v>406.41342163085938</v>
      </c>
      <c r="F1401">
        <v>0.53821498155593872</v>
      </c>
      <c r="G1401">
        <v>1245</v>
      </c>
      <c r="H1401">
        <v>7.0000000298023224E-2</v>
      </c>
      <c r="I1401">
        <v>3912.080078125</v>
      </c>
      <c r="J1401">
        <v>1359</v>
      </c>
    </row>
    <row r="1402" spans="1:10" x14ac:dyDescent="0.25">
      <c r="A1402">
        <v>27387</v>
      </c>
      <c r="B1402" t="str">
        <v>L T Foods</v>
      </c>
      <c r="C1402">
        <v>57.631672999999999</v>
      </c>
      <c r="D1402">
        <v>148.26324462890625</v>
      </c>
      <c r="E1402">
        <v>119.66914367675781</v>
      </c>
      <c r="F1402">
        <v>0.80713999271392822</v>
      </c>
      <c r="G1402">
        <v>431.61248779296875</v>
      </c>
      <c r="H1402">
        <v>3.9999999105930328E-2</v>
      </c>
      <c r="I1402">
        <v>14763.4599609375</v>
      </c>
      <c r="J1402">
        <v>1359</v>
      </c>
    </row>
    <row r="1403" spans="1:10" x14ac:dyDescent="0.25">
      <c r="A1403">
        <v>44814</v>
      </c>
      <c r="B1403" t="str">
        <v>L&amp;T Technology</v>
      </c>
      <c r="C1403">
        <v>20.185369999999999</v>
      </c>
      <c r="D1403">
        <v>3746.26708984375</v>
      </c>
      <c r="E1403">
        <v>1337.3265380859375</v>
      </c>
      <c r="F1403">
        <v>0.35697600245475769</v>
      </c>
      <c r="G1403">
        <v>4362.0498046875</v>
      </c>
      <c r="H1403">
        <v>0.10999999940395355</v>
      </c>
      <c r="I1403">
        <v>45634.171875</v>
      </c>
      <c r="J1403">
        <v>1359</v>
      </c>
    </row>
    <row r="1404" spans="1:10" x14ac:dyDescent="0.25">
      <c r="A1404">
        <v>4335</v>
      </c>
      <c r="B1404" t="str">
        <v>LEEL Electricals</v>
      </c>
      <c r="C1404">
        <v>34.954244000000003</v>
      </c>
      <c r="D1404">
        <v>2.8324999809265137</v>
      </c>
      <c r="E1404">
        <v>0.13461199402809143</v>
      </c>
      <c r="F1404">
        <v>4.7524001449346542E-2</v>
      </c>
      <c r="G1404">
        <v>2.7599999904632568</v>
      </c>
      <c r="H1404">
        <v>0.70999997854232788</v>
      </c>
      <c r="I1404">
        <v>11.130000114440918</v>
      </c>
      <c r="J1404">
        <v>9</v>
      </c>
    </row>
    <row r="1405" spans="1:10" x14ac:dyDescent="0.25">
      <c r="A1405">
        <v>1695</v>
      </c>
      <c r="B1405" t="str">
        <v>LKP Finance</v>
      </c>
      <c r="C1405">
        <v>32.398817999999999</v>
      </c>
      <c r="D1405">
        <v>133.95120239257813</v>
      </c>
      <c r="E1405">
        <v>86.355560302734375</v>
      </c>
      <c r="F1405">
        <v>0.64467900991439819</v>
      </c>
      <c r="G1405">
        <v>492.60000610351563</v>
      </c>
      <c r="H1405">
        <v>0.2199999988079071</v>
      </c>
      <c r="I1405">
        <v>618.8800048828125</v>
      </c>
      <c r="J1405">
        <v>1345</v>
      </c>
    </row>
    <row r="1406" spans="1:10" x14ac:dyDescent="0.25">
      <c r="A1406">
        <v>22203</v>
      </c>
      <c r="B1406" t="str">
        <v>LKP Securities</v>
      </c>
      <c r="C1406">
        <v>22.022606</v>
      </c>
      <c r="D1406">
        <v>13.943790435791016</v>
      </c>
      <c r="E1406">
        <v>6.1859879493713379</v>
      </c>
      <c r="F1406">
        <v>0.44363799691200256</v>
      </c>
      <c r="G1406">
        <v>21.472499847412109</v>
      </c>
      <c r="H1406">
        <v>0.43999999761581421</v>
      </c>
      <c r="I1406">
        <v>172.75</v>
      </c>
      <c r="J1406">
        <v>1358</v>
      </c>
    </row>
    <row r="1407" spans="1:10" x14ac:dyDescent="0.25">
      <c r="A1407">
        <v>346</v>
      </c>
      <c r="B1407" t="str">
        <v>LMW</v>
      </c>
      <c r="C1407">
        <v>30.126518999999998</v>
      </c>
      <c r="D1407">
        <v>10450.1796875</v>
      </c>
      <c r="E1407">
        <v>4618.693359375</v>
      </c>
      <c r="F1407">
        <v>0.4419730007648468</v>
      </c>
      <c r="G1407">
        <v>16157.9375</v>
      </c>
      <c r="H1407">
        <v>0</v>
      </c>
      <c r="I1407">
        <v>17134.890625</v>
      </c>
      <c r="J1407">
        <v>1359</v>
      </c>
    </row>
    <row r="1408" spans="1:10" x14ac:dyDescent="0.25">
      <c r="A1408">
        <v>18105</v>
      </c>
      <c r="B1408" t="str">
        <v>LTIMindtree</v>
      </c>
      <c r="C1408">
        <v>20.824926000000001</v>
      </c>
      <c r="D1408">
        <v>4598.07177734375</v>
      </c>
      <c r="E1408">
        <v>1369.4468994140625</v>
      </c>
      <c r="F1408">
        <v>0.29783099889755249</v>
      </c>
      <c r="G1408">
        <v>5385</v>
      </c>
      <c r="H1408">
        <v>0.10000000149011612</v>
      </c>
      <c r="I1408">
        <v>159170.796875</v>
      </c>
      <c r="J1408">
        <v>1359</v>
      </c>
    </row>
    <row r="1409" spans="1:10" x14ac:dyDescent="0.25">
      <c r="A1409">
        <v>4939</v>
      </c>
      <c r="B1409" t="str">
        <v>La Opala RG</v>
      </c>
      <c r="C1409">
        <v>10.563317</v>
      </c>
      <c r="D1409">
        <v>304.71517944335938</v>
      </c>
      <c r="E1409">
        <v>80.882926940917969</v>
      </c>
      <c r="F1409">
        <v>0.26543799042701721</v>
      </c>
      <c r="G1409">
        <v>257.66250610351563</v>
      </c>
      <c r="H1409">
        <v>9.9999997764825821E-3</v>
      </c>
      <c r="I1409">
        <v>2787.2099609375</v>
      </c>
      <c r="J1409">
        <v>1359</v>
      </c>
    </row>
    <row r="1410" spans="1:10" x14ac:dyDescent="0.25">
      <c r="A1410">
        <v>2283</v>
      </c>
      <c r="B1410" t="str">
        <v>Lactose (India)</v>
      </c>
      <c r="C1410">
        <v>33.828457999999998</v>
      </c>
      <c r="D1410">
        <v>74.901535034179688</v>
      </c>
      <c r="E1410">
        <v>54.075733184814453</v>
      </c>
      <c r="F1410">
        <v>0.7219579815864563</v>
      </c>
      <c r="G1410">
        <v>100.47750091552734</v>
      </c>
      <c r="H1410">
        <v>0.88999998569488525</v>
      </c>
      <c r="I1410">
        <v>140.27000427246094</v>
      </c>
      <c r="J1410">
        <v>1323</v>
      </c>
    </row>
    <row r="1411" spans="1:10" x14ac:dyDescent="0.25">
      <c r="A1411">
        <v>4858</v>
      </c>
      <c r="B1411" t="str">
        <v>Ladam Affordab.</v>
      </c>
      <c r="C1411">
        <v>12.411864</v>
      </c>
      <c r="D1411">
        <v>5.9976000785827637</v>
      </c>
      <c r="E1411">
        <v>1.7536419630050659</v>
      </c>
      <c r="F1411">
        <v>0.29239100217819214</v>
      </c>
      <c r="G1411">
        <v>8.2425003051757813</v>
      </c>
      <c r="H1411">
        <v>0.43999999761581421</v>
      </c>
      <c r="I1411">
        <v>14.989999771118164</v>
      </c>
      <c r="J1411">
        <v>1147</v>
      </c>
    </row>
    <row r="1412" spans="1:10" x14ac:dyDescent="0.25">
      <c r="A1412">
        <v>5179</v>
      </c>
      <c r="B1412" t="str">
        <v>Ladderup Finance</v>
      </c>
      <c r="C1412">
        <v>6.7694510000000001</v>
      </c>
      <c r="D1412">
        <v>29.840431213378906</v>
      </c>
      <c r="E1412">
        <v>14.548535346984863</v>
      </c>
      <c r="F1412">
        <v>0.48754400014877319</v>
      </c>
      <c r="G1412">
        <v>58.4375</v>
      </c>
      <c r="H1412">
        <v>0.10999999940395355</v>
      </c>
      <c r="I1412">
        <v>59.409999847412109</v>
      </c>
      <c r="J1412">
        <v>1264</v>
      </c>
    </row>
    <row r="1413" spans="1:10" x14ac:dyDescent="0.25">
      <c r="A1413">
        <v>13185</v>
      </c>
      <c r="B1413" t="str">
        <v>Laddu Gopal</v>
      </c>
      <c r="C1413">
        <v>-5.0308979999999996</v>
      </c>
      <c r="D1413">
        <v>26.807878494262695</v>
      </c>
      <c r="E1413">
        <v>11.007304191589355</v>
      </c>
      <c r="F1413">
        <v>0.41060000658035278</v>
      </c>
      <c r="G1413">
        <v>20.329999923706055</v>
      </c>
      <c r="H1413">
        <v>0</v>
      </c>
      <c r="I1413">
        <v>54.810001373291016</v>
      </c>
      <c r="J1413">
        <v>921</v>
      </c>
    </row>
    <row r="1414" spans="1:10" x14ac:dyDescent="0.25">
      <c r="A1414">
        <v>3742</v>
      </c>
      <c r="B1414" t="str">
        <v>Laffans Petroch</v>
      </c>
      <c r="C1414">
        <v>14.763997</v>
      </c>
      <c r="D1414">
        <v>35.679412841796875</v>
      </c>
      <c r="E1414">
        <v>12.382699966430664</v>
      </c>
      <c r="F1414">
        <v>0.34705400466918945</v>
      </c>
      <c r="G1414">
        <v>31.344999313354492</v>
      </c>
      <c r="H1414">
        <v>9.9999997764825821E-3</v>
      </c>
      <c r="I1414">
        <v>24.319999694824219</v>
      </c>
      <c r="J1414">
        <v>1260</v>
      </c>
    </row>
    <row r="1415" spans="1:10" x14ac:dyDescent="0.25">
      <c r="A1415">
        <v>14771</v>
      </c>
      <c r="B1415" t="str">
        <v>Lahoti Overseas</v>
      </c>
      <c r="C1415">
        <v>26.637678999999999</v>
      </c>
      <c r="D1415">
        <v>29.936943054199219</v>
      </c>
      <c r="E1415">
        <v>13.195041656494141</v>
      </c>
      <c r="F1415">
        <v>0.44076099991798401</v>
      </c>
      <c r="G1415">
        <v>43.447498321533203</v>
      </c>
      <c r="H1415">
        <v>5.000000074505806E-2</v>
      </c>
      <c r="I1415">
        <v>127.48000335693359</v>
      </c>
      <c r="J1415">
        <v>1352</v>
      </c>
    </row>
    <row r="1416" spans="1:10" x14ac:dyDescent="0.25">
      <c r="A1416">
        <v>676</v>
      </c>
      <c r="B1416" t="str">
        <v>Lak. Electrical</v>
      </c>
      <c r="C1416">
        <v>20.248958999999999</v>
      </c>
      <c r="D1416">
        <v>836.01226806640625</v>
      </c>
      <c r="E1416">
        <v>486.26409912109375</v>
      </c>
      <c r="F1416">
        <v>0.58164697885513306</v>
      </c>
      <c r="G1416">
        <v>948.8499755859375</v>
      </c>
      <c r="H1416">
        <v>2.9999999329447746E-2</v>
      </c>
      <c r="I1416">
        <v>230.3699951171875</v>
      </c>
      <c r="J1416">
        <v>1358</v>
      </c>
    </row>
    <row r="1417" spans="1:10" x14ac:dyDescent="0.25">
      <c r="A1417">
        <v>4681</v>
      </c>
      <c r="B1417" t="str">
        <v>Lake Shore</v>
      </c>
      <c r="C1417">
        <v>39.399962000000002</v>
      </c>
      <c r="D1417">
        <v>31.587167739868164</v>
      </c>
      <c r="E1417">
        <v>15.993044853210449</v>
      </c>
      <c r="F1417">
        <v>0.50631499290466309</v>
      </c>
      <c r="G1417">
        <v>83.599998474121094</v>
      </c>
      <c r="H1417">
        <v>0</v>
      </c>
      <c r="I1417">
        <v>29.260000228881836</v>
      </c>
      <c r="J1417">
        <v>1285</v>
      </c>
    </row>
    <row r="1418" spans="1:10" x14ac:dyDescent="0.25">
      <c r="A1418">
        <v>43418</v>
      </c>
      <c r="B1418" t="str">
        <v>Lakhotia Poly.</v>
      </c>
      <c r="C1418">
        <v>27.783200999999998</v>
      </c>
      <c r="D1418">
        <v>31.862869262695313</v>
      </c>
      <c r="E1418">
        <v>11.83448600769043</v>
      </c>
      <c r="F1418">
        <v>0.37141901254653931</v>
      </c>
      <c r="G1418">
        <v>38.432498931884766</v>
      </c>
      <c r="H1418">
        <v>0.79000002145767212</v>
      </c>
      <c r="I1418">
        <v>38.900001525878906</v>
      </c>
      <c r="J1418">
        <v>608</v>
      </c>
    </row>
    <row r="1419" spans="1:10" x14ac:dyDescent="0.25">
      <c r="A1419">
        <v>1670</v>
      </c>
      <c r="B1419" t="str">
        <v>Lakshmi Engg.</v>
      </c>
      <c r="C1419">
        <v>35.042878000000002</v>
      </c>
      <c r="D1419">
        <v>1169.694580078125</v>
      </c>
      <c r="E1419">
        <v>777.56695556640625</v>
      </c>
      <c r="F1419">
        <v>0.6647610068321228</v>
      </c>
      <c r="G1419">
        <v>2151.625</v>
      </c>
      <c r="H1419">
        <v>0.25999999046325684</v>
      </c>
      <c r="I1419">
        <v>140.74000549316406</v>
      </c>
      <c r="J1419">
        <v>1227</v>
      </c>
    </row>
    <row r="1420" spans="1:10" x14ac:dyDescent="0.25">
      <c r="A1420">
        <v>1830</v>
      </c>
      <c r="B1420" t="str">
        <v>Lakshmi Mills</v>
      </c>
      <c r="C1420">
        <v>25.036380000000001</v>
      </c>
      <c r="D1420">
        <v>3823.6591796875</v>
      </c>
      <c r="E1420">
        <v>1563.484619140625</v>
      </c>
      <c r="F1420">
        <v>0.4088979959487915</v>
      </c>
      <c r="G1420">
        <v>7125.125</v>
      </c>
      <c r="H1420">
        <v>0.17000000178813934</v>
      </c>
      <c r="I1420">
        <v>497.35000610351563</v>
      </c>
      <c r="J1420">
        <v>1353</v>
      </c>
    </row>
    <row r="1421" spans="1:10" x14ac:dyDescent="0.25">
      <c r="A1421">
        <v>6600</v>
      </c>
      <c r="B1421" t="str">
        <v>Lambodhara Text.</v>
      </c>
      <c r="C1421">
        <v>28.615454</v>
      </c>
      <c r="D1421">
        <v>109.04049682617188</v>
      </c>
      <c r="E1421">
        <v>53.760166168212891</v>
      </c>
      <c r="F1421">
        <v>0.49302899837493896</v>
      </c>
      <c r="G1421">
        <v>136.77499389648438</v>
      </c>
      <c r="H1421">
        <v>0.56000000238418579</v>
      </c>
      <c r="I1421">
        <v>139.58000183105469</v>
      </c>
      <c r="J1421">
        <v>1348</v>
      </c>
    </row>
    <row r="1422" spans="1:10" x14ac:dyDescent="0.25">
      <c r="A1422">
        <v>44137</v>
      </c>
      <c r="B1422" t="str">
        <v>Lancer Containe.</v>
      </c>
      <c r="C1422">
        <v>39.947615999999996</v>
      </c>
      <c r="D1422">
        <v>35.937019348144531</v>
      </c>
      <c r="E1422">
        <v>29.080921173095703</v>
      </c>
      <c r="F1422">
        <v>0.80921900272369385</v>
      </c>
      <c r="G1422">
        <v>15.779999732971191</v>
      </c>
      <c r="H1422">
        <v>0.76999998092651367</v>
      </c>
      <c r="I1422">
        <v>395.1199951171875</v>
      </c>
      <c r="J1422">
        <v>1359</v>
      </c>
    </row>
    <row r="1423" spans="1:10" x14ac:dyDescent="0.25">
      <c r="A1423">
        <v>2008</v>
      </c>
      <c r="B1423" t="str">
        <v>Lancor Holdings</v>
      </c>
      <c r="C1423">
        <v>29.229398</v>
      </c>
      <c r="D1423">
        <v>20.397344589233398</v>
      </c>
      <c r="E1423">
        <v>15.166377067565918</v>
      </c>
      <c r="F1423">
        <v>0.74354702234268188</v>
      </c>
      <c r="G1423">
        <v>21.742500305175781</v>
      </c>
      <c r="H1423">
        <v>0.76999998092651367</v>
      </c>
      <c r="I1423">
        <v>156.78999328613281</v>
      </c>
      <c r="J1423">
        <v>1356</v>
      </c>
    </row>
    <row r="1424" spans="1:10" x14ac:dyDescent="0.25">
      <c r="A1424">
        <v>20773</v>
      </c>
      <c r="B1424" t="str">
        <v>Landmarc Leisur.</v>
      </c>
      <c r="C1424">
        <v>23.261928999999999</v>
      </c>
      <c r="D1424">
        <v>1.1851580142974854</v>
      </c>
      <c r="E1424">
        <v>0.60060101747512817</v>
      </c>
      <c r="F1424">
        <v>0.50676798820495605</v>
      </c>
      <c r="G1424">
        <v>1.7400000095367432</v>
      </c>
      <c r="H1424">
        <v>0.4699999988079071</v>
      </c>
      <c r="I1424">
        <v>136</v>
      </c>
      <c r="J1424">
        <v>395</v>
      </c>
    </row>
    <row r="1425" spans="1:10" x14ac:dyDescent="0.25">
      <c r="A1425">
        <v>17714</v>
      </c>
      <c r="B1425" t="str">
        <v>Landmark Prop.</v>
      </c>
      <c r="C1425">
        <v>31.345723</v>
      </c>
      <c r="D1425">
        <v>6.7212448120117188</v>
      </c>
      <c r="E1425">
        <v>3.0640521049499512</v>
      </c>
      <c r="F1425">
        <v>0.45587599277496338</v>
      </c>
      <c r="G1425">
        <v>8.7574996948242188</v>
      </c>
      <c r="H1425">
        <v>0</v>
      </c>
      <c r="I1425">
        <v>110.52999877929688</v>
      </c>
      <c r="J1425">
        <v>1235</v>
      </c>
    </row>
    <row r="1426" spans="1:10" x14ac:dyDescent="0.25">
      <c r="A1426">
        <v>348</v>
      </c>
      <c r="B1426" t="str">
        <v>Larsen &amp; Toubro</v>
      </c>
      <c r="C1426">
        <v>18.974132000000001</v>
      </c>
      <c r="D1426">
        <v>2229.883056640625</v>
      </c>
      <c r="E1426">
        <v>955.19256591796875</v>
      </c>
      <c r="F1426">
        <v>0.4283599853515625</v>
      </c>
      <c r="G1426">
        <v>3613.3623046875</v>
      </c>
      <c r="H1426">
        <v>0.33000001311302185</v>
      </c>
      <c r="I1426">
        <v>497907.625</v>
      </c>
      <c r="J1426">
        <v>1359</v>
      </c>
    </row>
    <row r="1427" spans="1:10" x14ac:dyDescent="0.25">
      <c r="A1427">
        <v>67941</v>
      </c>
      <c r="B1427" t="str">
        <v>Lasa Supergeneri</v>
      </c>
      <c r="C1427">
        <v>-9.8490900000000003</v>
      </c>
      <c r="D1427">
        <v>42.235828399658203</v>
      </c>
      <c r="E1427">
        <v>21.120363235473633</v>
      </c>
      <c r="F1427">
        <v>0.50005799531936646</v>
      </c>
      <c r="G1427">
        <v>10.734999656677246</v>
      </c>
      <c r="H1427">
        <v>0.20000000298023224</v>
      </c>
      <c r="I1427">
        <v>52.310001373291016</v>
      </c>
      <c r="J1427">
        <v>1359</v>
      </c>
    </row>
    <row r="1428" spans="1:10" x14ac:dyDescent="0.25">
      <c r="A1428">
        <v>4918</v>
      </c>
      <c r="B1428" t="str">
        <v>Last Mile Enter.</v>
      </c>
      <c r="C1428">
        <v>41.428418999999998</v>
      </c>
      <c r="D1428">
        <v>27.073223114013672</v>
      </c>
      <c r="E1428">
        <v>26.338811874389648</v>
      </c>
      <c r="F1428">
        <v>0.97287297248840332</v>
      </c>
      <c r="G1428">
        <v>19.135000228881836</v>
      </c>
      <c r="H1428">
        <v>0.40999999642372131</v>
      </c>
      <c r="I1428">
        <v>671.70001220703125</v>
      </c>
      <c r="J1428">
        <v>910</v>
      </c>
    </row>
    <row r="1429" spans="1:10" x14ac:dyDescent="0.25">
      <c r="A1429">
        <v>45955</v>
      </c>
      <c r="B1429" t="str">
        <v>Laurus Labs</v>
      </c>
      <c r="C1429">
        <v>42.161963</v>
      </c>
      <c r="D1429">
        <v>420.08773803710938</v>
      </c>
      <c r="E1429">
        <v>155.6109619140625</v>
      </c>
      <c r="F1429">
        <v>0.37042498588562012</v>
      </c>
      <c r="G1429">
        <v>655.61260986328125</v>
      </c>
      <c r="H1429">
        <v>0.50999999046325684</v>
      </c>
      <c r="I1429">
        <v>34827.62109375</v>
      </c>
      <c r="J1429">
        <v>1359</v>
      </c>
    </row>
    <row r="1430" spans="1:10" x14ac:dyDescent="0.25">
      <c r="A1430">
        <v>67988</v>
      </c>
      <c r="B1430" t="str">
        <v>Le Lavoir</v>
      </c>
      <c r="C1430">
        <v>45.967148000000002</v>
      </c>
      <c r="D1430">
        <v>88.419380187988281</v>
      </c>
      <c r="E1430">
        <v>87.79083251953125</v>
      </c>
      <c r="F1430">
        <v>0.99289101362228394</v>
      </c>
      <c r="G1430">
        <v>285.4375</v>
      </c>
      <c r="H1430">
        <v>0</v>
      </c>
      <c r="I1430">
        <v>92.94000244140625</v>
      </c>
      <c r="J1430">
        <v>1295</v>
      </c>
    </row>
    <row r="1431" spans="1:10" x14ac:dyDescent="0.25">
      <c r="A1431">
        <v>5787</v>
      </c>
      <c r="B1431" t="str">
        <v>Lead Financial S</v>
      </c>
      <c r="C1431">
        <v>27.87978</v>
      </c>
      <c r="D1431">
        <v>15.888418197631836</v>
      </c>
      <c r="E1431">
        <v>6.0988960266113281</v>
      </c>
      <c r="F1431">
        <v>0.38385799527168274</v>
      </c>
      <c r="G1431">
        <v>19.950000762939453</v>
      </c>
      <c r="H1431">
        <v>9.9999997764825821E-3</v>
      </c>
      <c r="I1431">
        <v>6.5799999237060547</v>
      </c>
      <c r="J1431">
        <v>735</v>
      </c>
    </row>
    <row r="1432" spans="1:10" x14ac:dyDescent="0.25">
      <c r="A1432">
        <v>3694</v>
      </c>
      <c r="B1432" t="str">
        <v>Lee &amp; Nee Soft.</v>
      </c>
      <c r="C1432">
        <v>42.409523</v>
      </c>
      <c r="D1432">
        <v>8.5313253402709961</v>
      </c>
      <c r="E1432">
        <v>5.0527791976928711</v>
      </c>
      <c r="F1432">
        <v>0.59226202964782715</v>
      </c>
      <c r="G1432">
        <v>10.162500381469727</v>
      </c>
      <c r="H1432">
        <v>0</v>
      </c>
      <c r="I1432">
        <v>55.209999084472656</v>
      </c>
      <c r="J1432">
        <v>1267</v>
      </c>
    </row>
    <row r="1433" spans="1:10" x14ac:dyDescent="0.25">
      <c r="A1433">
        <v>27275</v>
      </c>
      <c r="B1433" t="str">
        <v>Lehar Footwears</v>
      </c>
      <c r="C1433">
        <v>46.902405999999999</v>
      </c>
      <c r="D1433">
        <v>97.831954956054688</v>
      </c>
      <c r="E1433">
        <v>80.280174255371094</v>
      </c>
      <c r="F1433">
        <v>0.82059299945831299</v>
      </c>
      <c r="G1433">
        <v>241.52499389648438</v>
      </c>
      <c r="H1433">
        <v>0.94999998807907104</v>
      </c>
      <c r="I1433">
        <v>425.44000244140625</v>
      </c>
      <c r="J1433">
        <v>1355</v>
      </c>
    </row>
    <row r="1434" spans="1:10" x14ac:dyDescent="0.25">
      <c r="A1434">
        <v>40619</v>
      </c>
      <c r="B1434" t="str">
        <v>Lemon Tree Hotel</v>
      </c>
      <c r="C1434">
        <v>14.000120000000001</v>
      </c>
      <c r="D1434">
        <v>80.698867797851563</v>
      </c>
      <c r="E1434">
        <v>41.715274810791016</v>
      </c>
      <c r="F1434">
        <v>0.51692497730255127</v>
      </c>
      <c r="G1434">
        <v>134.73750305175781</v>
      </c>
      <c r="H1434">
        <v>0.46000000834465027</v>
      </c>
      <c r="I1434">
        <v>10572.5302734375</v>
      </c>
      <c r="J1434">
        <v>1359</v>
      </c>
    </row>
    <row r="1435" spans="1:10" x14ac:dyDescent="0.25">
      <c r="A1435">
        <v>7093</v>
      </c>
      <c r="B1435" t="str">
        <v>Lerthai Finance</v>
      </c>
      <c r="C1435">
        <v>10.857815</v>
      </c>
      <c r="D1435">
        <v>343.08779907226563</v>
      </c>
      <c r="E1435">
        <v>140.00703430175781</v>
      </c>
      <c r="F1435">
        <v>0.40807899832725525</v>
      </c>
      <c r="G1435">
        <v>376.04998779296875</v>
      </c>
      <c r="H1435">
        <v>0</v>
      </c>
      <c r="I1435">
        <v>26.319999694824219</v>
      </c>
      <c r="J1435">
        <v>692</v>
      </c>
    </row>
    <row r="1436" spans="1:10" x14ac:dyDescent="0.25">
      <c r="A1436">
        <v>38440</v>
      </c>
      <c r="B1436" t="str">
        <v>Lesha Industries</v>
      </c>
      <c r="C1436">
        <v>7.3245800000000001</v>
      </c>
      <c r="D1436">
        <v>3.7993090152740479</v>
      </c>
      <c r="E1436">
        <v>3.2893919944763184</v>
      </c>
      <c r="F1436">
        <v>0.86578702926635742</v>
      </c>
      <c r="G1436">
        <v>1.2775000333786011</v>
      </c>
      <c r="H1436">
        <v>0.47999998927116394</v>
      </c>
      <c r="I1436">
        <v>35.849998474121094</v>
      </c>
      <c r="J1436">
        <v>1198</v>
      </c>
    </row>
    <row r="1437" spans="1:10" x14ac:dyDescent="0.25">
      <c r="A1437">
        <v>4154</v>
      </c>
      <c r="B1437" t="str">
        <v>Liberty Shoes</v>
      </c>
      <c r="C1437">
        <v>20.746832999999999</v>
      </c>
      <c r="D1437">
        <v>242.85697937011719</v>
      </c>
      <c r="E1437">
        <v>118.36043548583984</v>
      </c>
      <c r="F1437">
        <v>0.48736700415611267</v>
      </c>
      <c r="G1437">
        <v>410.64999389648438</v>
      </c>
      <c r="H1437">
        <v>0.75</v>
      </c>
      <c r="I1437">
        <v>688.25</v>
      </c>
      <c r="J1437">
        <v>1359</v>
      </c>
    </row>
    <row r="1438" spans="1:10" x14ac:dyDescent="0.25">
      <c r="A1438">
        <v>4292</v>
      </c>
      <c r="B1438" t="str">
        <v>Libord Finance</v>
      </c>
      <c r="C1438">
        <v>22.496981000000002</v>
      </c>
      <c r="D1438">
        <v>10.006917953491211</v>
      </c>
      <c r="E1438">
        <v>6.7125759124755859</v>
      </c>
      <c r="F1438">
        <v>0.67079401016235352</v>
      </c>
      <c r="G1438">
        <v>17.950000762939453</v>
      </c>
      <c r="H1438">
        <v>1.9999999552965164E-2</v>
      </c>
      <c r="I1438">
        <v>29.670000076293945</v>
      </c>
      <c r="J1438">
        <v>1112</v>
      </c>
    </row>
    <row r="1439" spans="1:10" x14ac:dyDescent="0.25">
      <c r="A1439">
        <v>5252</v>
      </c>
      <c r="B1439" t="str">
        <v>Libord Securitie</v>
      </c>
      <c r="C1439">
        <v>18.764610000000001</v>
      </c>
      <c r="D1439">
        <v>15.193907737731934</v>
      </c>
      <c r="E1439">
        <v>8.5360269546508789</v>
      </c>
      <c r="F1439">
        <v>0.56180602312088013</v>
      </c>
      <c r="G1439">
        <v>21</v>
      </c>
      <c r="H1439">
        <v>0</v>
      </c>
      <c r="I1439">
        <v>10.5</v>
      </c>
      <c r="J1439">
        <v>710</v>
      </c>
    </row>
    <row r="1440" spans="1:10" x14ac:dyDescent="0.25">
      <c r="A1440">
        <v>68383</v>
      </c>
      <c r="B1440" t="str">
        <v>Likhami Consult.</v>
      </c>
      <c r="C1440">
        <v>39.743971000000002</v>
      </c>
      <c r="D1440">
        <v>287.83758544921875</v>
      </c>
      <c r="E1440">
        <v>248.31217956542969</v>
      </c>
      <c r="F1440">
        <v>0.86268198490142822</v>
      </c>
      <c r="G1440">
        <v>350.21249389648438</v>
      </c>
      <c r="H1440">
        <v>0</v>
      </c>
      <c r="I1440">
        <v>341.239990234375</v>
      </c>
      <c r="J1440">
        <v>318</v>
      </c>
    </row>
    <row r="1441" spans="1:10" x14ac:dyDescent="0.25">
      <c r="A1441">
        <v>4030</v>
      </c>
      <c r="B1441" t="str">
        <v>Linaks Microelec</v>
      </c>
      <c r="C1441">
        <v>20.149816000000001</v>
      </c>
      <c r="D1441">
        <v>0.75095498561859131</v>
      </c>
      <c r="E1441">
        <v>0.32923001050949097</v>
      </c>
      <c r="F1441">
        <v>0.43841499090194702</v>
      </c>
      <c r="G1441">
        <v>1.3799999952316284</v>
      </c>
      <c r="H1441">
        <v>0</v>
      </c>
      <c r="I1441">
        <v>2.3900001049041748</v>
      </c>
      <c r="J1441">
        <v>233</v>
      </c>
    </row>
    <row r="1442" spans="1:10" x14ac:dyDescent="0.25">
      <c r="A1442">
        <v>12382</v>
      </c>
      <c r="B1442" t="str">
        <v>Linc</v>
      </c>
      <c r="C1442">
        <v>18.147029</v>
      </c>
      <c r="D1442">
        <v>99.824760437011719</v>
      </c>
      <c r="E1442">
        <v>51.979480743408203</v>
      </c>
      <c r="F1442">
        <v>0.52070701122283936</v>
      </c>
      <c r="G1442">
        <v>130.30000305175781</v>
      </c>
      <c r="H1442">
        <v>5.000000074505806E-2</v>
      </c>
      <c r="I1442">
        <v>751.3499755859375</v>
      </c>
      <c r="J1442">
        <v>1323</v>
      </c>
    </row>
    <row r="1443" spans="1:10" x14ac:dyDescent="0.25">
      <c r="A1443">
        <v>12683</v>
      </c>
      <c r="B1443" t="str">
        <v>Lincoln Pharma.</v>
      </c>
      <c r="C1443">
        <v>18.974726</v>
      </c>
      <c r="D1443">
        <v>404.99063110351563</v>
      </c>
      <c r="E1443">
        <v>181.05831909179688</v>
      </c>
      <c r="F1443">
        <v>0.44706800580024719</v>
      </c>
      <c r="G1443">
        <v>565.26239013671875</v>
      </c>
      <c r="H1443">
        <v>0</v>
      </c>
      <c r="I1443">
        <v>1129.47998046875</v>
      </c>
      <c r="J1443">
        <v>1359</v>
      </c>
    </row>
    <row r="1444" spans="1:10" x14ac:dyDescent="0.25">
      <c r="A1444">
        <v>284</v>
      </c>
      <c r="B1444" t="str">
        <v>Linde India</v>
      </c>
      <c r="C1444">
        <v>45.019553999999999</v>
      </c>
      <c r="D1444">
        <v>3807.299560546875</v>
      </c>
      <c r="E1444">
        <v>2462.294677734375</v>
      </c>
      <c r="F1444">
        <v>0.64673000574111938</v>
      </c>
      <c r="G1444">
        <v>6875.224609375</v>
      </c>
      <c r="H1444">
        <v>9.9999997764825821E-3</v>
      </c>
      <c r="I1444">
        <v>57371.69140625</v>
      </c>
      <c r="J1444">
        <v>1359</v>
      </c>
    </row>
    <row r="1445" spans="1:10" x14ac:dyDescent="0.25">
      <c r="A1445">
        <v>4450</v>
      </c>
      <c r="B1445" t="str">
        <v>Link Pharma Chem</v>
      </c>
      <c r="C1445">
        <v>19.902798000000001</v>
      </c>
      <c r="D1445">
        <v>37.854331970214844</v>
      </c>
      <c r="E1445">
        <v>10.417619705200195</v>
      </c>
      <c r="F1445">
        <v>0.27520298957824707</v>
      </c>
      <c r="G1445">
        <v>37.334999084472656</v>
      </c>
      <c r="H1445">
        <v>0.62999999523162842</v>
      </c>
      <c r="I1445">
        <v>17.159999847412109</v>
      </c>
      <c r="J1445">
        <v>1301</v>
      </c>
    </row>
    <row r="1446" spans="1:10" x14ac:dyDescent="0.25">
      <c r="A1446">
        <v>4176</v>
      </c>
      <c r="B1446" t="str">
        <v>Lippi Systems</v>
      </c>
      <c r="C1446">
        <v>15.419824</v>
      </c>
      <c r="D1446">
        <v>15.16530704498291</v>
      </c>
      <c r="E1446">
        <v>4.3196878433227539</v>
      </c>
      <c r="F1446">
        <v>0.28483998775482178</v>
      </c>
      <c r="G1446">
        <v>23.912500381469727</v>
      </c>
      <c r="H1446">
        <v>1.9999999552965164E-2</v>
      </c>
      <c r="I1446">
        <v>17.049999237060547</v>
      </c>
      <c r="J1446">
        <v>1146</v>
      </c>
    </row>
    <row r="1447" spans="1:10" x14ac:dyDescent="0.25">
      <c r="A1447">
        <v>67056</v>
      </c>
      <c r="B1447" t="str">
        <v>Lloyds Engineeri</v>
      </c>
      <c r="C1447">
        <v>101.04698399999999</v>
      </c>
      <c r="D1447">
        <v>23.917913436889648</v>
      </c>
      <c r="E1447">
        <v>24.371345520019531</v>
      </c>
      <c r="F1447">
        <v>1.0189579725265503</v>
      </c>
      <c r="G1447">
        <v>57.384998321533203</v>
      </c>
      <c r="H1447">
        <v>0.20999999344348907</v>
      </c>
      <c r="I1447">
        <v>7675.669921875</v>
      </c>
      <c r="J1447">
        <v>1359</v>
      </c>
    </row>
    <row r="1448" spans="1:10" x14ac:dyDescent="0.25">
      <c r="A1448">
        <v>7921</v>
      </c>
      <c r="B1448" t="str">
        <v>Lloyds Enterpris</v>
      </c>
      <c r="C1448">
        <v>74.481432999999996</v>
      </c>
      <c r="D1448">
        <v>19.037956237792969</v>
      </c>
      <c r="E1448">
        <v>18.609729766845703</v>
      </c>
      <c r="F1448">
        <v>0.97750699520111084</v>
      </c>
      <c r="G1448">
        <v>71.087501525878906</v>
      </c>
      <c r="H1448">
        <v>9.9999997764825821E-3</v>
      </c>
      <c r="I1448">
        <v>9051.1796875</v>
      </c>
      <c r="J1448">
        <v>1281</v>
      </c>
    </row>
    <row r="1449" spans="1:10" x14ac:dyDescent="0.25">
      <c r="A1449">
        <v>2629</v>
      </c>
      <c r="B1449" t="str">
        <v>Lloyds Metals</v>
      </c>
      <c r="C1449">
        <v>108.420624</v>
      </c>
      <c r="D1449">
        <v>368.19625854492188</v>
      </c>
      <c r="E1449">
        <v>403.37579345703125</v>
      </c>
      <c r="F1449">
        <v>1.0955460071563721</v>
      </c>
      <c r="G1449">
        <v>1489.1875</v>
      </c>
      <c r="H1449">
        <v>9.0000003576278687E-2</v>
      </c>
      <c r="I1449">
        <v>76641.859375</v>
      </c>
      <c r="J1449">
        <v>1359</v>
      </c>
    </row>
    <row r="1450" spans="1:10" x14ac:dyDescent="0.25">
      <c r="A1450">
        <v>13320</v>
      </c>
      <c r="B1450" t="str">
        <v>Lokesh Mach.</v>
      </c>
      <c r="C1450">
        <v>30.622828999999999</v>
      </c>
      <c r="D1450">
        <v>151.05841064453125</v>
      </c>
      <c r="E1450">
        <v>132.49691772460938</v>
      </c>
      <c r="F1450">
        <v>0.87712401151657104</v>
      </c>
      <c r="G1450">
        <v>168.89999389648438</v>
      </c>
      <c r="H1450">
        <v>0.57999998331069946</v>
      </c>
      <c r="I1450">
        <v>326.25</v>
      </c>
      <c r="J1450">
        <v>1354</v>
      </c>
    </row>
    <row r="1451" spans="1:10" x14ac:dyDescent="0.25">
      <c r="A1451">
        <v>15866</v>
      </c>
      <c r="B1451" t="str">
        <v>Longspur Intl</v>
      </c>
      <c r="C1451">
        <v>43.865217000000001</v>
      </c>
      <c r="D1451">
        <v>5.7311339378356934</v>
      </c>
      <c r="E1451">
        <v>3.1333649158477783</v>
      </c>
      <c r="F1451">
        <v>0.54672700166702271</v>
      </c>
      <c r="G1451">
        <v>5.6550002098083496</v>
      </c>
      <c r="H1451">
        <v>9.9999997764825821E-3</v>
      </c>
      <c r="I1451">
        <v>7.7100000381469727</v>
      </c>
      <c r="J1451">
        <v>1160</v>
      </c>
    </row>
    <row r="1452" spans="1:10" x14ac:dyDescent="0.25">
      <c r="A1452">
        <v>4016</v>
      </c>
      <c r="B1452" t="str">
        <v>Longview Tea</v>
      </c>
      <c r="C1452">
        <v>34.212384999999998</v>
      </c>
      <c r="D1452">
        <v>28.589969635009766</v>
      </c>
      <c r="E1452">
        <v>11.951225280761719</v>
      </c>
      <c r="F1452">
        <v>0.41802200675010681</v>
      </c>
      <c r="G1452">
        <v>35.849998474121094</v>
      </c>
      <c r="H1452">
        <v>0</v>
      </c>
      <c r="I1452">
        <v>10.489999771118164</v>
      </c>
      <c r="J1452">
        <v>1155</v>
      </c>
    </row>
    <row r="1453" spans="1:10" x14ac:dyDescent="0.25">
      <c r="A1453">
        <v>385</v>
      </c>
      <c r="B1453" t="str">
        <v>Lords Chloro</v>
      </c>
      <c r="C1453">
        <v>30.848528000000002</v>
      </c>
      <c r="D1453">
        <v>117.49298858642578</v>
      </c>
      <c r="E1453">
        <v>72.869033813476563</v>
      </c>
      <c r="F1453">
        <v>0.62019902467727661</v>
      </c>
      <c r="G1453">
        <v>160.23750305175781</v>
      </c>
      <c r="H1453">
        <v>0.20000000298023224</v>
      </c>
      <c r="I1453">
        <v>396.239990234375</v>
      </c>
      <c r="J1453">
        <v>1337</v>
      </c>
    </row>
    <row r="1454" spans="1:10" x14ac:dyDescent="0.25">
      <c r="A1454">
        <v>4813</v>
      </c>
      <c r="B1454" t="str">
        <v>Lords Ishwar</v>
      </c>
      <c r="C1454">
        <v>23.324401999999999</v>
      </c>
      <c r="D1454">
        <v>11.263832092285156</v>
      </c>
      <c r="E1454">
        <v>5.7740120887756348</v>
      </c>
      <c r="F1454">
        <v>0.51261502504348755</v>
      </c>
      <c r="G1454">
        <v>19</v>
      </c>
      <c r="H1454">
        <v>0.56000000238418579</v>
      </c>
      <c r="I1454">
        <v>14.189999580383301</v>
      </c>
      <c r="J1454">
        <v>998</v>
      </c>
    </row>
    <row r="1455" spans="1:10" x14ac:dyDescent="0.25">
      <c r="A1455">
        <v>71792</v>
      </c>
      <c r="B1455" t="str">
        <v>Lorenzini Appar.</v>
      </c>
      <c r="C1455">
        <v>70.813355000000001</v>
      </c>
      <c r="D1455">
        <v>14.055960655212402</v>
      </c>
      <c r="E1455">
        <v>9.4304704666137695</v>
      </c>
      <c r="F1455">
        <v>0.67092299461364746</v>
      </c>
      <c r="G1455">
        <v>12.75</v>
      </c>
      <c r="H1455">
        <v>0.8399999737739563</v>
      </c>
      <c r="I1455">
        <v>218.16999816894531</v>
      </c>
      <c r="J1455">
        <v>760</v>
      </c>
    </row>
    <row r="1456" spans="1:10" x14ac:dyDescent="0.25">
      <c r="A1456">
        <v>2252</v>
      </c>
      <c r="B1456" t="str">
        <v>Lotus Chocolate</v>
      </c>
      <c r="C1456">
        <v>93.888022000000007</v>
      </c>
      <c r="D1456">
        <v>341.5211181640625</v>
      </c>
      <c r="E1456">
        <v>474.8275146484375</v>
      </c>
      <c r="F1456">
        <v>1.3903310298919678</v>
      </c>
      <c r="G1456">
        <v>1453.22509765625</v>
      </c>
      <c r="H1456">
        <v>0.15999999642372131</v>
      </c>
      <c r="I1456">
        <v>1873.9300537109375</v>
      </c>
      <c r="J1456">
        <v>1331</v>
      </c>
    </row>
    <row r="1457" spans="1:10" x14ac:dyDescent="0.25">
      <c r="A1457">
        <v>28967</v>
      </c>
      <c r="B1457" t="str">
        <v>Lotus Eye Hospit</v>
      </c>
      <c r="C1457">
        <v>21.139040999999999</v>
      </c>
      <c r="D1457">
        <v>58.295860290527344</v>
      </c>
      <c r="E1457">
        <v>19.476388931274414</v>
      </c>
      <c r="F1457">
        <v>0.33409601449966431</v>
      </c>
      <c r="G1457">
        <v>70.642501831054688</v>
      </c>
      <c r="H1457">
        <v>1.9999999552965164E-2</v>
      </c>
      <c r="I1457">
        <v>144.80000305175781</v>
      </c>
      <c r="J1457">
        <v>1325</v>
      </c>
    </row>
    <row r="1458" spans="1:10" x14ac:dyDescent="0.25">
      <c r="A1458">
        <v>15871</v>
      </c>
      <c r="B1458" t="str">
        <v>Lovable Lingerie</v>
      </c>
      <c r="C1458">
        <v>4.7205909999999998</v>
      </c>
      <c r="D1458">
        <v>115.6041259765625</v>
      </c>
      <c r="E1458">
        <v>34.588634490966797</v>
      </c>
      <c r="F1458">
        <v>0.29919898509979248</v>
      </c>
      <c r="G1458">
        <v>95.904998779296875</v>
      </c>
      <c r="H1458">
        <v>5.000000074505806E-2</v>
      </c>
      <c r="I1458">
        <v>139.33999633789063</v>
      </c>
      <c r="J1458">
        <v>1358</v>
      </c>
    </row>
    <row r="1459" spans="1:10" x14ac:dyDescent="0.25">
      <c r="A1459">
        <v>66424</v>
      </c>
      <c r="B1459" t="str">
        <v>Loyal Equipments</v>
      </c>
      <c r="C1459">
        <v>45.314570000000003</v>
      </c>
      <c r="D1459">
        <v>104.83386993408203</v>
      </c>
      <c r="E1459">
        <v>92.146507263183594</v>
      </c>
      <c r="F1459">
        <v>0.87897598743438721</v>
      </c>
      <c r="G1459">
        <v>327.75</v>
      </c>
      <c r="H1459">
        <v>0.4699999988079071</v>
      </c>
      <c r="I1459">
        <v>350.67999267578125</v>
      </c>
      <c r="J1459">
        <v>1286</v>
      </c>
    </row>
    <row r="1460" spans="1:10" x14ac:dyDescent="0.25">
      <c r="A1460">
        <v>3253</v>
      </c>
      <c r="B1460" t="str">
        <v>Ludlow Jute</v>
      </c>
      <c r="C1460">
        <v>25.275925999999998</v>
      </c>
      <c r="D1460">
        <v>103.24044799804688</v>
      </c>
      <c r="E1460">
        <v>46.758834838867188</v>
      </c>
      <c r="F1460">
        <v>0.45291200280189514</v>
      </c>
      <c r="G1460">
        <v>316.76251220703125</v>
      </c>
      <c r="H1460">
        <v>0.69999998807907104</v>
      </c>
      <c r="I1460">
        <v>347.17001342773438</v>
      </c>
      <c r="J1460">
        <v>1359</v>
      </c>
    </row>
    <row r="1461" spans="1:10" x14ac:dyDescent="0.25">
      <c r="A1461">
        <v>1566</v>
      </c>
      <c r="B1461" t="str">
        <v>Luharuka Media</v>
      </c>
      <c r="C1461">
        <v>54.909916000000003</v>
      </c>
      <c r="D1461">
        <v>2.4707860946655273</v>
      </c>
      <c r="E1461">
        <v>1.5306119918823242</v>
      </c>
      <c r="F1461">
        <v>0.61948400735855103</v>
      </c>
      <c r="G1461">
        <v>4.8350000381469727</v>
      </c>
      <c r="H1461">
        <v>2.9999999329447746E-2</v>
      </c>
      <c r="I1461">
        <v>93.290000915527344</v>
      </c>
      <c r="J1461">
        <v>1202</v>
      </c>
    </row>
    <row r="1462" spans="1:10" x14ac:dyDescent="0.25">
      <c r="A1462">
        <v>23562</v>
      </c>
      <c r="B1462" t="str">
        <v>Lumax Auto Tech.</v>
      </c>
      <c r="C1462">
        <v>45.697783999999999</v>
      </c>
      <c r="D1462">
        <v>288.43212890625</v>
      </c>
      <c r="E1462">
        <v>183.792724609375</v>
      </c>
      <c r="F1462">
        <v>0.63721299171447754</v>
      </c>
      <c r="G1462">
        <v>1105.41259765625</v>
      </c>
      <c r="H1462">
        <v>0.54000002145767212</v>
      </c>
      <c r="I1462">
        <v>7502.7998046875</v>
      </c>
      <c r="J1462">
        <v>1358</v>
      </c>
    </row>
    <row r="1463" spans="1:10" x14ac:dyDescent="0.25">
      <c r="A1463">
        <v>3026</v>
      </c>
      <c r="B1463" t="str">
        <v>Lupin</v>
      </c>
      <c r="C1463">
        <v>17.310732000000002</v>
      </c>
      <c r="D1463">
        <v>1160.1192626953125</v>
      </c>
      <c r="E1463">
        <v>494.69418334960938</v>
      </c>
      <c r="F1463">
        <v>0.42641699314117432</v>
      </c>
      <c r="G1463">
        <v>1941.987548828125</v>
      </c>
      <c r="H1463">
        <v>1.9999999552965164E-2</v>
      </c>
      <c r="I1463">
        <v>88256.3984375</v>
      </c>
      <c r="J1463">
        <v>1359</v>
      </c>
    </row>
    <row r="1464" spans="1:10" x14ac:dyDescent="0.25">
      <c r="A1464">
        <v>23448</v>
      </c>
      <c r="B1464" t="str">
        <v>Lux Industries</v>
      </c>
      <c r="C1464">
        <v>2.0624340000000001</v>
      </c>
      <c r="D1464">
        <v>1870.308349609375</v>
      </c>
      <c r="E1464">
        <v>805.689208984375</v>
      </c>
      <c r="F1464">
        <v>0.43077901005744934</v>
      </c>
      <c r="G1464">
        <v>1436.5</v>
      </c>
      <c r="H1464">
        <v>0.12999999523162842</v>
      </c>
      <c r="I1464">
        <v>4255.2900390625</v>
      </c>
      <c r="J1464">
        <v>1359</v>
      </c>
    </row>
    <row r="1465" spans="1:10" x14ac:dyDescent="0.25">
      <c r="A1465">
        <v>677</v>
      </c>
      <c r="B1465" t="str">
        <v>Lyka Labs</v>
      </c>
      <c r="C1465">
        <v>33.211215000000003</v>
      </c>
      <c r="D1465">
        <v>98.469505310058594</v>
      </c>
      <c r="E1465">
        <v>52.040920257568359</v>
      </c>
      <c r="F1465">
        <v>0.52849799394607544</v>
      </c>
      <c r="G1465">
        <v>113.15000152587891</v>
      </c>
      <c r="H1465">
        <v>0.73000001907348633</v>
      </c>
      <c r="I1465">
        <v>400.07998657226563</v>
      </c>
      <c r="J1465">
        <v>1359</v>
      </c>
    </row>
    <row r="1466" spans="1:10" x14ac:dyDescent="0.25">
      <c r="A1466">
        <v>18922</v>
      </c>
      <c r="B1466" t="str">
        <v>Lypsa Gems</v>
      </c>
      <c r="C1466">
        <v>10.892265</v>
      </c>
      <c r="D1466">
        <v>5.6441278457641602</v>
      </c>
      <c r="E1466">
        <v>1.4595780372619629</v>
      </c>
      <c r="F1466">
        <v>0.25860100984573364</v>
      </c>
      <c r="G1466">
        <v>8.1149997711181641</v>
      </c>
      <c r="H1466">
        <v>0.18999999761581421</v>
      </c>
      <c r="I1466">
        <v>23.379999160766602</v>
      </c>
      <c r="J1466">
        <v>1310</v>
      </c>
    </row>
    <row r="1467" spans="1:10" x14ac:dyDescent="0.25">
      <c r="A1467">
        <v>365</v>
      </c>
      <c r="B1467" t="str">
        <v>M &amp; M</v>
      </c>
      <c r="C1467">
        <v>33.245440000000002</v>
      </c>
      <c r="D1467">
        <v>1409.009521484375</v>
      </c>
      <c r="E1467">
        <v>834.736572265625</v>
      </c>
      <c r="F1467">
        <v>0.59242802858352661</v>
      </c>
      <c r="G1467">
        <v>3068.012451171875</v>
      </c>
      <c r="H1467">
        <v>7.0000000298023224E-2</v>
      </c>
      <c r="I1467">
        <v>384474.25</v>
      </c>
      <c r="J1467">
        <v>1359</v>
      </c>
    </row>
    <row r="1468" spans="1:10" x14ac:dyDescent="0.25">
      <c r="A1468">
        <v>40410</v>
      </c>
      <c r="B1468" t="str">
        <v>M E T S</v>
      </c>
      <c r="C1468">
        <v>12.209002</v>
      </c>
      <c r="D1468">
        <v>93.541404724121094</v>
      </c>
      <c r="E1468">
        <v>42.546943664550781</v>
      </c>
      <c r="F1468">
        <v>0.45484599471092224</v>
      </c>
      <c r="G1468">
        <v>140.55000305175781</v>
      </c>
      <c r="H1468">
        <v>0.18000000715255737</v>
      </c>
      <c r="I1468">
        <v>74.639999389648438</v>
      </c>
      <c r="J1468">
        <v>1306</v>
      </c>
    </row>
    <row r="1469" spans="1:10" x14ac:dyDescent="0.25">
      <c r="A1469">
        <v>13817</v>
      </c>
      <c r="B1469" t="str">
        <v>M K Exim India</v>
      </c>
      <c r="C1469">
        <v>54.828797000000002</v>
      </c>
      <c r="D1469">
        <v>48.112865447998047</v>
      </c>
      <c r="E1469">
        <v>31.708942413330078</v>
      </c>
      <c r="F1469">
        <v>0.65905302762985229</v>
      </c>
      <c r="G1469">
        <v>64.319999694824219</v>
      </c>
      <c r="H1469">
        <v>1.9999999552965164E-2</v>
      </c>
      <c r="I1469">
        <v>256.57000732421875</v>
      </c>
      <c r="J1469">
        <v>1354</v>
      </c>
    </row>
    <row r="1470" spans="1:10" x14ac:dyDescent="0.25">
      <c r="A1470">
        <v>352</v>
      </c>
      <c r="B1470" t="str">
        <v>M M Rubber</v>
      </c>
      <c r="C1470">
        <v>12.976106</v>
      </c>
      <c r="D1470">
        <v>77.376197814941406</v>
      </c>
      <c r="E1470">
        <v>31.578596115112305</v>
      </c>
      <c r="F1470">
        <v>0.40811800956726074</v>
      </c>
      <c r="G1470">
        <v>81.550003051757813</v>
      </c>
      <c r="H1470">
        <v>0.50999999046325684</v>
      </c>
      <c r="I1470">
        <v>49.959999084472656</v>
      </c>
      <c r="J1470">
        <v>1286</v>
      </c>
    </row>
    <row r="1471" spans="1:10" x14ac:dyDescent="0.25">
      <c r="A1471">
        <v>1304</v>
      </c>
      <c r="B1471" t="str">
        <v>M P Agro Inds.</v>
      </c>
      <c r="C1471">
        <v>35.380383000000002</v>
      </c>
      <c r="D1471">
        <v>8.570530891418457</v>
      </c>
      <c r="E1471">
        <v>3.6779890060424805</v>
      </c>
      <c r="F1471">
        <v>0.4291439950466156</v>
      </c>
      <c r="G1471">
        <v>12.590000152587891</v>
      </c>
      <c r="H1471">
        <v>0</v>
      </c>
      <c r="I1471">
        <v>7.309999942779541</v>
      </c>
      <c r="J1471">
        <v>1084</v>
      </c>
    </row>
    <row r="1472" spans="1:10" x14ac:dyDescent="0.25">
      <c r="A1472">
        <v>2293</v>
      </c>
      <c r="B1472" t="str">
        <v>M T N L</v>
      </c>
      <c r="C1472">
        <v>30.909873000000001</v>
      </c>
      <c r="D1472">
        <v>26.442794799804688</v>
      </c>
      <c r="E1472">
        <v>14.761937141418457</v>
      </c>
      <c r="F1472">
        <v>0.55825901031494141</v>
      </c>
      <c r="G1472">
        <v>48.284999847412109</v>
      </c>
      <c r="H1472">
        <v>0</v>
      </c>
      <c r="I1472">
        <v>2977.3798828125</v>
      </c>
      <c r="J1472">
        <v>1359</v>
      </c>
    </row>
    <row r="1473" spans="1:10" x14ac:dyDescent="0.25">
      <c r="A1473">
        <v>55355</v>
      </c>
      <c r="B1473" t="str">
        <v>MANGALAM SEEDS</v>
      </c>
      <c r="C1473">
        <v>22.747340000000001</v>
      </c>
      <c r="D1473">
        <v>145.21122741699219</v>
      </c>
      <c r="E1473">
        <v>79.062385559082031</v>
      </c>
      <c r="F1473">
        <v>0.54446500539779663</v>
      </c>
      <c r="G1473">
        <v>175.30000305175781</v>
      </c>
      <c r="H1473">
        <v>0.55000001192092896</v>
      </c>
      <c r="I1473">
        <v>193.41999816894531</v>
      </c>
      <c r="J1473">
        <v>1318</v>
      </c>
    </row>
    <row r="1474" spans="1:10" x14ac:dyDescent="0.25">
      <c r="A1474">
        <v>27558</v>
      </c>
      <c r="B1474" t="str">
        <v>MBL Infrast</v>
      </c>
      <c r="C1474">
        <v>46.355246999999999</v>
      </c>
      <c r="D1474">
        <v>28.766098022460938</v>
      </c>
      <c r="E1474">
        <v>17.892768859863281</v>
      </c>
      <c r="F1474">
        <v>0.62200897932052612</v>
      </c>
      <c r="G1474">
        <v>44.465000152587891</v>
      </c>
      <c r="H1474">
        <v>0.63999998569488525</v>
      </c>
      <c r="I1474">
        <v>538.6400146484375</v>
      </c>
      <c r="J1474">
        <v>1353</v>
      </c>
    </row>
    <row r="1475" spans="1:10" x14ac:dyDescent="0.25">
      <c r="A1475">
        <v>34020</v>
      </c>
      <c r="B1475" t="str">
        <v>MEP Infrast.</v>
      </c>
      <c r="C1475">
        <v>-47.043390000000002</v>
      </c>
      <c r="D1475">
        <v>15.951325416564941</v>
      </c>
      <c r="E1475">
        <v>7.6408839225769043</v>
      </c>
      <c r="F1475">
        <v>0.47901201248168945</v>
      </c>
      <c r="G1475">
        <v>2.4749999046325684</v>
      </c>
      <c r="H1475">
        <v>0.80000001192092896</v>
      </c>
      <c r="I1475">
        <v>45.430000305175781</v>
      </c>
      <c r="J1475">
        <v>1298</v>
      </c>
    </row>
    <row r="1476" spans="1:10" x14ac:dyDescent="0.25">
      <c r="A1476">
        <v>4207</v>
      </c>
      <c r="B1476" t="str">
        <v>MFL India</v>
      </c>
      <c r="C1476">
        <v>21.579260999999999</v>
      </c>
      <c r="D1476">
        <v>0.66587501764297485</v>
      </c>
      <c r="E1476">
        <v>0.42625901103019714</v>
      </c>
      <c r="F1476">
        <v>0.64014899730682373</v>
      </c>
      <c r="G1476">
        <v>0.60000002384185791</v>
      </c>
      <c r="H1476">
        <v>0</v>
      </c>
      <c r="I1476">
        <v>21.620000839233398</v>
      </c>
      <c r="J1476">
        <v>1346</v>
      </c>
    </row>
    <row r="1477" spans="1:10" x14ac:dyDescent="0.25">
      <c r="A1477">
        <v>27654</v>
      </c>
      <c r="B1477" t="str">
        <v>MIC Electronics</v>
      </c>
      <c r="C1477">
        <v>88.969566999999998</v>
      </c>
      <c r="D1477">
        <v>31.66746711730957</v>
      </c>
      <c r="E1477">
        <v>29.500572204589844</v>
      </c>
      <c r="F1477">
        <v>0.93157297372817993</v>
      </c>
      <c r="G1477">
        <v>57.602500915527344</v>
      </c>
      <c r="H1477">
        <v>0.11999999731779099</v>
      </c>
      <c r="I1477">
        <v>1340.75</v>
      </c>
      <c r="J1477">
        <v>1053</v>
      </c>
    </row>
    <row r="1478" spans="1:10" x14ac:dyDescent="0.25">
      <c r="A1478">
        <v>2009</v>
      </c>
      <c r="B1478" t="str">
        <v>MILGREY FIN.&amp;INV</v>
      </c>
      <c r="C1478">
        <v>31.214092000000001</v>
      </c>
      <c r="D1478">
        <v>52.180149078369141</v>
      </c>
      <c r="E1478">
        <v>29.987995147705078</v>
      </c>
      <c r="F1478">
        <v>0.57470101118087769</v>
      </c>
      <c r="G1478">
        <v>99.980003356933594</v>
      </c>
      <c r="H1478">
        <v>0.44999998807907104</v>
      </c>
      <c r="I1478">
        <v>212.55000305175781</v>
      </c>
      <c r="J1478">
        <v>659</v>
      </c>
    </row>
    <row r="1479" spans="1:10" x14ac:dyDescent="0.25">
      <c r="A1479">
        <v>2805</v>
      </c>
      <c r="B1479" t="str">
        <v>MIRC Electronics</v>
      </c>
      <c r="C1479">
        <v>12.89306</v>
      </c>
      <c r="D1479">
        <v>16.774065017700195</v>
      </c>
      <c r="E1479">
        <v>5.9931721687316895</v>
      </c>
      <c r="F1479">
        <v>0.35728800296783447</v>
      </c>
      <c r="G1479">
        <v>15.467499732971191</v>
      </c>
      <c r="H1479">
        <v>0.57999998331069946</v>
      </c>
      <c r="I1479">
        <v>349.8900146484375</v>
      </c>
      <c r="J1479">
        <v>1359</v>
      </c>
    </row>
    <row r="1480" spans="1:10" x14ac:dyDescent="0.25">
      <c r="A1480">
        <v>4632</v>
      </c>
      <c r="B1480" t="str">
        <v>MKP Mobility</v>
      </c>
      <c r="C1480">
        <v>81.618605000000002</v>
      </c>
      <c r="D1480">
        <v>108.49760437011719</v>
      </c>
      <c r="E1480">
        <v>105.11598205566406</v>
      </c>
      <c r="F1480">
        <v>0.96883201599121094</v>
      </c>
      <c r="G1480">
        <v>114.17500305175781</v>
      </c>
      <c r="H1480">
        <v>9.9999997764825821E-3</v>
      </c>
      <c r="I1480">
        <v>38.659999847412109</v>
      </c>
      <c r="J1480">
        <v>634</v>
      </c>
    </row>
    <row r="1481" spans="1:10" x14ac:dyDescent="0.25">
      <c r="A1481">
        <v>2292</v>
      </c>
      <c r="B1481" t="str">
        <v>MMTC</v>
      </c>
      <c r="C1481">
        <v>24.050871999999998</v>
      </c>
      <c r="D1481">
        <v>46.663928985595703</v>
      </c>
      <c r="E1481">
        <v>22.018753051757813</v>
      </c>
      <c r="F1481">
        <v>0.47185799479484558</v>
      </c>
      <c r="G1481">
        <v>67.694999694824219</v>
      </c>
      <c r="H1481">
        <v>1.9999999552965164E-2</v>
      </c>
      <c r="I1481">
        <v>9982.5</v>
      </c>
      <c r="J1481">
        <v>1359</v>
      </c>
    </row>
    <row r="1482" spans="1:10" x14ac:dyDescent="0.25">
      <c r="A1482">
        <v>13863</v>
      </c>
      <c r="B1482" t="str">
        <v>MOIL</v>
      </c>
      <c r="C1482">
        <v>16.830825999999998</v>
      </c>
      <c r="D1482">
        <v>221.00166320800781</v>
      </c>
      <c r="E1482">
        <v>101.67194366455078</v>
      </c>
      <c r="F1482">
        <v>0.46005100011825562</v>
      </c>
      <c r="G1482">
        <v>361.02499389648438</v>
      </c>
      <c r="H1482">
        <v>0</v>
      </c>
      <c r="I1482">
        <v>7269.509765625</v>
      </c>
      <c r="J1482">
        <v>1359</v>
      </c>
    </row>
    <row r="1483" spans="1:10" x14ac:dyDescent="0.25">
      <c r="A1483">
        <v>24059</v>
      </c>
      <c r="B1483" t="str">
        <v>MPDL Ltd</v>
      </c>
      <c r="C1483">
        <v>56.392007999999997</v>
      </c>
      <c r="D1483">
        <v>27.702177047729492</v>
      </c>
      <c r="E1483">
        <v>17.13642692565918</v>
      </c>
      <c r="F1483">
        <v>0.61859500408172607</v>
      </c>
      <c r="G1483">
        <v>49.494998931884766</v>
      </c>
      <c r="H1483">
        <v>0.68999999761581421</v>
      </c>
      <c r="I1483">
        <v>36.919998168945313</v>
      </c>
      <c r="J1483">
        <v>1147</v>
      </c>
    </row>
    <row r="1484" spans="1:10" x14ac:dyDescent="0.25">
      <c r="A1484">
        <v>22910</v>
      </c>
      <c r="B1484" t="str">
        <v>MPF Systems</v>
      </c>
      <c r="C1484">
        <v>62.009129999999999</v>
      </c>
      <c r="D1484">
        <v>18.274412155151367</v>
      </c>
      <c r="E1484">
        <v>23.858234405517578</v>
      </c>
      <c r="F1484">
        <v>1.3055540323257446</v>
      </c>
      <c r="G1484">
        <v>96.089996337890625</v>
      </c>
      <c r="H1484">
        <v>0</v>
      </c>
      <c r="I1484">
        <v>1.6299999952316284</v>
      </c>
      <c r="J1484">
        <v>250</v>
      </c>
    </row>
    <row r="1485" spans="1:10" x14ac:dyDescent="0.25">
      <c r="A1485">
        <v>370</v>
      </c>
      <c r="B1485" t="str">
        <v>MPIL Corporation</v>
      </c>
      <c r="C1485">
        <v>25.172951999999999</v>
      </c>
      <c r="D1485">
        <v>423.16702270507813</v>
      </c>
      <c r="E1485">
        <v>274.57186889648438</v>
      </c>
      <c r="F1485">
        <v>0.64885002374649048</v>
      </c>
      <c r="G1485">
        <v>608</v>
      </c>
      <c r="H1485">
        <v>9.9999997764825821E-3</v>
      </c>
      <c r="I1485">
        <v>32.919998168945313</v>
      </c>
      <c r="J1485">
        <v>848</v>
      </c>
    </row>
    <row r="1486" spans="1:10" x14ac:dyDescent="0.25">
      <c r="A1486">
        <v>3174</v>
      </c>
      <c r="B1486" t="str">
        <v>MPL Plastics</v>
      </c>
      <c r="C1486">
        <v>16.615929999999999</v>
      </c>
      <c r="D1486">
        <v>10.77126407623291</v>
      </c>
      <c r="E1486">
        <v>5.0966978073120117</v>
      </c>
      <c r="F1486">
        <v>0.47317600250244141</v>
      </c>
      <c r="G1486">
        <v>9.942500114440918</v>
      </c>
      <c r="H1486">
        <v>0</v>
      </c>
      <c r="I1486">
        <v>12.260000228881836</v>
      </c>
      <c r="J1486">
        <v>1347</v>
      </c>
    </row>
    <row r="1487" spans="1:10" x14ac:dyDescent="0.25">
      <c r="A1487">
        <v>18868</v>
      </c>
      <c r="B1487" t="str">
        <v>MPS</v>
      </c>
      <c r="C1487">
        <v>32.229778000000003</v>
      </c>
      <c r="D1487">
        <v>1092.880859375</v>
      </c>
      <c r="E1487">
        <v>716.72088623046875</v>
      </c>
      <c r="F1487">
        <v>0.65580898523330688</v>
      </c>
      <c r="G1487">
        <v>2586.6875</v>
      </c>
      <c r="H1487">
        <v>9.9999997764825821E-3</v>
      </c>
      <c r="I1487">
        <v>4363.18017578125</v>
      </c>
      <c r="J1487">
        <v>1358</v>
      </c>
    </row>
    <row r="1488" spans="1:10" x14ac:dyDescent="0.25">
      <c r="A1488">
        <v>71732</v>
      </c>
      <c r="B1488" t="str">
        <v>MRC Agrotech</v>
      </c>
      <c r="C1488">
        <v>22.347276000000001</v>
      </c>
      <c r="D1488">
        <v>25.761589050292969</v>
      </c>
      <c r="E1488">
        <v>22.111228942871094</v>
      </c>
      <c r="F1488">
        <v>0.85830199718475342</v>
      </c>
      <c r="G1488">
        <v>23.135000228881836</v>
      </c>
      <c r="H1488">
        <v>7.0000000298023224E-2</v>
      </c>
      <c r="I1488">
        <v>48.099998474121094</v>
      </c>
      <c r="J1488">
        <v>1122</v>
      </c>
    </row>
    <row r="1489" spans="1:10" x14ac:dyDescent="0.25">
      <c r="A1489">
        <v>391</v>
      </c>
      <c r="B1489" t="str">
        <v>MRF</v>
      </c>
      <c r="C1489">
        <v>13.397702000000001</v>
      </c>
      <c r="D1489">
        <v>93972.3125</v>
      </c>
      <c r="E1489">
        <v>25695.458984375</v>
      </c>
      <c r="F1489">
        <v>0.27343600988388062</v>
      </c>
      <c r="G1489">
        <v>136847.375</v>
      </c>
      <c r="H1489">
        <v>0.15999999642372131</v>
      </c>
      <c r="I1489">
        <v>58492.2109375</v>
      </c>
      <c r="J1489">
        <v>1359</v>
      </c>
    </row>
    <row r="1490" spans="1:10" x14ac:dyDescent="0.25">
      <c r="A1490">
        <v>2291</v>
      </c>
      <c r="B1490" t="str">
        <v>MSTC</v>
      </c>
      <c r="C1490">
        <v>24.000510999999999</v>
      </c>
      <c r="D1490">
        <v>397.85348510742188</v>
      </c>
      <c r="E1490">
        <v>237.13862609863281</v>
      </c>
      <c r="F1490">
        <v>0.59604501724243164</v>
      </c>
      <c r="G1490">
        <v>502.83749389648438</v>
      </c>
      <c r="H1490">
        <v>0.23000000417232513</v>
      </c>
      <c r="I1490">
        <v>3514.02001953125</v>
      </c>
      <c r="J1490">
        <v>1359</v>
      </c>
    </row>
    <row r="1491" spans="1:10" x14ac:dyDescent="0.25">
      <c r="A1491">
        <v>28013</v>
      </c>
      <c r="B1491" t="str">
        <v>Maan Aluminium</v>
      </c>
      <c r="C1491">
        <v>56.532730999999998</v>
      </c>
      <c r="D1491">
        <v>64.12762451171875</v>
      </c>
      <c r="E1491">
        <v>53.020763397216797</v>
      </c>
      <c r="F1491">
        <v>0.82680100202560425</v>
      </c>
      <c r="G1491">
        <v>128.60000610351563</v>
      </c>
      <c r="H1491">
        <v>0.30000001192092896</v>
      </c>
      <c r="I1491">
        <v>683.6300048828125</v>
      </c>
      <c r="J1491">
        <v>1351</v>
      </c>
    </row>
    <row r="1492" spans="1:10" x14ac:dyDescent="0.25">
      <c r="A1492">
        <v>68224</v>
      </c>
      <c r="B1492" t="str">
        <v>Madhav Infra</v>
      </c>
      <c r="C1492">
        <v>15.913081999999999</v>
      </c>
      <c r="D1492">
        <v>7.5316381454467773</v>
      </c>
      <c r="E1492">
        <v>4.0324301719665527</v>
      </c>
      <c r="F1492">
        <v>0.53539901971817017</v>
      </c>
      <c r="G1492">
        <v>13.967499732971191</v>
      </c>
      <c r="H1492">
        <v>0.81000000238418579</v>
      </c>
      <c r="I1492">
        <v>371.48001098632813</v>
      </c>
      <c r="J1492">
        <v>1343</v>
      </c>
    </row>
    <row r="1493" spans="1:10" x14ac:dyDescent="0.25">
      <c r="A1493">
        <v>2521</v>
      </c>
      <c r="B1493" t="str">
        <v>Madhav Marbles</v>
      </c>
      <c r="C1493">
        <v>7.8192810000000001</v>
      </c>
      <c r="D1493">
        <v>46.082145690917969</v>
      </c>
      <c r="E1493">
        <v>11.438364028930664</v>
      </c>
      <c r="F1493">
        <v>0.24821700155735016</v>
      </c>
      <c r="G1493">
        <v>47.775001525878906</v>
      </c>
      <c r="H1493">
        <v>7.9999998211860657E-2</v>
      </c>
      <c r="I1493">
        <v>42.759998321533203</v>
      </c>
      <c r="J1493">
        <v>1331</v>
      </c>
    </row>
    <row r="1494" spans="1:10" x14ac:dyDescent="0.25">
      <c r="A1494">
        <v>12208</v>
      </c>
      <c r="B1494" t="str">
        <v>Madhucon Project</v>
      </c>
      <c r="C1494">
        <v>15.215831</v>
      </c>
      <c r="D1494">
        <v>6.6802420616149902</v>
      </c>
      <c r="E1494">
        <v>3.0051860809326172</v>
      </c>
      <c r="F1494">
        <v>0.44986200332641602</v>
      </c>
      <c r="G1494">
        <v>8.1949996948242188</v>
      </c>
      <c r="H1494">
        <v>0.85000002384185791</v>
      </c>
      <c r="I1494">
        <v>62.209999084472656</v>
      </c>
      <c r="J1494">
        <v>1301</v>
      </c>
    </row>
    <row r="1495" spans="1:10" x14ac:dyDescent="0.25">
      <c r="A1495">
        <v>3251</v>
      </c>
      <c r="B1495" t="str">
        <v>Madhur Inds</v>
      </c>
      <c r="C1495">
        <v>15.493385</v>
      </c>
      <c r="D1495">
        <v>4.8763761520385742</v>
      </c>
      <c r="E1495">
        <v>1.1389319896697998</v>
      </c>
      <c r="F1495">
        <v>0.23356099426746368</v>
      </c>
      <c r="G1495">
        <v>6.880000114440918</v>
      </c>
      <c r="H1495">
        <v>1.9999999552965164E-2</v>
      </c>
      <c r="I1495">
        <v>2.809999942779541</v>
      </c>
      <c r="J1495">
        <v>516</v>
      </c>
    </row>
    <row r="1496" spans="1:10" x14ac:dyDescent="0.25">
      <c r="A1496">
        <v>1435</v>
      </c>
      <c r="B1496" t="str">
        <v>Madhusudan Inds.</v>
      </c>
      <c r="C1496">
        <v>30.423226</v>
      </c>
      <c r="D1496">
        <v>36.866920471191406</v>
      </c>
      <c r="E1496">
        <v>21.34105110168457</v>
      </c>
      <c r="F1496">
        <v>0.57886701822280884</v>
      </c>
      <c r="G1496">
        <v>40.064998626708984</v>
      </c>
      <c r="H1496">
        <v>0</v>
      </c>
      <c r="I1496">
        <v>21.459999084472656</v>
      </c>
      <c r="J1496">
        <v>1183</v>
      </c>
    </row>
    <row r="1497" spans="1:10" x14ac:dyDescent="0.25">
      <c r="A1497">
        <v>1688</v>
      </c>
      <c r="B1497" t="str">
        <v>Madhusudan Sec.</v>
      </c>
      <c r="C1497">
        <v>30.604678</v>
      </c>
      <c r="D1497">
        <v>15.074073791503906</v>
      </c>
      <c r="E1497">
        <v>10.780805587768555</v>
      </c>
      <c r="F1497">
        <v>0.71518898010253906</v>
      </c>
      <c r="G1497">
        <v>23.3125</v>
      </c>
      <c r="H1497">
        <v>0</v>
      </c>
      <c r="I1497">
        <v>25.129999160766602</v>
      </c>
      <c r="J1497">
        <v>947</v>
      </c>
    </row>
    <row r="1498" spans="1:10" x14ac:dyDescent="0.25">
      <c r="A1498">
        <v>5704</v>
      </c>
      <c r="B1498" t="str">
        <v>Madras Fertilize</v>
      </c>
      <c r="C1498">
        <v>28.882391999999999</v>
      </c>
      <c r="D1498">
        <v>56.535320281982422</v>
      </c>
      <c r="E1498">
        <v>31.910284042358398</v>
      </c>
      <c r="F1498">
        <v>0.56443101167678833</v>
      </c>
      <c r="G1498">
        <v>89.790000915527344</v>
      </c>
      <c r="H1498">
        <v>0</v>
      </c>
      <c r="I1498">
        <v>1418.010009765625</v>
      </c>
      <c r="J1498">
        <v>1359</v>
      </c>
    </row>
    <row r="1499" spans="1:10" x14ac:dyDescent="0.25">
      <c r="A1499">
        <v>361</v>
      </c>
      <c r="B1499" t="str">
        <v>Mafatlal Inds.</v>
      </c>
      <c r="C1499">
        <v>44.657654999999998</v>
      </c>
      <c r="D1499">
        <v>74.25054931640625</v>
      </c>
      <c r="E1499">
        <v>58.174587249755859</v>
      </c>
      <c r="F1499">
        <v>0.78349000215530396</v>
      </c>
      <c r="G1499">
        <v>125.6875</v>
      </c>
      <c r="H1499">
        <v>0.11999999731779099</v>
      </c>
      <c r="I1499">
        <v>890.34002685546875</v>
      </c>
      <c r="J1499">
        <v>1359</v>
      </c>
    </row>
    <row r="1500" spans="1:10" x14ac:dyDescent="0.25">
      <c r="A1500">
        <v>65809</v>
      </c>
      <c r="B1500" t="str">
        <v>Magadh Sugar</v>
      </c>
      <c r="C1500">
        <v>34.103476999999998</v>
      </c>
      <c r="D1500">
        <v>391.02999877929688</v>
      </c>
      <c r="E1500">
        <v>234.77786254882813</v>
      </c>
      <c r="F1500">
        <v>0.60040897130966187</v>
      </c>
      <c r="G1500">
        <v>662.1500244140625</v>
      </c>
      <c r="H1500">
        <v>0.87999999523162842</v>
      </c>
      <c r="I1500">
        <v>922.44000244140625</v>
      </c>
      <c r="J1500">
        <v>1358</v>
      </c>
    </row>
    <row r="1501" spans="1:10" x14ac:dyDescent="0.25">
      <c r="A1501">
        <v>24555</v>
      </c>
      <c r="B1501" t="str">
        <v>Magellanic Cloud</v>
      </c>
      <c r="C1501">
        <v>85.678880000000007</v>
      </c>
      <c r="D1501">
        <v>39.897743225097656</v>
      </c>
      <c r="E1501">
        <v>42.260749816894531</v>
      </c>
      <c r="F1501">
        <v>1.0592260360717773</v>
      </c>
      <c r="G1501">
        <v>75</v>
      </c>
      <c r="H1501">
        <v>0.74000000953674316</v>
      </c>
      <c r="I1501">
        <v>4316.33984375</v>
      </c>
      <c r="J1501">
        <v>1359</v>
      </c>
    </row>
    <row r="1502" spans="1:10" x14ac:dyDescent="0.25">
      <c r="A1502">
        <v>3926</v>
      </c>
      <c r="B1502" t="str">
        <v>Magna Electrocas</v>
      </c>
      <c r="C1502">
        <v>35.577579999999998</v>
      </c>
      <c r="D1502">
        <v>376.33352661132813</v>
      </c>
      <c r="E1502">
        <v>271.59872436523438</v>
      </c>
      <c r="F1502">
        <v>0.72169697284698486</v>
      </c>
      <c r="G1502">
        <v>1076.612548828125</v>
      </c>
      <c r="H1502">
        <v>0</v>
      </c>
      <c r="I1502">
        <v>449.41000366210938</v>
      </c>
      <c r="J1502">
        <v>1358</v>
      </c>
    </row>
    <row r="1503" spans="1:10" x14ac:dyDescent="0.25">
      <c r="A1503">
        <v>2812</v>
      </c>
      <c r="B1503" t="str">
        <v>Magnus Retail</v>
      </c>
      <c r="C1503">
        <v>32.052070000000001</v>
      </c>
      <c r="D1503">
        <v>3.9994618892669678</v>
      </c>
      <c r="E1503">
        <v>2.1641559600830078</v>
      </c>
      <c r="F1503">
        <v>0.54111200571060181</v>
      </c>
      <c r="G1503">
        <v>9.1000003814697266</v>
      </c>
      <c r="H1503">
        <v>0</v>
      </c>
      <c r="I1503">
        <v>3.0799999237060547</v>
      </c>
      <c r="J1503">
        <v>167</v>
      </c>
    </row>
    <row r="1504" spans="1:10" x14ac:dyDescent="0.25">
      <c r="A1504">
        <v>2178</v>
      </c>
      <c r="B1504" t="str">
        <v>Mah. Corporation</v>
      </c>
      <c r="C1504">
        <v>23.565311999999999</v>
      </c>
      <c r="D1504">
        <v>0.92830801010131836</v>
      </c>
      <c r="E1504">
        <v>0.51647800207138062</v>
      </c>
      <c r="F1504">
        <v>0.55636399984359741</v>
      </c>
      <c r="G1504">
        <v>0.49000000953674316</v>
      </c>
      <c r="H1504">
        <v>0</v>
      </c>
      <c r="I1504">
        <v>30.420000076293945</v>
      </c>
      <c r="J1504">
        <v>1293</v>
      </c>
    </row>
    <row r="1505" spans="1:10" x14ac:dyDescent="0.25">
      <c r="A1505">
        <v>363</v>
      </c>
      <c r="B1505" t="str">
        <v>Mah. Scooters</v>
      </c>
      <c r="C1505">
        <v>21.574285</v>
      </c>
      <c r="D1505">
        <v>5696.845703125</v>
      </c>
      <c r="E1505">
        <v>2738.93896484375</v>
      </c>
      <c r="F1505">
        <v>0.48078200221061707</v>
      </c>
      <c r="G1505">
        <v>14079.82421875</v>
      </c>
      <c r="H1505">
        <v>0</v>
      </c>
      <c r="I1505">
        <v>15722.4501953125</v>
      </c>
      <c r="J1505">
        <v>1358</v>
      </c>
    </row>
    <row r="1506" spans="1:10" x14ac:dyDescent="0.25">
      <c r="A1506">
        <v>2191</v>
      </c>
      <c r="B1506" t="str">
        <v>Mah. Seamless</v>
      </c>
      <c r="C1506">
        <v>23.749461</v>
      </c>
      <c r="D1506">
        <v>407.39596557617188</v>
      </c>
      <c r="E1506">
        <v>260.789306640625</v>
      </c>
      <c r="F1506">
        <v>0.64013701677322388</v>
      </c>
      <c r="G1506">
        <v>674.41259765625</v>
      </c>
      <c r="H1506">
        <v>1.9999999552965164E-2</v>
      </c>
      <c r="I1506">
        <v>8981.4599609375</v>
      </c>
      <c r="J1506">
        <v>1359</v>
      </c>
    </row>
    <row r="1507" spans="1:10" x14ac:dyDescent="0.25">
      <c r="A1507">
        <v>2060</v>
      </c>
      <c r="B1507" t="str">
        <v>Maha Rashtra Apx</v>
      </c>
      <c r="C1507">
        <v>3.705724</v>
      </c>
      <c r="D1507">
        <v>110.57209777832031</v>
      </c>
      <c r="E1507">
        <v>31.865142822265625</v>
      </c>
      <c r="F1507">
        <v>0.28818398714065552</v>
      </c>
      <c r="G1507">
        <v>116.55000305175781</v>
      </c>
      <c r="H1507">
        <v>1.9999999552965164E-2</v>
      </c>
      <c r="I1507">
        <v>165.19999694824219</v>
      </c>
      <c r="J1507">
        <v>1283</v>
      </c>
    </row>
    <row r="1508" spans="1:10" x14ac:dyDescent="0.25">
      <c r="A1508">
        <v>4319</v>
      </c>
      <c r="B1508" t="str">
        <v>Mahalaxmi Rubtec</v>
      </c>
      <c r="C1508">
        <v>44.268628999999997</v>
      </c>
      <c r="D1508">
        <v>114.44996643066406</v>
      </c>
      <c r="E1508">
        <v>76.786262512207031</v>
      </c>
      <c r="F1508">
        <v>0.67091602087020874</v>
      </c>
      <c r="G1508">
        <v>215.55000305175781</v>
      </c>
      <c r="H1508">
        <v>0.36000001430511475</v>
      </c>
      <c r="I1508">
        <v>228.33999633789063</v>
      </c>
      <c r="J1508">
        <v>1347</v>
      </c>
    </row>
    <row r="1509" spans="1:10" x14ac:dyDescent="0.25">
      <c r="A1509">
        <v>3130</v>
      </c>
      <c r="B1509" t="str">
        <v>Mahalaxmi Seam.</v>
      </c>
      <c r="C1509">
        <v>6.9048400000000001</v>
      </c>
      <c r="D1509">
        <v>8.7481594085693359</v>
      </c>
      <c r="E1509">
        <v>2.5946609973907471</v>
      </c>
      <c r="F1509">
        <v>0.2965950071811676</v>
      </c>
      <c r="G1509">
        <v>10.460000038146973</v>
      </c>
      <c r="H1509">
        <v>0</v>
      </c>
      <c r="I1509">
        <v>5.5199999809265137</v>
      </c>
      <c r="J1509">
        <v>1008</v>
      </c>
    </row>
    <row r="1510" spans="1:10" x14ac:dyDescent="0.25">
      <c r="A1510">
        <v>3609</v>
      </c>
      <c r="B1510" t="str">
        <v>Mahamaya Steel</v>
      </c>
      <c r="C1510">
        <v>23.878594</v>
      </c>
      <c r="D1510">
        <v>107.40823364257813</v>
      </c>
      <c r="E1510">
        <v>55.673053741455078</v>
      </c>
      <c r="F1510">
        <v>0.51833099126815796</v>
      </c>
      <c r="G1510">
        <v>324.36248779296875</v>
      </c>
      <c r="H1510">
        <v>0.23999999463558197</v>
      </c>
      <c r="I1510">
        <v>539.71002197265625</v>
      </c>
      <c r="J1510">
        <v>1340</v>
      </c>
    </row>
    <row r="1511" spans="1:10" x14ac:dyDescent="0.25">
      <c r="A1511">
        <v>13369</v>
      </c>
      <c r="B1511" t="str">
        <v>Mahanagar Gas</v>
      </c>
      <c r="C1511">
        <v>5.1362569999999996</v>
      </c>
      <c r="D1511">
        <v>1103.29833984375</v>
      </c>
      <c r="E1511">
        <v>261.86422729492188</v>
      </c>
      <c r="F1511">
        <v>0.23734700679779053</v>
      </c>
      <c r="G1511">
        <v>1408.4749755859375</v>
      </c>
      <c r="H1511">
        <v>2.9999999329447746E-2</v>
      </c>
      <c r="I1511">
        <v>13756.2900390625</v>
      </c>
      <c r="J1511">
        <v>1359</v>
      </c>
    </row>
    <row r="1512" spans="1:10" x14ac:dyDescent="0.25">
      <c r="A1512">
        <v>4766</v>
      </c>
      <c r="B1512" t="str">
        <v>Mahasagar Travel</v>
      </c>
      <c r="C1512">
        <v>11.793284999999999</v>
      </c>
      <c r="D1512">
        <v>5.8320431709289551</v>
      </c>
      <c r="E1512">
        <v>1.9967410564422607</v>
      </c>
      <c r="F1512">
        <v>0.34237399697303772</v>
      </c>
      <c r="G1512">
        <v>5.6500000953674316</v>
      </c>
      <c r="H1512">
        <v>0</v>
      </c>
      <c r="I1512">
        <v>4.440000057220459</v>
      </c>
      <c r="J1512">
        <v>345</v>
      </c>
    </row>
    <row r="1513" spans="1:10" x14ac:dyDescent="0.25">
      <c r="A1513">
        <v>2786</v>
      </c>
      <c r="B1513" t="str">
        <v>Mahindra EPC</v>
      </c>
      <c r="C1513">
        <v>5.342333</v>
      </c>
      <c r="D1513">
        <v>126.41902160644531</v>
      </c>
      <c r="E1513">
        <v>21.906816482543945</v>
      </c>
      <c r="F1513">
        <v>0.17328700423240662</v>
      </c>
      <c r="G1513">
        <v>135.71249389648438</v>
      </c>
      <c r="H1513">
        <v>9.0000003576278687E-2</v>
      </c>
      <c r="I1513">
        <v>374.29000854492188</v>
      </c>
      <c r="J1513">
        <v>1359</v>
      </c>
    </row>
    <row r="1514" spans="1:10" x14ac:dyDescent="0.25">
      <c r="A1514">
        <v>18268</v>
      </c>
      <c r="B1514" t="str">
        <v>Mahindra Holiday</v>
      </c>
      <c r="C1514">
        <v>15.101267999999999</v>
      </c>
      <c r="D1514">
        <v>263.26898193359375</v>
      </c>
      <c r="E1514">
        <v>105.77965545654297</v>
      </c>
      <c r="F1514">
        <v>0.40179300308227539</v>
      </c>
      <c r="G1514">
        <v>340.70001220703125</v>
      </c>
      <c r="H1514">
        <v>0</v>
      </c>
      <c r="I1514">
        <v>6746.35986328125</v>
      </c>
      <c r="J1514">
        <v>1359</v>
      </c>
    </row>
    <row r="1515" spans="1:10" x14ac:dyDescent="0.25">
      <c r="A1515">
        <v>20728</v>
      </c>
      <c r="B1515" t="str">
        <v>Mahindra Life.</v>
      </c>
      <c r="C1515">
        <v>20.182485</v>
      </c>
      <c r="D1515">
        <v>313.9654541015625</v>
      </c>
      <c r="E1515">
        <v>158.64765930175781</v>
      </c>
      <c r="F1515">
        <v>0.5053030252456665</v>
      </c>
      <c r="G1515">
        <v>360.76251220703125</v>
      </c>
      <c r="H1515">
        <v>0.34999999403953552</v>
      </c>
      <c r="I1515">
        <v>7673.31005859375</v>
      </c>
      <c r="J1515">
        <v>1359</v>
      </c>
    </row>
    <row r="1516" spans="1:10" x14ac:dyDescent="0.25">
      <c r="A1516">
        <v>36025</v>
      </c>
      <c r="B1516" t="str">
        <v>Mahindra Logis.</v>
      </c>
      <c r="C1516">
        <v>-3.9537409999999999</v>
      </c>
      <c r="D1516">
        <v>444.44537353515625</v>
      </c>
      <c r="E1516">
        <v>117.18207550048828</v>
      </c>
      <c r="F1516">
        <v>0.26365900039672852</v>
      </c>
      <c r="G1516">
        <v>322.28750610351563</v>
      </c>
      <c r="H1516">
        <v>0.77999997138977051</v>
      </c>
      <c r="I1516">
        <v>2307.489990234375</v>
      </c>
      <c r="J1516">
        <v>1359</v>
      </c>
    </row>
    <row r="1517" spans="1:10" x14ac:dyDescent="0.25">
      <c r="A1517">
        <v>14741</v>
      </c>
      <c r="B1517" t="str">
        <v>Maithan Alloys</v>
      </c>
      <c r="C1517">
        <v>16.767726</v>
      </c>
      <c r="D1517">
        <v>916.55572509765625</v>
      </c>
      <c r="E1517">
        <v>255.49356079101563</v>
      </c>
      <c r="F1517">
        <v>0.27875399589538574</v>
      </c>
      <c r="G1517">
        <v>1137.862548828125</v>
      </c>
      <c r="H1517">
        <v>9.9999997764825821E-3</v>
      </c>
      <c r="I1517">
        <v>3303.139892578125</v>
      </c>
      <c r="J1517">
        <v>1359</v>
      </c>
    </row>
    <row r="1518" spans="1:10" x14ac:dyDescent="0.25">
      <c r="A1518">
        <v>681</v>
      </c>
      <c r="B1518" t="str">
        <v>Majestic Auto</v>
      </c>
      <c r="C1518">
        <v>15.631501</v>
      </c>
      <c r="D1518">
        <v>190.89022827148438</v>
      </c>
      <c r="E1518">
        <v>109.06803131103516</v>
      </c>
      <c r="F1518">
        <v>0.57136499881744385</v>
      </c>
      <c r="G1518">
        <v>305.61248779296875</v>
      </c>
      <c r="H1518">
        <v>5.9999998658895493E-2</v>
      </c>
      <c r="I1518">
        <v>316.47000122070313</v>
      </c>
      <c r="J1518">
        <v>1358</v>
      </c>
    </row>
    <row r="1519" spans="1:10" x14ac:dyDescent="0.25">
      <c r="A1519">
        <v>366</v>
      </c>
      <c r="B1519" t="str">
        <v>Makers Labs.</v>
      </c>
      <c r="C1519">
        <v>25.999594999999999</v>
      </c>
      <c r="D1519">
        <v>142.68199157714844</v>
      </c>
      <c r="E1519">
        <v>55.379955291748047</v>
      </c>
      <c r="F1519">
        <v>0.38813599944114685</v>
      </c>
      <c r="G1519">
        <v>150.32499694824219</v>
      </c>
      <c r="H1519">
        <v>0.23999999463558197</v>
      </c>
      <c r="I1519">
        <v>88.510002136230469</v>
      </c>
      <c r="J1519">
        <v>1357</v>
      </c>
    </row>
    <row r="1520" spans="1:10" x14ac:dyDescent="0.25">
      <c r="A1520">
        <v>19200</v>
      </c>
      <c r="B1520" t="str">
        <v>Mallcom (India)</v>
      </c>
      <c r="C1520">
        <v>36.042665999999997</v>
      </c>
      <c r="D1520">
        <v>791.6715087890625</v>
      </c>
      <c r="E1520">
        <v>379.76071166992188</v>
      </c>
      <c r="F1520">
        <v>0.47969499230384827</v>
      </c>
      <c r="G1520">
        <v>1251.949951171875</v>
      </c>
      <c r="H1520">
        <v>0.40999999642372131</v>
      </c>
      <c r="I1520">
        <v>782.030029296875</v>
      </c>
      <c r="J1520">
        <v>1344</v>
      </c>
    </row>
    <row r="1521" spans="1:10" x14ac:dyDescent="0.25">
      <c r="A1521">
        <v>1369</v>
      </c>
      <c r="B1521" t="str">
        <v>Man Industries</v>
      </c>
      <c r="C1521">
        <v>43.368856000000001</v>
      </c>
      <c r="D1521">
        <v>166.22755432128906</v>
      </c>
      <c r="E1521">
        <v>125.44280242919922</v>
      </c>
      <c r="F1521">
        <v>0.75464498996734619</v>
      </c>
      <c r="G1521">
        <v>370.60000610351563</v>
      </c>
      <c r="H1521">
        <v>0.27000001072883606</v>
      </c>
      <c r="I1521">
        <v>2378.68994140625</v>
      </c>
      <c r="J1521">
        <v>1359</v>
      </c>
    </row>
    <row r="1522" spans="1:10" x14ac:dyDescent="0.25">
      <c r="A1522">
        <v>27987</v>
      </c>
      <c r="B1522" t="str">
        <v>Man Infra</v>
      </c>
      <c r="C1522">
        <v>43.023938999999999</v>
      </c>
      <c r="D1522">
        <v>102.89055633544922</v>
      </c>
      <c r="E1522">
        <v>70.22979736328125</v>
      </c>
      <c r="F1522">
        <v>0.6825680136680603</v>
      </c>
      <c r="G1522">
        <v>160.94999694824219</v>
      </c>
      <c r="H1522">
        <v>9.9999997764825821E-3</v>
      </c>
      <c r="I1522">
        <v>5907.06005859375</v>
      </c>
      <c r="J1522">
        <v>1359</v>
      </c>
    </row>
    <row r="1523" spans="1:10" x14ac:dyDescent="0.25">
      <c r="A1523">
        <v>13819</v>
      </c>
      <c r="B1523" t="str">
        <v>Manaksia</v>
      </c>
      <c r="C1523">
        <v>14.597734000000001</v>
      </c>
      <c r="D1523">
        <v>82.378486633300781</v>
      </c>
      <c r="E1523">
        <v>34.176586151123047</v>
      </c>
      <c r="F1523">
        <v>0.41487300395965576</v>
      </c>
      <c r="G1523">
        <v>74.665000915527344</v>
      </c>
      <c r="H1523">
        <v>9.9999997764825821E-3</v>
      </c>
      <c r="I1523">
        <v>478.52999877929688</v>
      </c>
      <c r="J1523">
        <v>1359</v>
      </c>
    </row>
    <row r="1524" spans="1:10" x14ac:dyDescent="0.25">
      <c r="A1524">
        <v>64846</v>
      </c>
      <c r="B1524" t="str">
        <v>Manaksia Steels</v>
      </c>
      <c r="C1524">
        <v>31.499386999999999</v>
      </c>
      <c r="D1524">
        <v>38.933597564697266</v>
      </c>
      <c r="E1524">
        <v>18.266592025756836</v>
      </c>
      <c r="F1524">
        <v>0.46917301416397095</v>
      </c>
      <c r="G1524">
        <v>59.457500457763672</v>
      </c>
      <c r="H1524">
        <v>0.38999998569488525</v>
      </c>
      <c r="I1524">
        <v>385.54000854492188</v>
      </c>
      <c r="J1524">
        <v>1349</v>
      </c>
    </row>
    <row r="1525" spans="1:10" x14ac:dyDescent="0.25">
      <c r="A1525">
        <v>1792</v>
      </c>
      <c r="B1525" t="str">
        <v>Manali Petrochem</v>
      </c>
      <c r="C1525">
        <v>24.301019</v>
      </c>
      <c r="D1525">
        <v>70.017326354980469</v>
      </c>
      <c r="E1525">
        <v>29.324581146240234</v>
      </c>
      <c r="F1525">
        <v>0.41881901025772095</v>
      </c>
      <c r="G1525">
        <v>69.665000915527344</v>
      </c>
      <c r="H1525">
        <v>9.9999997764825821E-3</v>
      </c>
      <c r="I1525">
        <v>1157.0400390625</v>
      </c>
      <c r="J1525">
        <v>1359</v>
      </c>
    </row>
    <row r="1526" spans="1:10" x14ac:dyDescent="0.25">
      <c r="A1526">
        <v>4145</v>
      </c>
      <c r="B1526" t="str">
        <v>Manbro Indust.</v>
      </c>
      <c r="C1526">
        <v>75.441896999999997</v>
      </c>
      <c r="D1526">
        <v>470.75326538085938</v>
      </c>
      <c r="E1526">
        <v>377.63088989257813</v>
      </c>
      <c r="F1526">
        <v>0.80218398571014404</v>
      </c>
      <c r="G1526">
        <v>649.4124755859375</v>
      </c>
      <c r="H1526">
        <v>0.33000001311302185</v>
      </c>
      <c r="I1526">
        <v>382.6400146484375</v>
      </c>
      <c r="J1526">
        <v>595</v>
      </c>
    </row>
    <row r="1527" spans="1:10" x14ac:dyDescent="0.25">
      <c r="A1527">
        <v>980</v>
      </c>
      <c r="B1527" t="str">
        <v>Mangal Credit</v>
      </c>
      <c r="C1527">
        <v>27.704604</v>
      </c>
      <c r="D1527">
        <v>97.576309204101563</v>
      </c>
      <c r="E1527">
        <v>38.832622528076172</v>
      </c>
      <c r="F1527">
        <v>0.3979719877243042</v>
      </c>
      <c r="G1527">
        <v>207.73750305175781</v>
      </c>
      <c r="H1527">
        <v>0.93999999761581421</v>
      </c>
      <c r="I1527">
        <v>394.89999389648438</v>
      </c>
      <c r="J1527">
        <v>1359</v>
      </c>
    </row>
    <row r="1528" spans="1:10" x14ac:dyDescent="0.25">
      <c r="A1528">
        <v>367</v>
      </c>
      <c r="B1528" t="str">
        <v>Mangalam Cement</v>
      </c>
      <c r="C1528">
        <v>17.861014999999998</v>
      </c>
      <c r="D1528">
        <v>451.81512451171875</v>
      </c>
      <c r="E1528">
        <v>247.67097473144531</v>
      </c>
      <c r="F1528">
        <v>0.54816901683807373</v>
      </c>
      <c r="G1528">
        <v>740.04998779296875</v>
      </c>
      <c r="H1528">
        <v>0.77999997138977051</v>
      </c>
      <c r="I1528">
        <v>2007.300048828125</v>
      </c>
      <c r="J1528">
        <v>1359</v>
      </c>
    </row>
    <row r="1529" spans="1:10" x14ac:dyDescent="0.25">
      <c r="A1529">
        <v>20249</v>
      </c>
      <c r="B1529" t="str">
        <v>Mangalam Drugs</v>
      </c>
      <c r="C1529">
        <v>18.910677</v>
      </c>
      <c r="D1529">
        <v>113.28578186035156</v>
      </c>
      <c r="E1529">
        <v>30.427169799804688</v>
      </c>
      <c r="F1529">
        <v>0.26858800649642944</v>
      </c>
      <c r="G1529">
        <v>78.735000610351563</v>
      </c>
      <c r="H1529">
        <v>0.6600000262260437</v>
      </c>
      <c r="I1529">
        <v>126.77999877929688</v>
      </c>
      <c r="J1529">
        <v>1359</v>
      </c>
    </row>
    <row r="1530" spans="1:10" x14ac:dyDescent="0.25">
      <c r="A1530">
        <v>26209</v>
      </c>
      <c r="B1530" t="str">
        <v>Mangalam Industr</v>
      </c>
      <c r="C1530">
        <v>31.753582999999999</v>
      </c>
      <c r="D1530">
        <v>2.9516520500183105</v>
      </c>
      <c r="E1530">
        <v>1.9019999504089355</v>
      </c>
      <c r="F1530">
        <v>0.64438498020172119</v>
      </c>
      <c r="G1530">
        <v>1.5299999713897705</v>
      </c>
      <c r="H1530">
        <v>0</v>
      </c>
      <c r="I1530">
        <v>166.08999633789063</v>
      </c>
      <c r="J1530">
        <v>1357</v>
      </c>
    </row>
    <row r="1531" spans="1:10" x14ac:dyDescent="0.25">
      <c r="A1531">
        <v>4034</v>
      </c>
      <c r="B1531" t="str">
        <v>Mangalam Organic</v>
      </c>
      <c r="C1531">
        <v>13.430510999999999</v>
      </c>
      <c r="D1531">
        <v>518.1181640625</v>
      </c>
      <c r="E1531">
        <v>201.18409729003906</v>
      </c>
      <c r="F1531">
        <v>0.38829800486564636</v>
      </c>
      <c r="G1531">
        <v>603.42498779296875</v>
      </c>
      <c r="H1531">
        <v>0.61000001430511475</v>
      </c>
      <c r="I1531">
        <v>513.0999755859375</v>
      </c>
      <c r="J1531">
        <v>1357</v>
      </c>
    </row>
    <row r="1532" spans="1:10" x14ac:dyDescent="0.25">
      <c r="A1532">
        <v>2094</v>
      </c>
      <c r="B1532" t="str">
        <v>Manipal Fin. Cor</v>
      </c>
      <c r="C1532">
        <v>23.268222999999999</v>
      </c>
      <c r="D1532">
        <v>8.9109640121459961</v>
      </c>
      <c r="E1532">
        <v>4.7714247703552246</v>
      </c>
      <c r="F1532">
        <v>0.53545600175857544</v>
      </c>
      <c r="G1532">
        <v>19.040000915527344</v>
      </c>
      <c r="H1532">
        <v>0</v>
      </c>
      <c r="I1532">
        <v>15.960000038146973</v>
      </c>
      <c r="J1532">
        <v>158</v>
      </c>
    </row>
    <row r="1533" spans="1:10" x14ac:dyDescent="0.25">
      <c r="A1533">
        <v>3132</v>
      </c>
      <c r="B1533" t="str">
        <v>Manor Estates</v>
      </c>
      <c r="C1533">
        <v>23.431082</v>
      </c>
      <c r="D1533">
        <v>5.1396980285644531</v>
      </c>
      <c r="E1533">
        <v>3.3848049640655518</v>
      </c>
      <c r="F1533">
        <v>0.65856099128723145</v>
      </c>
      <c r="G1533">
        <v>8.5424995422363281</v>
      </c>
      <c r="H1533">
        <v>0</v>
      </c>
      <c r="I1533">
        <v>7</v>
      </c>
      <c r="J1533">
        <v>713</v>
      </c>
    </row>
    <row r="1534" spans="1:10" x14ac:dyDescent="0.25">
      <c r="A1534">
        <v>69479</v>
      </c>
      <c r="B1534" t="str">
        <v>Manorama Indust.</v>
      </c>
      <c r="C1534">
        <v>58.192937999999998</v>
      </c>
      <c r="D1534">
        <v>390.7113037109375</v>
      </c>
      <c r="E1534">
        <v>329.5880126953125</v>
      </c>
      <c r="F1534">
        <v>0.84355902671813965</v>
      </c>
      <c r="G1534">
        <v>1396.7750244140625</v>
      </c>
      <c r="H1534">
        <v>0.72000002861022949</v>
      </c>
      <c r="I1534">
        <v>8176.10009765625</v>
      </c>
      <c r="J1534">
        <v>1340</v>
      </c>
    </row>
    <row r="1535" spans="1:10" x14ac:dyDescent="0.25">
      <c r="A1535">
        <v>64887</v>
      </c>
      <c r="B1535" t="str">
        <v>Manpasand Bever.</v>
      </c>
      <c r="C1535">
        <v>-111.297798</v>
      </c>
      <c r="D1535">
        <v>7.1553850173950195</v>
      </c>
      <c r="E1535">
        <v>1.8503760099411011</v>
      </c>
      <c r="F1535">
        <v>0.25859901309013367</v>
      </c>
      <c r="G1535">
        <v>6.067500114440918</v>
      </c>
      <c r="H1535">
        <v>0.11999999731779099</v>
      </c>
      <c r="I1535">
        <v>70.279998779296875</v>
      </c>
      <c r="J1535">
        <v>26</v>
      </c>
    </row>
    <row r="1536" spans="1:10" x14ac:dyDescent="0.25">
      <c r="A1536">
        <v>4723</v>
      </c>
      <c r="B1536" t="str">
        <v>Mansi Fin.(Chen)</v>
      </c>
      <c r="C1536">
        <v>20.393518</v>
      </c>
      <c r="D1536">
        <v>42.080284118652344</v>
      </c>
      <c r="E1536">
        <v>17.045345306396484</v>
      </c>
      <c r="F1536">
        <v>0.40506699681282043</v>
      </c>
      <c r="G1536">
        <v>80.760002136230469</v>
      </c>
      <c r="H1536">
        <v>0.99000000953674316</v>
      </c>
      <c r="I1536">
        <v>28.510000228881836</v>
      </c>
      <c r="J1536">
        <v>915</v>
      </c>
    </row>
    <row r="1537" spans="1:10" x14ac:dyDescent="0.25">
      <c r="A1537">
        <v>355</v>
      </c>
      <c r="B1537" t="str">
        <v>Manugraph India</v>
      </c>
      <c r="C1537">
        <v>7.7817119999999997</v>
      </c>
      <c r="D1537">
        <v>16.738594055175781</v>
      </c>
      <c r="E1537">
        <v>5.0433640480041504</v>
      </c>
      <c r="F1537">
        <v>0.3013019859790802</v>
      </c>
      <c r="G1537">
        <v>21</v>
      </c>
      <c r="H1537">
        <v>0.15999999642372131</v>
      </c>
      <c r="I1537">
        <v>63.139999389648438</v>
      </c>
      <c r="J1537">
        <v>1333</v>
      </c>
    </row>
    <row r="1538" spans="1:10" x14ac:dyDescent="0.25">
      <c r="A1538">
        <v>695</v>
      </c>
      <c r="B1538" t="str">
        <v>Marathon Nextgen</v>
      </c>
      <c r="C1538">
        <v>38.657401999999998</v>
      </c>
      <c r="D1538">
        <v>262.95391845703125</v>
      </c>
      <c r="E1538">
        <v>196.04928588867188</v>
      </c>
      <c r="F1538">
        <v>0.74556499719619751</v>
      </c>
      <c r="G1538">
        <v>568.9375</v>
      </c>
      <c r="H1538">
        <v>0.50999999046325684</v>
      </c>
      <c r="I1538">
        <v>2881.989990234375</v>
      </c>
      <c r="J1538">
        <v>1355</v>
      </c>
    </row>
    <row r="1539" spans="1:10" x14ac:dyDescent="0.25">
      <c r="A1539">
        <v>3655</v>
      </c>
      <c r="B1539" t="str">
        <v>Margo Finance</v>
      </c>
      <c r="C1539">
        <v>47.086423000000003</v>
      </c>
      <c r="D1539">
        <v>34.625648498535156</v>
      </c>
      <c r="E1539">
        <v>24.705547332763672</v>
      </c>
      <c r="F1539">
        <v>0.71350401639938354</v>
      </c>
      <c r="G1539">
        <v>84.152496337890625</v>
      </c>
      <c r="H1539">
        <v>0</v>
      </c>
      <c r="I1539">
        <v>37.599998474121094</v>
      </c>
      <c r="J1539">
        <v>1203</v>
      </c>
    </row>
    <row r="1540" spans="1:10" x14ac:dyDescent="0.25">
      <c r="A1540">
        <v>12585</v>
      </c>
      <c r="B1540" t="str">
        <v>Marico</v>
      </c>
      <c r="C1540">
        <v>12.960298999999999</v>
      </c>
      <c r="D1540">
        <v>508.5</v>
      </c>
      <c r="E1540">
        <v>105.73419952392578</v>
      </c>
      <c r="F1540">
        <v>0.20793400704860687</v>
      </c>
      <c r="G1540">
        <v>691.0875244140625</v>
      </c>
      <c r="H1540">
        <v>5.000000074505806E-2</v>
      </c>
      <c r="I1540">
        <v>89475.203125</v>
      </c>
      <c r="J1540">
        <v>1359</v>
      </c>
    </row>
    <row r="1541" spans="1:10" x14ac:dyDescent="0.25">
      <c r="A1541">
        <v>4759</v>
      </c>
      <c r="B1541" t="str">
        <v>Market Creators</v>
      </c>
      <c r="C1541">
        <v>19.206966999999999</v>
      </c>
      <c r="D1541">
        <v>10.664263725280762</v>
      </c>
      <c r="E1541">
        <v>3.1295969486236572</v>
      </c>
      <c r="F1541">
        <v>0.2934660017490387</v>
      </c>
      <c r="G1541">
        <v>12.859999656677246</v>
      </c>
      <c r="H1541">
        <v>0.44999998807907104</v>
      </c>
      <c r="I1541">
        <v>13.5</v>
      </c>
      <c r="J1541">
        <v>913</v>
      </c>
    </row>
    <row r="1542" spans="1:10" x14ac:dyDescent="0.25">
      <c r="A1542">
        <v>3285</v>
      </c>
      <c r="B1542" t="str">
        <v>Marksans Pharma</v>
      </c>
      <c r="C1542">
        <v>52.142330000000001</v>
      </c>
      <c r="D1542">
        <v>105.17312622070313</v>
      </c>
      <c r="E1542">
        <v>79.529678344726563</v>
      </c>
      <c r="F1542">
        <v>0.75617897510528564</v>
      </c>
      <c r="G1542">
        <v>248.71249389648438</v>
      </c>
      <c r="H1542">
        <v>9.9999997764825821E-3</v>
      </c>
      <c r="I1542">
        <v>11222.599609375</v>
      </c>
      <c r="J1542">
        <v>1359</v>
      </c>
    </row>
    <row r="1543" spans="1:10" x14ac:dyDescent="0.25">
      <c r="A1543">
        <v>6179</v>
      </c>
      <c r="B1543" t="str">
        <v>Martin Burn</v>
      </c>
      <c r="C1543">
        <v>19.163224</v>
      </c>
      <c r="D1543">
        <v>45.452342987060547</v>
      </c>
      <c r="E1543">
        <v>15.699614524841309</v>
      </c>
      <c r="F1543">
        <v>0.34540799260139465</v>
      </c>
      <c r="G1543">
        <v>65.962501525878906</v>
      </c>
      <c r="H1543">
        <v>0.23999999463558197</v>
      </c>
      <c r="I1543">
        <v>33.959999084472656</v>
      </c>
      <c r="J1543">
        <v>1171</v>
      </c>
    </row>
    <row r="1544" spans="1:10" x14ac:dyDescent="0.25">
      <c r="A1544">
        <v>6868</v>
      </c>
      <c r="B1544" t="str">
        <v>Maruti Infra.</v>
      </c>
      <c r="C1544">
        <v>29.022317999999999</v>
      </c>
      <c r="D1544">
        <v>11.443184852600098</v>
      </c>
      <c r="E1544">
        <v>8.4987449645996094</v>
      </c>
      <c r="F1544">
        <v>0.74269002676010132</v>
      </c>
      <c r="G1544">
        <v>13.895000457763672</v>
      </c>
      <c r="H1544">
        <v>0.70999997854232788</v>
      </c>
      <c r="I1544">
        <v>129.55999755859375</v>
      </c>
      <c r="J1544">
        <v>1332</v>
      </c>
    </row>
    <row r="1545" spans="1:10" x14ac:dyDescent="0.25">
      <c r="A1545">
        <v>6361</v>
      </c>
      <c r="B1545" t="str">
        <v>Maruti Sec.</v>
      </c>
      <c r="C1545">
        <v>62.593727000000001</v>
      </c>
      <c r="D1545">
        <v>8.5991964340209961</v>
      </c>
      <c r="E1545">
        <v>11.943450927734375</v>
      </c>
      <c r="F1545">
        <v>1.388903021812439</v>
      </c>
      <c r="G1545">
        <v>46.972499847412109</v>
      </c>
      <c r="H1545">
        <v>0</v>
      </c>
      <c r="I1545">
        <v>23.850000381469727</v>
      </c>
      <c r="J1545">
        <v>551</v>
      </c>
    </row>
    <row r="1546" spans="1:10" x14ac:dyDescent="0.25">
      <c r="A1546">
        <v>5496</v>
      </c>
      <c r="B1546" t="str">
        <v>Maruti Suzuki</v>
      </c>
      <c r="C1546">
        <v>10.234501</v>
      </c>
      <c r="D1546">
        <v>8964.6708984375</v>
      </c>
      <c r="E1546">
        <v>2191.736083984375</v>
      </c>
      <c r="F1546">
        <v>0.244486004114151</v>
      </c>
      <c r="G1546">
        <v>12771.837890625</v>
      </c>
      <c r="H1546">
        <v>9.9999997764825821E-3</v>
      </c>
      <c r="I1546">
        <v>402628.625</v>
      </c>
      <c r="J1546">
        <v>1359</v>
      </c>
    </row>
    <row r="1547" spans="1:10" x14ac:dyDescent="0.25">
      <c r="A1547">
        <v>2732</v>
      </c>
      <c r="B1547" t="str">
        <v>Mastek</v>
      </c>
      <c r="C1547">
        <v>33.382277999999999</v>
      </c>
      <c r="D1547">
        <v>1997.5369873046875</v>
      </c>
      <c r="E1547">
        <v>848.6695556640625</v>
      </c>
      <c r="F1547">
        <v>0.42485800385475159</v>
      </c>
      <c r="G1547">
        <v>2421.762451171875</v>
      </c>
      <c r="H1547">
        <v>2.9999999329447746E-2</v>
      </c>
      <c r="I1547">
        <v>7398.02978515625</v>
      </c>
      <c r="J1547">
        <v>1359</v>
      </c>
    </row>
    <row r="1548" spans="1:10" x14ac:dyDescent="0.25">
      <c r="A1548">
        <v>4740</v>
      </c>
      <c r="B1548" t="str">
        <v>Master Trust</v>
      </c>
      <c r="C1548">
        <v>76.804405000000003</v>
      </c>
      <c r="D1548">
        <v>59.761497497558594</v>
      </c>
      <c r="E1548">
        <v>60.162506103515625</v>
      </c>
      <c r="F1548">
        <v>1.0067100524902344</v>
      </c>
      <c r="G1548">
        <v>151.80000305175781</v>
      </c>
      <c r="H1548">
        <v>0.17000000178813934</v>
      </c>
      <c r="I1548">
        <v>1679.5</v>
      </c>
      <c r="J1548">
        <v>1321</v>
      </c>
    </row>
    <row r="1549" spans="1:10" x14ac:dyDescent="0.25">
      <c r="A1549">
        <v>44500</v>
      </c>
      <c r="B1549" t="str">
        <v>Matrimony.com</v>
      </c>
      <c r="C1549">
        <v>4.0686970000000002</v>
      </c>
      <c r="D1549">
        <v>671.60638427734375</v>
      </c>
      <c r="E1549">
        <v>186.47763061523438</v>
      </c>
      <c r="F1549">
        <v>0.27765899896621704</v>
      </c>
      <c r="G1549">
        <v>556.70001220703125</v>
      </c>
      <c r="H1549">
        <v>0.23000000417232513</v>
      </c>
      <c r="I1549">
        <v>1228.6300048828125</v>
      </c>
      <c r="J1549">
        <v>1351</v>
      </c>
    </row>
    <row r="1550" spans="1:10" x14ac:dyDescent="0.25">
      <c r="A1550">
        <v>372</v>
      </c>
      <c r="B1550" t="str">
        <v>Max Financial</v>
      </c>
      <c r="C1550">
        <v>20.139551000000001</v>
      </c>
      <c r="D1550">
        <v>856.9346923828125</v>
      </c>
      <c r="E1550">
        <v>225.64384460449219</v>
      </c>
      <c r="F1550">
        <v>0.26331499218940735</v>
      </c>
      <c r="G1550">
        <v>1581.5999755859375</v>
      </c>
      <c r="H1550">
        <v>0</v>
      </c>
      <c r="I1550">
        <v>54352.12890625</v>
      </c>
      <c r="J1550">
        <v>1359</v>
      </c>
    </row>
    <row r="1551" spans="1:10" x14ac:dyDescent="0.25">
      <c r="A1551">
        <v>40291</v>
      </c>
      <c r="B1551" t="str">
        <v>Max Heights</v>
      </c>
      <c r="C1551">
        <v>7.7411789999999998</v>
      </c>
      <c r="D1551">
        <v>33.173755645751953</v>
      </c>
      <c r="E1551">
        <v>25.087875366210938</v>
      </c>
      <c r="F1551">
        <v>0.75625699758529663</v>
      </c>
      <c r="G1551">
        <v>19.204999923706055</v>
      </c>
      <c r="H1551">
        <v>0.15999999642372131</v>
      </c>
      <c r="I1551">
        <v>30.440000534057617</v>
      </c>
      <c r="J1551">
        <v>1196</v>
      </c>
    </row>
    <row r="1552" spans="1:10" x14ac:dyDescent="0.25">
      <c r="A1552">
        <v>3944</v>
      </c>
      <c r="B1552" t="str">
        <v>Maxgrow India</v>
      </c>
      <c r="C1552">
        <v>-10.038702000000001</v>
      </c>
      <c r="D1552">
        <v>1.282971978187561</v>
      </c>
      <c r="E1552">
        <v>0.47268098592758179</v>
      </c>
      <c r="F1552">
        <v>0.36842599511146545</v>
      </c>
      <c r="G1552">
        <v>1.2200000286102295</v>
      </c>
      <c r="H1552">
        <v>0.10999999940395355</v>
      </c>
      <c r="I1552">
        <v>2.5999999046325684</v>
      </c>
      <c r="J1552">
        <v>217</v>
      </c>
    </row>
    <row r="1553" spans="1:10" x14ac:dyDescent="0.25">
      <c r="A1553">
        <v>69821</v>
      </c>
      <c r="B1553" t="str">
        <v>Maximus Interna.</v>
      </c>
      <c r="C1553">
        <v>15.056193</v>
      </c>
      <c r="D1553">
        <v>14.651396751403809</v>
      </c>
      <c r="E1553">
        <v>6.3853559494018555</v>
      </c>
      <c r="F1553">
        <v>0.43581900000572205</v>
      </c>
      <c r="G1553">
        <v>11.965000152587891</v>
      </c>
      <c r="H1553">
        <v>0.40999999642372131</v>
      </c>
      <c r="I1553">
        <v>162.42999267578125</v>
      </c>
      <c r="J1553">
        <v>1333</v>
      </c>
    </row>
    <row r="1554" spans="1:10" x14ac:dyDescent="0.25">
      <c r="A1554">
        <v>12781</v>
      </c>
      <c r="B1554" t="str">
        <v>Mayur Floorings</v>
      </c>
      <c r="C1554">
        <v>22.683737000000001</v>
      </c>
      <c r="D1554">
        <v>9.7010555267333984</v>
      </c>
      <c r="E1554">
        <v>3.5542869567871094</v>
      </c>
      <c r="F1554">
        <v>0.36638098955154419</v>
      </c>
      <c r="G1554">
        <v>15.5</v>
      </c>
      <c r="H1554">
        <v>0.34000000357627869</v>
      </c>
      <c r="I1554">
        <v>7.8600001335144043</v>
      </c>
      <c r="J1554">
        <v>798</v>
      </c>
    </row>
    <row r="1555" spans="1:10" x14ac:dyDescent="0.25">
      <c r="A1555">
        <v>3954</v>
      </c>
      <c r="B1555" t="str">
        <v>Mayur Uniquoters</v>
      </c>
      <c r="C1555">
        <v>18.371846999999999</v>
      </c>
      <c r="D1555">
        <v>444.41546630859375</v>
      </c>
      <c r="E1555">
        <v>127.53865051269531</v>
      </c>
      <c r="F1555">
        <v>0.28698098659515381</v>
      </c>
      <c r="G1555">
        <v>566.26251220703125</v>
      </c>
      <c r="H1555">
        <v>1.9999999552965164E-2</v>
      </c>
      <c r="I1555">
        <v>2440.25</v>
      </c>
      <c r="J1555">
        <v>1359</v>
      </c>
    </row>
    <row r="1556" spans="1:10" x14ac:dyDescent="0.25">
      <c r="A1556">
        <v>2838</v>
      </c>
      <c r="B1556" t="str">
        <v>Mazda</v>
      </c>
      <c r="C1556">
        <v>20.518276</v>
      </c>
      <c r="D1556">
        <v>164.66429138183594</v>
      </c>
      <c r="E1556">
        <v>79.546409606933594</v>
      </c>
      <c r="F1556">
        <v>0.48308199644088745</v>
      </c>
      <c r="G1556">
        <v>239.5625</v>
      </c>
      <c r="H1556">
        <v>0</v>
      </c>
      <c r="I1556">
        <v>473.3900146484375</v>
      </c>
      <c r="J1556">
        <v>1355</v>
      </c>
    </row>
    <row r="1557" spans="1:10" x14ac:dyDescent="0.25">
      <c r="A1557">
        <v>24946</v>
      </c>
      <c r="B1557" t="str">
        <v>McDowell Hold.</v>
      </c>
      <c r="C1557">
        <v>56.721179999999997</v>
      </c>
      <c r="D1557">
        <v>49.133365631103516</v>
      </c>
      <c r="E1557">
        <v>35.809211730957031</v>
      </c>
      <c r="F1557">
        <v>0.72881698608398438</v>
      </c>
      <c r="G1557">
        <v>71.974998474121094</v>
      </c>
      <c r="H1557">
        <v>5.000000074505806E-2</v>
      </c>
      <c r="I1557">
        <v>96.879997253417969</v>
      </c>
      <c r="J1557">
        <v>557</v>
      </c>
    </row>
    <row r="1558" spans="1:10" x14ac:dyDescent="0.25">
      <c r="A1558">
        <v>751</v>
      </c>
      <c r="B1558" t="str">
        <v>McNally Bharat</v>
      </c>
      <c r="C1558">
        <v>-8.0329479999999993</v>
      </c>
      <c r="D1558">
        <v>5.4364790916442871</v>
      </c>
      <c r="E1558">
        <v>1.9877979755401611</v>
      </c>
      <c r="F1558">
        <v>0.36564099788665771</v>
      </c>
      <c r="G1558">
        <v>3.0924999713897705</v>
      </c>
      <c r="H1558">
        <v>0</v>
      </c>
      <c r="I1558">
        <v>68.550003051757813</v>
      </c>
      <c r="J1558">
        <v>1109</v>
      </c>
    </row>
    <row r="1559" spans="1:10" x14ac:dyDescent="0.25">
      <c r="A1559">
        <v>1548</v>
      </c>
      <c r="B1559" t="str">
        <v>Medi Caps</v>
      </c>
      <c r="C1559">
        <v>24.917196000000001</v>
      </c>
      <c r="D1559">
        <v>40.3385009765625</v>
      </c>
      <c r="E1559">
        <v>13.949380874633789</v>
      </c>
      <c r="F1559">
        <v>0.3458079993724823</v>
      </c>
      <c r="G1559">
        <v>43.607498168945313</v>
      </c>
      <c r="H1559">
        <v>0</v>
      </c>
      <c r="I1559">
        <v>54.580001831054688</v>
      </c>
      <c r="J1559">
        <v>1357</v>
      </c>
    </row>
    <row r="1560" spans="1:10" x14ac:dyDescent="0.25">
      <c r="A1560">
        <v>2563</v>
      </c>
      <c r="B1560" t="str">
        <v>Media Matrix</v>
      </c>
      <c r="C1560">
        <v>26.756456</v>
      </c>
      <c r="D1560">
        <v>11.535255432128906</v>
      </c>
      <c r="E1560">
        <v>5.9403600692749023</v>
      </c>
      <c r="F1560">
        <v>0.51497399806976318</v>
      </c>
      <c r="G1560">
        <v>18.084999084472656</v>
      </c>
      <c r="H1560">
        <v>0</v>
      </c>
      <c r="I1560">
        <v>2058.18994140625</v>
      </c>
      <c r="J1560">
        <v>1351</v>
      </c>
    </row>
    <row r="1561" spans="1:10" x14ac:dyDescent="0.25">
      <c r="A1561">
        <v>5905</v>
      </c>
      <c r="B1561" t="str">
        <v>Medicamen Biotec</v>
      </c>
      <c r="C1561">
        <v>3.7717830000000001</v>
      </c>
      <c r="D1561">
        <v>572.54266357421875</v>
      </c>
      <c r="E1561">
        <v>180.54583740234375</v>
      </c>
      <c r="F1561">
        <v>0.31534001231193542</v>
      </c>
      <c r="G1561">
        <v>413.625</v>
      </c>
      <c r="H1561">
        <v>0.14000000059604645</v>
      </c>
      <c r="I1561">
        <v>552.8900146484375</v>
      </c>
      <c r="J1561">
        <v>1359</v>
      </c>
    </row>
    <row r="1562" spans="1:10" x14ac:dyDescent="0.25">
      <c r="A1562">
        <v>68332</v>
      </c>
      <c r="B1562" t="str">
        <v>Medico Intercon.</v>
      </c>
      <c r="C1562">
        <v>1.64897</v>
      </c>
      <c r="D1562">
        <v>53.038394927978516</v>
      </c>
      <c r="E1562">
        <v>20.767862319946289</v>
      </c>
      <c r="F1562">
        <v>0.39156299829483032</v>
      </c>
      <c r="G1562">
        <v>39.875</v>
      </c>
      <c r="H1562">
        <v>5.000000074505806E-2</v>
      </c>
      <c r="I1562">
        <v>39.25</v>
      </c>
      <c r="J1562">
        <v>1261</v>
      </c>
    </row>
    <row r="1563" spans="1:10" x14ac:dyDescent="0.25">
      <c r="A1563">
        <v>3711</v>
      </c>
      <c r="B1563" t="str">
        <v>Medinova Diagno.</v>
      </c>
      <c r="C1563">
        <v>20.009947</v>
      </c>
      <c r="D1563">
        <v>30.883785247802734</v>
      </c>
      <c r="E1563">
        <v>10.311248779296875</v>
      </c>
      <c r="F1563">
        <v>0.33387300372123718</v>
      </c>
      <c r="G1563">
        <v>38.650001525878906</v>
      </c>
      <c r="H1563">
        <v>0</v>
      </c>
      <c r="I1563">
        <v>38.330001831054688</v>
      </c>
      <c r="J1563">
        <v>1278</v>
      </c>
    </row>
    <row r="1564" spans="1:10" x14ac:dyDescent="0.25">
      <c r="A1564">
        <v>70589</v>
      </c>
      <c r="B1564" t="str">
        <v>Meera Industries</v>
      </c>
      <c r="C1564">
        <v>0.55830599999999997</v>
      </c>
      <c r="D1564">
        <v>62.271106719970703</v>
      </c>
      <c r="E1564">
        <v>20.526054382324219</v>
      </c>
      <c r="F1564">
        <v>0.3296239972114563</v>
      </c>
      <c r="G1564">
        <v>71.847503662109375</v>
      </c>
      <c r="H1564">
        <v>0.10000000149011612</v>
      </c>
      <c r="I1564">
        <v>76.349998474121094</v>
      </c>
      <c r="J1564">
        <v>1273</v>
      </c>
    </row>
    <row r="1565" spans="1:10" x14ac:dyDescent="0.25">
      <c r="A1565">
        <v>5315</v>
      </c>
      <c r="B1565" t="str">
        <v>Mefcom Capital</v>
      </c>
      <c r="C1565">
        <v>36.533982000000002</v>
      </c>
      <c r="D1565">
        <v>13.844738006591797</v>
      </c>
      <c r="E1565">
        <v>7.341425895690918</v>
      </c>
      <c r="F1565">
        <v>0.53026801347732544</v>
      </c>
      <c r="G1565">
        <v>14.274999618530273</v>
      </c>
      <c r="H1565">
        <v>0.18000000715255737</v>
      </c>
      <c r="I1565">
        <v>63.25</v>
      </c>
      <c r="J1565">
        <v>1043</v>
      </c>
    </row>
    <row r="1566" spans="1:10" x14ac:dyDescent="0.25">
      <c r="A1566">
        <v>7004</v>
      </c>
      <c r="B1566" t="str">
        <v>Mega Corp.</v>
      </c>
      <c r="C1566">
        <v>57.149146000000002</v>
      </c>
      <c r="D1566">
        <v>1.3534270524978638</v>
      </c>
      <c r="E1566">
        <v>0.76414400339126587</v>
      </c>
      <c r="F1566">
        <v>0.56459897756576538</v>
      </c>
      <c r="G1566">
        <v>2.5950000286102295</v>
      </c>
      <c r="H1566">
        <v>0.87000000476837158</v>
      </c>
      <c r="I1566">
        <v>51.599998474121094</v>
      </c>
      <c r="J1566">
        <v>1303</v>
      </c>
    </row>
    <row r="1567" spans="1:10" x14ac:dyDescent="0.25">
      <c r="A1567">
        <v>43091</v>
      </c>
      <c r="B1567" t="str">
        <v>Mega Nirman</v>
      </c>
      <c r="C1567">
        <v>10.327635000000001</v>
      </c>
      <c r="D1567">
        <v>16.569730758666992</v>
      </c>
      <c r="E1567">
        <v>5.3125882148742676</v>
      </c>
      <c r="F1567">
        <v>0.32062000036239624</v>
      </c>
      <c r="G1567">
        <v>24.852500915527344</v>
      </c>
      <c r="H1567">
        <v>0</v>
      </c>
      <c r="I1567">
        <v>8.1800003051757813</v>
      </c>
      <c r="J1567">
        <v>1159</v>
      </c>
    </row>
    <row r="1568" spans="1:10" x14ac:dyDescent="0.25">
      <c r="A1568">
        <v>8034</v>
      </c>
      <c r="B1568" t="str">
        <v>Megasoft</v>
      </c>
      <c r="C1568">
        <v>50.666857999999998</v>
      </c>
      <c r="D1568">
        <v>38.638916015625</v>
      </c>
      <c r="E1568">
        <v>26.159069061279297</v>
      </c>
      <c r="F1568">
        <v>0.67701399326324463</v>
      </c>
      <c r="G1568">
        <v>88.605003356933594</v>
      </c>
      <c r="H1568">
        <v>0.85000002384185791</v>
      </c>
      <c r="I1568">
        <v>646</v>
      </c>
      <c r="J1568">
        <v>1359</v>
      </c>
    </row>
    <row r="1569" spans="1:10" x14ac:dyDescent="0.25">
      <c r="A1569">
        <v>72624</v>
      </c>
      <c r="B1569" t="str">
        <v>Megastar Foods</v>
      </c>
      <c r="C1569">
        <v>24.649037</v>
      </c>
      <c r="D1569">
        <v>204.18893432617188</v>
      </c>
      <c r="E1569">
        <v>102.56573486328125</v>
      </c>
      <c r="F1569">
        <v>0.50230801105499268</v>
      </c>
      <c r="G1569">
        <v>247.98750305175781</v>
      </c>
      <c r="H1569">
        <v>0.8399999737739563</v>
      </c>
      <c r="I1569">
        <v>276.70001220703125</v>
      </c>
      <c r="J1569">
        <v>1070</v>
      </c>
    </row>
    <row r="1570" spans="1:10" x14ac:dyDescent="0.25">
      <c r="A1570">
        <v>45880</v>
      </c>
      <c r="B1570" t="str">
        <v>Meghna Infracon</v>
      </c>
      <c r="C1570">
        <v>86.211393999999999</v>
      </c>
      <c r="D1570">
        <v>305.84500122070313</v>
      </c>
      <c r="E1570">
        <v>293.967041015625</v>
      </c>
      <c r="F1570">
        <v>0.9611629843711853</v>
      </c>
      <c r="G1570">
        <v>1072.262451171875</v>
      </c>
      <c r="H1570">
        <v>0.40000000596046448</v>
      </c>
      <c r="I1570">
        <v>1162.550048828125</v>
      </c>
      <c r="J1570">
        <v>795</v>
      </c>
    </row>
    <row r="1571" spans="1:10" x14ac:dyDescent="0.25">
      <c r="A1571">
        <v>23164</v>
      </c>
      <c r="B1571" t="str">
        <v>Megri Soft</v>
      </c>
      <c r="C1571">
        <v>35.838106000000003</v>
      </c>
      <c r="D1571">
        <v>119.65715026855469</v>
      </c>
      <c r="E1571">
        <v>45.569538116455078</v>
      </c>
      <c r="F1571">
        <v>0.38083401322364807</v>
      </c>
      <c r="G1571">
        <v>113.69999694824219</v>
      </c>
      <c r="H1571">
        <v>0</v>
      </c>
      <c r="I1571">
        <v>35.139999389648438</v>
      </c>
      <c r="J1571">
        <v>1076</v>
      </c>
    </row>
    <row r="1572" spans="1:10" x14ac:dyDescent="0.25">
      <c r="A1572">
        <v>71415</v>
      </c>
      <c r="B1572" t="str">
        <v>Mehai Technology</v>
      </c>
      <c r="C1572">
        <v>5.3583550000000004</v>
      </c>
      <c r="D1572">
        <v>5.805182933807373</v>
      </c>
      <c r="E1572">
        <v>6.0342259407043457</v>
      </c>
      <c r="F1572">
        <v>1.0394550561904907</v>
      </c>
      <c r="G1572">
        <v>16.979999542236328</v>
      </c>
      <c r="H1572">
        <v>0.10000000149011612</v>
      </c>
      <c r="I1572">
        <v>530.77001953125</v>
      </c>
      <c r="J1572">
        <v>1299</v>
      </c>
    </row>
    <row r="1573" spans="1:10" x14ac:dyDescent="0.25">
      <c r="A1573">
        <v>3134</v>
      </c>
      <c r="B1573" t="str">
        <v>Mehta Integrat.</v>
      </c>
      <c r="C1573">
        <v>45.3904</v>
      </c>
      <c r="D1573">
        <v>17.974582672119141</v>
      </c>
      <c r="E1573">
        <v>11.11799144744873</v>
      </c>
      <c r="F1573">
        <v>0.61853998899459839</v>
      </c>
      <c r="G1573">
        <v>27.149999618530273</v>
      </c>
      <c r="H1573">
        <v>9.0000003576278687E-2</v>
      </c>
      <c r="I1573">
        <v>13.649999618530273</v>
      </c>
      <c r="J1573">
        <v>979</v>
      </c>
    </row>
    <row r="1574" spans="1:10" x14ac:dyDescent="0.25">
      <c r="A1574">
        <v>5919</v>
      </c>
      <c r="B1574" t="str">
        <v>Mena Mani Inds.</v>
      </c>
      <c r="C1574">
        <v>39.795644000000003</v>
      </c>
      <c r="D1574">
        <v>5.0512142181396484</v>
      </c>
      <c r="E1574">
        <v>3.3795680999755859</v>
      </c>
      <c r="F1574">
        <v>0.66905999183654785</v>
      </c>
      <c r="G1574">
        <v>6.7674999237060547</v>
      </c>
      <c r="H1574">
        <v>0</v>
      </c>
      <c r="I1574">
        <v>68.94000244140625</v>
      </c>
      <c r="J1574">
        <v>663</v>
      </c>
    </row>
    <row r="1575" spans="1:10" x14ac:dyDescent="0.25">
      <c r="A1575">
        <v>2896</v>
      </c>
      <c r="B1575" t="str">
        <v>Menon Bearings</v>
      </c>
      <c r="C1575">
        <v>13.642715000000001</v>
      </c>
      <c r="D1575">
        <v>92.898918151855469</v>
      </c>
      <c r="E1575">
        <v>34.139453887939453</v>
      </c>
      <c r="F1575">
        <v>0.36748999357223511</v>
      </c>
      <c r="G1575">
        <v>119.66249847412109</v>
      </c>
      <c r="H1575">
        <v>0.17000000178813934</v>
      </c>
      <c r="I1575">
        <v>671.91998291015625</v>
      </c>
      <c r="J1575">
        <v>1356</v>
      </c>
    </row>
    <row r="1576" spans="1:10" x14ac:dyDescent="0.25">
      <c r="A1576">
        <v>14845</v>
      </c>
      <c r="B1576" t="str">
        <v>Menon Pistons</v>
      </c>
      <c r="C1576">
        <v>23.828312</v>
      </c>
      <c r="D1576">
        <v>49.240451812744141</v>
      </c>
      <c r="E1576">
        <v>26.527223587036133</v>
      </c>
      <c r="F1576">
        <v>0.53872799873352051</v>
      </c>
      <c r="G1576">
        <v>60.402500152587891</v>
      </c>
      <c r="H1576">
        <v>0.15000000596046448</v>
      </c>
      <c r="I1576">
        <v>303.60000610351563</v>
      </c>
      <c r="J1576">
        <v>1359</v>
      </c>
    </row>
    <row r="1577" spans="1:10" x14ac:dyDescent="0.25">
      <c r="A1577">
        <v>65601</v>
      </c>
      <c r="B1577" t="str">
        <v>Mercantile Vent.</v>
      </c>
      <c r="C1577">
        <v>26.69997</v>
      </c>
      <c r="D1577">
        <v>18.189664840698242</v>
      </c>
      <c r="E1577">
        <v>5.9896440505981445</v>
      </c>
      <c r="F1577">
        <v>0.32928800582885742</v>
      </c>
      <c r="G1577">
        <v>22.950000762939453</v>
      </c>
      <c r="H1577">
        <v>9.9999997764825821E-3</v>
      </c>
      <c r="I1577">
        <v>254.61000061035156</v>
      </c>
      <c r="J1577">
        <v>1314</v>
      </c>
    </row>
    <row r="1578" spans="1:10" x14ac:dyDescent="0.25">
      <c r="A1578">
        <v>3304</v>
      </c>
      <c r="B1578" t="str">
        <v>Mercator</v>
      </c>
      <c r="C1578">
        <v>4.9531349999999996</v>
      </c>
      <c r="D1578">
        <v>1.3593690395355225</v>
      </c>
      <c r="E1578">
        <v>0.61812502145767212</v>
      </c>
      <c r="F1578">
        <v>0.45471501350402832</v>
      </c>
      <c r="G1578">
        <v>0.84249997138977051</v>
      </c>
      <c r="H1578">
        <v>0</v>
      </c>
      <c r="I1578">
        <v>25.409999847412109</v>
      </c>
      <c r="J1578">
        <v>796</v>
      </c>
    </row>
    <row r="1579" spans="1:10" x14ac:dyDescent="0.25">
      <c r="A1579">
        <v>2899</v>
      </c>
      <c r="B1579" t="str">
        <v>Mercury Labs</v>
      </c>
      <c r="C1579">
        <v>21.728413</v>
      </c>
      <c r="D1579">
        <v>705.421142578125</v>
      </c>
      <c r="E1579">
        <v>202.96141052246094</v>
      </c>
      <c r="F1579">
        <v>0.28771701455116272</v>
      </c>
      <c r="G1579">
        <v>825.125</v>
      </c>
      <c r="H1579">
        <v>0.11999999731779099</v>
      </c>
      <c r="I1579">
        <v>99</v>
      </c>
      <c r="J1579">
        <v>1259</v>
      </c>
    </row>
    <row r="1580" spans="1:10" x14ac:dyDescent="0.25">
      <c r="A1580">
        <v>3387</v>
      </c>
      <c r="B1580" t="str">
        <v>Mesco Pharma</v>
      </c>
      <c r="C1580">
        <v>-39.929654999999997</v>
      </c>
      <c r="D1580">
        <v>5.6792540550231934</v>
      </c>
      <c r="E1580">
        <v>1.6355650424957275</v>
      </c>
      <c r="F1580">
        <v>0.28798899054527283</v>
      </c>
      <c r="G1580">
        <v>4.5399999618530273</v>
      </c>
      <c r="H1580">
        <v>0</v>
      </c>
      <c r="I1580">
        <v>9.2299995422363281</v>
      </c>
      <c r="J1580">
        <v>67</v>
      </c>
    </row>
    <row r="1581" spans="1:10" x14ac:dyDescent="0.25">
      <c r="A1581">
        <v>14972</v>
      </c>
      <c r="B1581" t="str">
        <v>Metal Coatings</v>
      </c>
      <c r="C1581">
        <v>16.957321</v>
      </c>
      <c r="D1581">
        <v>67.865943908691406</v>
      </c>
      <c r="E1581">
        <v>25.822933197021484</v>
      </c>
      <c r="F1581">
        <v>0.38049900531768799</v>
      </c>
      <c r="G1581">
        <v>70.294998168945313</v>
      </c>
      <c r="H1581">
        <v>2.9999999329447746E-2</v>
      </c>
      <c r="I1581">
        <v>52.520000457763672</v>
      </c>
      <c r="J1581">
        <v>1140</v>
      </c>
    </row>
    <row r="1582" spans="1:10" x14ac:dyDescent="0.25">
      <c r="A1582">
        <v>3703</v>
      </c>
      <c r="B1582" t="str">
        <v>Metroglobal</v>
      </c>
      <c r="C1582">
        <v>20.389006999999999</v>
      </c>
      <c r="D1582">
        <v>93.791061401367188</v>
      </c>
      <c r="E1582">
        <v>39.822597503662109</v>
      </c>
      <c r="F1582">
        <v>0.42458799481391907</v>
      </c>
      <c r="G1582">
        <v>130.42500305175781</v>
      </c>
      <c r="H1582">
        <v>5.000000074505806E-2</v>
      </c>
      <c r="I1582">
        <v>159.61000061035156</v>
      </c>
      <c r="J1582">
        <v>1358</v>
      </c>
    </row>
    <row r="1583" spans="1:10" x14ac:dyDescent="0.25">
      <c r="A1583">
        <v>65221</v>
      </c>
      <c r="B1583" t="str">
        <v>Metropolis Healt</v>
      </c>
      <c r="C1583">
        <v>3.3075929999999998</v>
      </c>
      <c r="D1583">
        <v>1874.79833984375</v>
      </c>
      <c r="E1583">
        <v>513.3494873046875</v>
      </c>
      <c r="F1583">
        <v>0.27381598949432373</v>
      </c>
      <c r="G1583">
        <v>1730.7374267578125</v>
      </c>
      <c r="H1583">
        <v>0.23999999463558197</v>
      </c>
      <c r="I1583">
        <v>8735.8701171875</v>
      </c>
      <c r="J1583">
        <v>1359</v>
      </c>
    </row>
    <row r="1584" spans="1:10" x14ac:dyDescent="0.25">
      <c r="A1584">
        <v>13654</v>
      </c>
      <c r="B1584" t="str">
        <v>Meyer Apparel</v>
      </c>
      <c r="C1584">
        <v>23.454415999999998</v>
      </c>
      <c r="D1584">
        <v>1.4344209432601929</v>
      </c>
      <c r="E1584">
        <v>0.514739990234375</v>
      </c>
      <c r="F1584">
        <v>0.35884898900985718</v>
      </c>
      <c r="G1584">
        <v>2.6099998950958252</v>
      </c>
      <c r="H1584">
        <v>0</v>
      </c>
      <c r="I1584">
        <v>20.610000610351563</v>
      </c>
      <c r="J1584">
        <v>812</v>
      </c>
    </row>
    <row r="1585" spans="1:10" x14ac:dyDescent="0.25">
      <c r="A1585">
        <v>3280</v>
      </c>
      <c r="B1585" t="str">
        <v>Mid East Port.</v>
      </c>
      <c r="C1585">
        <v>25.892486000000002</v>
      </c>
      <c r="D1585">
        <v>7.9127612113952637</v>
      </c>
      <c r="E1585">
        <v>5.0574607849121094</v>
      </c>
      <c r="F1585">
        <v>0.63915199041366577</v>
      </c>
      <c r="G1585">
        <v>26.292499542236328</v>
      </c>
      <c r="H1585">
        <v>0</v>
      </c>
      <c r="I1585">
        <v>13.180000305175781</v>
      </c>
      <c r="J1585">
        <v>737</v>
      </c>
    </row>
    <row r="1586" spans="1:10" x14ac:dyDescent="0.25">
      <c r="A1586">
        <v>2998</v>
      </c>
      <c r="B1586" t="str">
        <v>Mid India Inds.</v>
      </c>
      <c r="C1586">
        <v>39.007635999999998</v>
      </c>
      <c r="D1586">
        <v>9.5778045654296875</v>
      </c>
      <c r="E1586">
        <v>6.00726318359375</v>
      </c>
      <c r="F1586">
        <v>0.62720698118209839</v>
      </c>
      <c r="G1586">
        <v>8.1000003814697266</v>
      </c>
      <c r="H1586">
        <v>0</v>
      </c>
      <c r="I1586">
        <v>13.369999885559082</v>
      </c>
      <c r="J1586">
        <v>1025</v>
      </c>
    </row>
    <row r="1587" spans="1:10" x14ac:dyDescent="0.25">
      <c r="A1587">
        <v>4235</v>
      </c>
      <c r="B1587" t="str">
        <v>Mideast Int. Stl</v>
      </c>
      <c r="C1587">
        <v>13.126545</v>
      </c>
      <c r="D1587">
        <v>8.3683223724365234</v>
      </c>
      <c r="E1587">
        <v>3.753201961517334</v>
      </c>
      <c r="F1587">
        <v>0.44850099086761475</v>
      </c>
      <c r="G1587">
        <v>9.5799999237060547</v>
      </c>
      <c r="H1587">
        <v>0.10999999940395355</v>
      </c>
      <c r="I1587">
        <v>132.08000183105469</v>
      </c>
      <c r="J1587">
        <v>511</v>
      </c>
    </row>
    <row r="1588" spans="1:10" x14ac:dyDescent="0.25">
      <c r="A1588">
        <v>4041</v>
      </c>
      <c r="B1588" t="str">
        <v>Midwest Gold</v>
      </c>
      <c r="C1588">
        <v>90.094572999999997</v>
      </c>
      <c r="D1588">
        <v>126.48583984375</v>
      </c>
      <c r="E1588">
        <v>181.57933044433594</v>
      </c>
      <c r="F1588">
        <v>1.4355700016021729</v>
      </c>
      <c r="G1588">
        <v>786.70001220703125</v>
      </c>
      <c r="H1588">
        <v>0</v>
      </c>
      <c r="I1588">
        <v>869.1400146484375</v>
      </c>
      <c r="J1588">
        <v>355</v>
      </c>
    </row>
    <row r="1589" spans="1:10" x14ac:dyDescent="0.25">
      <c r="A1589">
        <v>381</v>
      </c>
      <c r="B1589" t="str">
        <v>Milkfood</v>
      </c>
      <c r="C1589">
        <v>-7.0069280000000003</v>
      </c>
      <c r="D1589">
        <v>115.90454864501953</v>
      </c>
      <c r="E1589">
        <v>28.773513793945313</v>
      </c>
      <c r="F1589">
        <v>0.24825200438499451</v>
      </c>
      <c r="G1589">
        <v>84.014999389648438</v>
      </c>
      <c r="H1589">
        <v>0.76999998092651367</v>
      </c>
      <c r="I1589">
        <v>201.24000549316406</v>
      </c>
      <c r="J1589">
        <v>1358</v>
      </c>
    </row>
    <row r="1590" spans="1:10" x14ac:dyDescent="0.25">
      <c r="A1590">
        <v>14978</v>
      </c>
      <c r="B1590" t="str">
        <v>Minda Corp</v>
      </c>
      <c r="C1590">
        <v>31.403065000000002</v>
      </c>
      <c r="D1590">
        <v>259.08056640625</v>
      </c>
      <c r="E1590">
        <v>161.20346069335938</v>
      </c>
      <c r="F1590">
        <v>0.62221401929855347</v>
      </c>
      <c r="G1590">
        <v>521.6875</v>
      </c>
      <c r="H1590">
        <v>0.40000000596046448</v>
      </c>
      <c r="I1590">
        <v>12237.2802734375</v>
      </c>
      <c r="J1590">
        <v>1359</v>
      </c>
    </row>
    <row r="1591" spans="1:10" x14ac:dyDescent="0.25">
      <c r="A1591">
        <v>3210</v>
      </c>
      <c r="B1591" t="str">
        <v>Mindteck (India)</v>
      </c>
      <c r="C1591">
        <v>46.206152000000003</v>
      </c>
      <c r="D1591">
        <v>123.36244964599609</v>
      </c>
      <c r="E1591">
        <v>85.956703186035156</v>
      </c>
      <c r="F1591">
        <v>0.69678199291229248</v>
      </c>
      <c r="G1591">
        <v>233.44999694824219</v>
      </c>
      <c r="H1591">
        <v>2.9999999329447746E-2</v>
      </c>
      <c r="I1591">
        <v>726.75</v>
      </c>
      <c r="J1591">
        <v>1357</v>
      </c>
    </row>
    <row r="1592" spans="1:10" x14ac:dyDescent="0.25">
      <c r="A1592">
        <v>20581</v>
      </c>
      <c r="B1592" t="str">
        <v>Mindtree</v>
      </c>
      <c r="C1592">
        <v>53.151156999999998</v>
      </c>
      <c r="D1592">
        <v>2484.72802734375</v>
      </c>
      <c r="E1592">
        <v>1285.5216064453125</v>
      </c>
      <c r="F1592">
        <v>0.51736897230148315</v>
      </c>
      <c r="G1592">
        <v>3416.5751953125</v>
      </c>
      <c r="H1592">
        <v>0.10999999940395355</v>
      </c>
      <c r="I1592">
        <v>56635.0390625</v>
      </c>
      <c r="J1592">
        <v>720</v>
      </c>
    </row>
    <row r="1593" spans="1:10" x14ac:dyDescent="0.25">
      <c r="A1593">
        <v>382</v>
      </c>
      <c r="B1593" t="str">
        <v>Mipco Seaml Ring</v>
      </c>
      <c r="C1593">
        <v>22.018032999999999</v>
      </c>
      <c r="D1593">
        <v>24.020914077758789</v>
      </c>
      <c r="E1593">
        <v>12.133423805236816</v>
      </c>
      <c r="F1593">
        <v>0.50511902570724487</v>
      </c>
      <c r="G1593">
        <v>27.459999084472656</v>
      </c>
      <c r="H1593">
        <v>0</v>
      </c>
      <c r="I1593">
        <v>9.8400001525878906</v>
      </c>
      <c r="J1593">
        <v>355</v>
      </c>
    </row>
    <row r="1594" spans="1:10" x14ac:dyDescent="0.25">
      <c r="A1594">
        <v>4269</v>
      </c>
      <c r="B1594" t="str">
        <v>Mirza Internatio</v>
      </c>
      <c r="C1594">
        <v>25.863139</v>
      </c>
      <c r="D1594">
        <v>27.653850555419922</v>
      </c>
      <c r="E1594">
        <v>17.508937835693359</v>
      </c>
      <c r="F1594">
        <v>0.63314598798751831</v>
      </c>
      <c r="G1594">
        <v>29.194999694824219</v>
      </c>
      <c r="H1594">
        <v>5.000000074505806E-2</v>
      </c>
      <c r="I1594">
        <v>399.54000854492188</v>
      </c>
      <c r="J1594">
        <v>1359</v>
      </c>
    </row>
    <row r="1595" spans="1:10" x14ac:dyDescent="0.25">
      <c r="A1595">
        <v>66214</v>
      </c>
      <c r="B1595" t="str">
        <v>Mishka Exim</v>
      </c>
      <c r="C1595">
        <v>-3.8896709999999999</v>
      </c>
      <c r="D1595">
        <v>38.604358673095703</v>
      </c>
      <c r="E1595">
        <v>15.030061721801758</v>
      </c>
      <c r="F1595">
        <v>0.3893359899520874</v>
      </c>
      <c r="G1595">
        <v>28.282499313354492</v>
      </c>
      <c r="H1595">
        <v>0</v>
      </c>
      <c r="I1595">
        <v>40.040000915527344</v>
      </c>
      <c r="J1595">
        <v>897</v>
      </c>
    </row>
    <row r="1596" spans="1:10" x14ac:dyDescent="0.25">
      <c r="A1596">
        <v>14133</v>
      </c>
      <c r="B1596" t="str">
        <v>Mishra Dhatu Nig</v>
      </c>
      <c r="C1596">
        <v>18.557727</v>
      </c>
      <c r="D1596">
        <v>265.00799560546875</v>
      </c>
      <c r="E1596">
        <v>99.22540283203125</v>
      </c>
      <c r="F1596">
        <v>0.37442401051521301</v>
      </c>
      <c r="G1596">
        <v>420.23748779296875</v>
      </c>
      <c r="H1596">
        <v>0.34999999403953552</v>
      </c>
      <c r="I1596">
        <v>7756.81005859375</v>
      </c>
      <c r="J1596">
        <v>1359</v>
      </c>
    </row>
    <row r="1597" spans="1:10" x14ac:dyDescent="0.25">
      <c r="A1597">
        <v>6253</v>
      </c>
      <c r="B1597" t="str">
        <v>Mishtann Foods</v>
      </c>
      <c r="C1597">
        <v>-0.82383600000000001</v>
      </c>
      <c r="D1597">
        <v>9.3597259521484375</v>
      </c>
      <c r="E1597">
        <v>5.1881780624389648</v>
      </c>
      <c r="F1597">
        <v>0.55430901050567627</v>
      </c>
      <c r="G1597">
        <v>6.9875001907348633</v>
      </c>
      <c r="H1597">
        <v>0.28999999165534973</v>
      </c>
      <c r="I1597">
        <v>765.1099853515625</v>
      </c>
      <c r="J1597">
        <v>1359</v>
      </c>
    </row>
    <row r="1598" spans="1:10" x14ac:dyDescent="0.25">
      <c r="A1598">
        <v>2830</v>
      </c>
      <c r="B1598" t="str">
        <v>Mitshi India</v>
      </c>
      <c r="C1598">
        <v>-24.220043</v>
      </c>
      <c r="D1598">
        <v>20.385639190673828</v>
      </c>
      <c r="E1598">
        <v>11.234143257141113</v>
      </c>
      <c r="F1598">
        <v>0.55108100175857544</v>
      </c>
      <c r="G1598">
        <v>14.582500457763672</v>
      </c>
      <c r="H1598">
        <v>9.9999997764825821E-3</v>
      </c>
      <c r="I1598">
        <v>12.840000152587891</v>
      </c>
      <c r="J1598">
        <v>1354</v>
      </c>
    </row>
    <row r="1599" spans="1:10" x14ac:dyDescent="0.25">
      <c r="A1599">
        <v>925</v>
      </c>
      <c r="B1599" t="str">
        <v>Miven Mach. Tool</v>
      </c>
      <c r="C1599">
        <v>50.160805000000003</v>
      </c>
      <c r="D1599">
        <v>51.693225860595703</v>
      </c>
      <c r="E1599">
        <v>42.900188446044922</v>
      </c>
      <c r="F1599">
        <v>0.82990002632141113</v>
      </c>
      <c r="G1599">
        <v>73.019996643066406</v>
      </c>
      <c r="H1599">
        <v>0</v>
      </c>
      <c r="I1599">
        <v>21.930000305175781</v>
      </c>
      <c r="J1599">
        <v>702</v>
      </c>
    </row>
    <row r="1600" spans="1:10" x14ac:dyDescent="0.25">
      <c r="A1600">
        <v>383</v>
      </c>
      <c r="B1600" t="str">
        <v>Modella Woollens</v>
      </c>
      <c r="C1600">
        <v>31.697051999999999</v>
      </c>
      <c r="D1600">
        <v>77.640182495117188</v>
      </c>
      <c r="E1600">
        <v>36.746330261230469</v>
      </c>
      <c r="F1600">
        <v>0.47328999638557434</v>
      </c>
      <c r="G1600">
        <v>59.555000305175781</v>
      </c>
      <c r="H1600">
        <v>0</v>
      </c>
      <c r="I1600">
        <v>5.1599998474121094</v>
      </c>
      <c r="J1600">
        <v>847</v>
      </c>
    </row>
    <row r="1601" spans="1:10" x14ac:dyDescent="0.25">
      <c r="A1601">
        <v>3343</v>
      </c>
      <c r="B1601" t="str">
        <v>Modern Dairies</v>
      </c>
      <c r="C1601">
        <v>52.812871999999999</v>
      </c>
      <c r="D1601">
        <v>22.174980163574219</v>
      </c>
      <c r="E1601">
        <v>18.945564270019531</v>
      </c>
      <c r="F1601">
        <v>0.85436701774597168</v>
      </c>
      <c r="G1601">
        <v>54.777500152587891</v>
      </c>
      <c r="H1601">
        <v>0</v>
      </c>
      <c r="I1601">
        <v>139.91000366210938</v>
      </c>
      <c r="J1601">
        <v>1356</v>
      </c>
    </row>
    <row r="1602" spans="1:10" x14ac:dyDescent="0.25">
      <c r="A1602">
        <v>3739</v>
      </c>
      <c r="B1602" t="str">
        <v>Modern Shares</v>
      </c>
      <c r="C1602">
        <v>36.276997999999999</v>
      </c>
      <c r="D1602">
        <v>28.669235229492188</v>
      </c>
      <c r="E1602">
        <v>15.346120834350586</v>
      </c>
      <c r="F1602">
        <v>0.53528201580047607</v>
      </c>
      <c r="G1602">
        <v>45.167499542236328</v>
      </c>
      <c r="H1602">
        <v>5.9999998658895493E-2</v>
      </c>
      <c r="I1602">
        <v>12.810000419616699</v>
      </c>
      <c r="J1602">
        <v>956</v>
      </c>
    </row>
    <row r="1603" spans="1:10" x14ac:dyDescent="0.25">
      <c r="A1603">
        <v>7200</v>
      </c>
      <c r="B1603" t="str">
        <v>Modex Intl. Sec.</v>
      </c>
      <c r="C1603">
        <v>-74.26661</v>
      </c>
      <c r="D1603">
        <v>5.810175895690918</v>
      </c>
      <c r="E1603">
        <v>2.6375761032104492</v>
      </c>
      <c r="F1603">
        <v>0.45395800471305847</v>
      </c>
      <c r="G1603">
        <v>3.255000114440918</v>
      </c>
      <c r="H1603">
        <v>0.43999999761581421</v>
      </c>
      <c r="I1603">
        <v>4</v>
      </c>
      <c r="J1603">
        <v>170</v>
      </c>
    </row>
    <row r="1604" spans="1:10" x14ac:dyDescent="0.25">
      <c r="A1604">
        <v>1815</v>
      </c>
      <c r="B1604" t="str">
        <v>Modi Naturals</v>
      </c>
      <c r="C1604">
        <v>55.126176999999998</v>
      </c>
      <c r="D1604">
        <v>207.66824340820313</v>
      </c>
      <c r="E1604">
        <v>129.46366882324219</v>
      </c>
      <c r="F1604">
        <v>0.62341600656509399</v>
      </c>
      <c r="G1604">
        <v>521.82501220703125</v>
      </c>
      <c r="H1604">
        <v>0.54000002145767212</v>
      </c>
      <c r="I1604">
        <v>679.0999755859375</v>
      </c>
      <c r="J1604">
        <v>1342</v>
      </c>
    </row>
    <row r="1605" spans="1:10" x14ac:dyDescent="0.25">
      <c r="A1605">
        <v>387</v>
      </c>
      <c r="B1605" t="str">
        <v>Modi Rubber</v>
      </c>
      <c r="C1605">
        <v>27.291513999999999</v>
      </c>
      <c r="D1605">
        <v>80.594879150390625</v>
      </c>
      <c r="E1605">
        <v>29.043970108032227</v>
      </c>
      <c r="F1605">
        <v>0.36037001013755798</v>
      </c>
      <c r="G1605">
        <v>121.25</v>
      </c>
      <c r="H1605">
        <v>1.9999999552965164E-2</v>
      </c>
      <c r="I1605">
        <v>311.75</v>
      </c>
      <c r="J1605">
        <v>1175</v>
      </c>
    </row>
    <row r="1606" spans="1:10" x14ac:dyDescent="0.25">
      <c r="A1606">
        <v>1168</v>
      </c>
      <c r="B1606" t="str">
        <v>Modipon</v>
      </c>
      <c r="C1606">
        <v>18.676307999999999</v>
      </c>
      <c r="D1606">
        <v>40.599174499511719</v>
      </c>
      <c r="E1606">
        <v>12.89521312713623</v>
      </c>
      <c r="F1606">
        <v>0.31762298941612244</v>
      </c>
      <c r="G1606">
        <v>45.200000762939453</v>
      </c>
      <c r="H1606">
        <v>0</v>
      </c>
      <c r="I1606">
        <v>52.330001831054688</v>
      </c>
      <c r="J1606">
        <v>1127</v>
      </c>
    </row>
    <row r="1607" spans="1:10" x14ac:dyDescent="0.25">
      <c r="A1607">
        <v>7486</v>
      </c>
      <c r="B1607" t="str">
        <v>Modison</v>
      </c>
      <c r="C1607">
        <v>30.566842999999999</v>
      </c>
      <c r="D1607">
        <v>85.489273071289063</v>
      </c>
      <c r="E1607">
        <v>43.917453765869141</v>
      </c>
      <c r="F1607">
        <v>0.51371902227401733</v>
      </c>
      <c r="G1607">
        <v>158.96249389648438</v>
      </c>
      <c r="H1607">
        <v>9.0000003576278687E-2</v>
      </c>
      <c r="I1607">
        <v>514.33001708984375</v>
      </c>
      <c r="J1607">
        <v>1358</v>
      </c>
    </row>
    <row r="1608" spans="1:10" x14ac:dyDescent="0.25">
      <c r="A1608">
        <v>5986</v>
      </c>
      <c r="B1608" t="str">
        <v>Modulex Const.</v>
      </c>
      <c r="C1608">
        <v>1.169076</v>
      </c>
      <c r="D1608">
        <v>14.001815795898438</v>
      </c>
      <c r="E1608">
        <v>5.678825855255127</v>
      </c>
      <c r="F1608">
        <v>0.40557798743247986</v>
      </c>
      <c r="G1608">
        <v>23.770000457763672</v>
      </c>
      <c r="H1608">
        <v>9.9999997764825821E-3</v>
      </c>
      <c r="I1608">
        <v>160.27000427246094</v>
      </c>
      <c r="J1608">
        <v>1340</v>
      </c>
    </row>
    <row r="1609" spans="1:10" x14ac:dyDescent="0.25">
      <c r="A1609">
        <v>7857</v>
      </c>
      <c r="B1609" t="str">
        <v>Mohite Industrie</v>
      </c>
      <c r="C1609">
        <v>21.040168000000001</v>
      </c>
      <c r="D1609">
        <v>2.8505680561065674</v>
      </c>
      <c r="E1609">
        <v>1.914355993270874</v>
      </c>
      <c r="F1609">
        <v>0.67157000303268433</v>
      </c>
      <c r="G1609">
        <v>2.6700000762939453</v>
      </c>
      <c r="H1609">
        <v>0.81000000238418579</v>
      </c>
      <c r="I1609">
        <v>53.669998168945313</v>
      </c>
      <c r="J1609">
        <v>1117</v>
      </c>
    </row>
    <row r="1610" spans="1:10" x14ac:dyDescent="0.25">
      <c r="A1610">
        <v>28243</v>
      </c>
      <c r="B1610" t="str">
        <v>Mold-Tek Pack.</v>
      </c>
      <c r="C1610">
        <v>16.346395999999999</v>
      </c>
      <c r="D1610">
        <v>652.7056884765625</v>
      </c>
      <c r="E1610">
        <v>259.95751953125</v>
      </c>
      <c r="F1610">
        <v>0.39827701449394226</v>
      </c>
      <c r="G1610">
        <v>682.32501220703125</v>
      </c>
      <c r="H1610">
        <v>0.15000000596046448</v>
      </c>
      <c r="I1610">
        <v>2233.97998046875</v>
      </c>
      <c r="J1610">
        <v>1359</v>
      </c>
    </row>
    <row r="1611" spans="1:10" x14ac:dyDescent="0.25">
      <c r="A1611">
        <v>3282</v>
      </c>
      <c r="B1611" t="str">
        <v>Mold-Tek Technol</v>
      </c>
      <c r="C1611">
        <v>20.880068999999999</v>
      </c>
      <c r="D1611">
        <v>143.23655700683594</v>
      </c>
      <c r="E1611">
        <v>95.685768127441406</v>
      </c>
      <c r="F1611">
        <v>0.66802597045898438</v>
      </c>
      <c r="G1611">
        <v>152.30000305175781</v>
      </c>
      <c r="H1611">
        <v>7.9999998211860657E-2</v>
      </c>
      <c r="I1611">
        <v>428.760009765625</v>
      </c>
      <c r="J1611">
        <v>1357</v>
      </c>
    </row>
    <row r="1612" spans="1:10" x14ac:dyDescent="0.25">
      <c r="A1612">
        <v>4092</v>
      </c>
      <c r="B1612" t="str">
        <v>Monarch Networth</v>
      </c>
      <c r="C1612">
        <v>64.518859000000006</v>
      </c>
      <c r="D1612">
        <v>157.08137512207031</v>
      </c>
      <c r="E1612">
        <v>130.54463195800781</v>
      </c>
      <c r="F1612">
        <v>0.83106398582458496</v>
      </c>
      <c r="G1612">
        <v>309.83749389648438</v>
      </c>
      <c r="H1612">
        <v>0.25</v>
      </c>
      <c r="I1612">
        <v>2412.280029296875</v>
      </c>
      <c r="J1612">
        <v>1359</v>
      </c>
    </row>
    <row r="1613" spans="1:10" x14ac:dyDescent="0.25">
      <c r="A1613">
        <v>14079</v>
      </c>
      <c r="B1613" t="str">
        <v>Monind</v>
      </c>
      <c r="C1613">
        <v>20.947514999999999</v>
      </c>
      <c r="D1613">
        <v>17.771072387695313</v>
      </c>
      <c r="E1613">
        <v>6.4007420539855957</v>
      </c>
      <c r="F1613">
        <v>0.36017799377441406</v>
      </c>
      <c r="G1613">
        <v>29.399999618530273</v>
      </c>
      <c r="H1613">
        <v>0</v>
      </c>
      <c r="I1613">
        <v>10.819999694824219</v>
      </c>
      <c r="J1613">
        <v>329</v>
      </c>
    </row>
    <row r="1614" spans="1:10" x14ac:dyDescent="0.25">
      <c r="A1614">
        <v>748</v>
      </c>
      <c r="B1614" t="str">
        <v>Monotype India</v>
      </c>
      <c r="C1614">
        <v>26.662420999999998</v>
      </c>
      <c r="D1614">
        <v>0.64082401990890503</v>
      </c>
      <c r="E1614">
        <v>0.42239999771118164</v>
      </c>
      <c r="F1614">
        <v>0.65915000438690186</v>
      </c>
      <c r="G1614">
        <v>0.77499997615814209</v>
      </c>
      <c r="H1614">
        <v>0</v>
      </c>
      <c r="I1614">
        <v>54.139999389648438</v>
      </c>
      <c r="J1614">
        <v>743</v>
      </c>
    </row>
    <row r="1615" spans="1:10" x14ac:dyDescent="0.25">
      <c r="A1615">
        <v>64824</v>
      </c>
      <c r="B1615" t="str">
        <v>Monte Carlo Fas.</v>
      </c>
      <c r="C1615">
        <v>12.961691</v>
      </c>
      <c r="D1615">
        <v>532.84033203125</v>
      </c>
      <c r="E1615">
        <v>229.45454406738281</v>
      </c>
      <c r="F1615">
        <v>0.43062499165534973</v>
      </c>
      <c r="G1615">
        <v>591.0875244140625</v>
      </c>
      <c r="H1615">
        <v>0.44999998807907104</v>
      </c>
      <c r="I1615">
        <v>1211.47998046875</v>
      </c>
      <c r="J1615">
        <v>1359</v>
      </c>
    </row>
    <row r="1616" spans="1:10" x14ac:dyDescent="0.25">
      <c r="A1616">
        <v>4881</v>
      </c>
      <c r="B1616" t="str">
        <v>Moongipa Capital</v>
      </c>
      <c r="C1616">
        <v>49.200938000000001</v>
      </c>
      <c r="D1616">
        <v>16.71955680847168</v>
      </c>
      <c r="E1616">
        <v>8.1554508209228516</v>
      </c>
      <c r="F1616">
        <v>0.48777899146080017</v>
      </c>
      <c r="G1616">
        <v>20.017499923706055</v>
      </c>
      <c r="H1616">
        <v>9.9999997764825821E-3</v>
      </c>
      <c r="I1616">
        <v>18.329999923706055</v>
      </c>
      <c r="J1616">
        <v>1037</v>
      </c>
    </row>
    <row r="1617" spans="1:10" x14ac:dyDescent="0.25">
      <c r="A1617">
        <v>13267</v>
      </c>
      <c r="B1617" t="str">
        <v>Morarjee Text.</v>
      </c>
      <c r="C1617">
        <v>-9.873742</v>
      </c>
      <c r="D1617">
        <v>17.223150253295898</v>
      </c>
      <c r="E1617">
        <v>5.6793899536132813</v>
      </c>
      <c r="F1617">
        <v>0.32975301146507263</v>
      </c>
      <c r="G1617">
        <v>7.809999942779541</v>
      </c>
      <c r="H1617">
        <v>0</v>
      </c>
      <c r="I1617">
        <v>29.790000915527344</v>
      </c>
      <c r="J1617">
        <v>1183</v>
      </c>
    </row>
    <row r="1618" spans="1:10" x14ac:dyDescent="0.25">
      <c r="A1618">
        <v>4085</v>
      </c>
      <c r="B1618" t="str">
        <v>Morarka Finance</v>
      </c>
      <c r="C1618">
        <v>38.811508000000003</v>
      </c>
      <c r="D1618">
        <v>99.549850463867188</v>
      </c>
      <c r="E1618">
        <v>47.191322326660156</v>
      </c>
      <c r="F1618">
        <v>0.47404700517654419</v>
      </c>
      <c r="G1618">
        <v>113.59999847412109</v>
      </c>
      <c r="H1618">
        <v>0</v>
      </c>
      <c r="I1618">
        <v>50.400001525878906</v>
      </c>
      <c r="J1618">
        <v>1312</v>
      </c>
    </row>
    <row r="1619" spans="1:10" x14ac:dyDescent="0.25">
      <c r="A1619">
        <v>2685</v>
      </c>
      <c r="B1619" t="str">
        <v>Morepen Labs.</v>
      </c>
      <c r="C1619">
        <v>24.681819000000001</v>
      </c>
      <c r="D1619">
        <v>42.544258117675781</v>
      </c>
      <c r="E1619">
        <v>18.103296279907227</v>
      </c>
      <c r="F1619">
        <v>0.42551699280738831</v>
      </c>
      <c r="G1619">
        <v>61.267501831054688</v>
      </c>
      <c r="H1619">
        <v>2.9999999329447746E-2</v>
      </c>
      <c r="I1619">
        <v>3297.0400390625</v>
      </c>
      <c r="J1619">
        <v>1359</v>
      </c>
    </row>
    <row r="1620" spans="1:10" x14ac:dyDescent="0.25">
      <c r="A1620">
        <v>1034</v>
      </c>
      <c r="B1620" t="str">
        <v>Morganite Crucib</v>
      </c>
      <c r="C1620">
        <v>11.885294999999999</v>
      </c>
      <c r="D1620">
        <v>1124.1934814453125</v>
      </c>
      <c r="E1620">
        <v>312.95889282226563</v>
      </c>
      <c r="F1620">
        <v>0.27838501334190369</v>
      </c>
      <c r="G1620">
        <v>1454.8375244140625</v>
      </c>
      <c r="H1620">
        <v>9.9999997764825821E-3</v>
      </c>
      <c r="I1620">
        <v>815.44000244140625</v>
      </c>
      <c r="J1620">
        <v>1359</v>
      </c>
    </row>
    <row r="1621" spans="1:10" x14ac:dyDescent="0.25">
      <c r="A1621">
        <v>21336</v>
      </c>
      <c r="B1621" t="str">
        <v>Moschip Tech.</v>
      </c>
      <c r="C1621">
        <v>55.975538999999998</v>
      </c>
      <c r="D1621">
        <v>84.469039916992188</v>
      </c>
      <c r="E1621">
        <v>71.662582397460938</v>
      </c>
      <c r="F1621">
        <v>0.84838902950286865</v>
      </c>
      <c r="G1621">
        <v>174.23750305175781</v>
      </c>
      <c r="H1621">
        <v>0.31999999284744263</v>
      </c>
      <c r="I1621">
        <v>3306.199951171875</v>
      </c>
      <c r="J1621">
        <v>1359</v>
      </c>
    </row>
    <row r="1622" spans="1:10" x14ac:dyDescent="0.25">
      <c r="A1622">
        <v>1938</v>
      </c>
      <c r="B1622" t="str">
        <v>Motor &amp; Gen Fin</v>
      </c>
      <c r="C1622">
        <v>6.1842699999999997</v>
      </c>
      <c r="D1622">
        <v>27.680896759033203</v>
      </c>
      <c r="E1622">
        <v>7.2335720062255859</v>
      </c>
      <c r="F1622">
        <v>0.26131999492645264</v>
      </c>
      <c r="G1622">
        <v>26.217500686645508</v>
      </c>
      <c r="H1622">
        <v>2.9999999329447746E-2</v>
      </c>
      <c r="I1622">
        <v>101.08000183105469</v>
      </c>
      <c r="J1622">
        <v>1298</v>
      </c>
    </row>
    <row r="1623" spans="1:10" x14ac:dyDescent="0.25">
      <c r="A1623">
        <v>3361</v>
      </c>
      <c r="B1623" t="str">
        <v>Mphasis</v>
      </c>
      <c r="C1623">
        <v>19.855488000000001</v>
      </c>
      <c r="D1623">
        <v>2185.556396484375</v>
      </c>
      <c r="E1623">
        <v>703.9417724609375</v>
      </c>
      <c r="F1623">
        <v>0.32208800315856934</v>
      </c>
      <c r="G1623">
        <v>2663.275146484375</v>
      </c>
      <c r="H1623">
        <v>2.9999999329447746E-2</v>
      </c>
      <c r="I1623">
        <v>50362.83984375</v>
      </c>
      <c r="J1623">
        <v>1359</v>
      </c>
    </row>
    <row r="1624" spans="1:10" x14ac:dyDescent="0.25">
      <c r="A1624">
        <v>2890</v>
      </c>
      <c r="B1624" t="str">
        <v>Mukat Pipes</v>
      </c>
      <c r="C1624">
        <v>40.901913999999998</v>
      </c>
      <c r="D1624">
        <v>9.412877082824707</v>
      </c>
      <c r="E1624">
        <v>6.1433777809143066</v>
      </c>
      <c r="F1624">
        <v>0.65265697240829468</v>
      </c>
      <c r="G1624">
        <v>16.420000076293945</v>
      </c>
      <c r="H1624">
        <v>0</v>
      </c>
      <c r="I1624">
        <v>20.100000381469727</v>
      </c>
      <c r="J1624">
        <v>1184</v>
      </c>
    </row>
    <row r="1625" spans="1:10" x14ac:dyDescent="0.25">
      <c r="A1625">
        <v>4967</v>
      </c>
      <c r="B1625" t="str">
        <v>Mukesh Babu Fin.</v>
      </c>
      <c r="C1625">
        <v>3.7876089999999998</v>
      </c>
      <c r="D1625">
        <v>122.12622833251953</v>
      </c>
      <c r="E1625">
        <v>22.328067779541016</v>
      </c>
      <c r="F1625">
        <v>0.18282799422740936</v>
      </c>
      <c r="G1625">
        <v>130.375</v>
      </c>
      <c r="H1625">
        <v>0.11999999731779099</v>
      </c>
      <c r="I1625">
        <v>90.730003356933594</v>
      </c>
      <c r="J1625">
        <v>1287</v>
      </c>
    </row>
    <row r="1626" spans="1:10" x14ac:dyDescent="0.25">
      <c r="A1626">
        <v>42927</v>
      </c>
      <c r="B1626" t="str">
        <v>Mukta Agricultur</v>
      </c>
      <c r="C1626">
        <v>-14.790751</v>
      </c>
      <c r="D1626">
        <v>4.2356829643249512</v>
      </c>
      <c r="E1626">
        <v>1.7798420190811157</v>
      </c>
      <c r="F1626">
        <v>0.42020198702812195</v>
      </c>
      <c r="G1626">
        <v>3.2074999809265137</v>
      </c>
      <c r="H1626">
        <v>5.000000074505806E-2</v>
      </c>
      <c r="I1626">
        <v>7.070000171661377</v>
      </c>
      <c r="J1626">
        <v>1318</v>
      </c>
    </row>
    <row r="1627" spans="1:10" x14ac:dyDescent="0.25">
      <c r="A1627">
        <v>21112</v>
      </c>
      <c r="B1627" t="str">
        <v>Mukta Arts</v>
      </c>
      <c r="C1627">
        <v>15.449306</v>
      </c>
      <c r="D1627">
        <v>53.329563140869141</v>
      </c>
      <c r="E1627">
        <v>20.195707321166992</v>
      </c>
      <c r="F1627">
        <v>0.37869599461555481</v>
      </c>
      <c r="G1627">
        <v>83.852500915527344</v>
      </c>
      <c r="H1627">
        <v>0.34000000357627869</v>
      </c>
      <c r="I1627">
        <v>190.82000732421875</v>
      </c>
      <c r="J1627">
        <v>1326</v>
      </c>
    </row>
    <row r="1628" spans="1:10" x14ac:dyDescent="0.25">
      <c r="A1628">
        <v>25746</v>
      </c>
      <c r="B1628" t="str">
        <v>Multi Comm. Exc.</v>
      </c>
      <c r="C1628">
        <v>36.208334999999998</v>
      </c>
      <c r="D1628">
        <v>2485.260009765625</v>
      </c>
      <c r="E1628">
        <v>1682.5941162109375</v>
      </c>
      <c r="F1628">
        <v>0.67702901363372803</v>
      </c>
      <c r="G1628">
        <v>7844.724609375</v>
      </c>
      <c r="H1628">
        <v>0</v>
      </c>
      <c r="I1628">
        <v>39590.03125</v>
      </c>
      <c r="J1628">
        <v>1359</v>
      </c>
    </row>
    <row r="1629" spans="1:10" x14ac:dyDescent="0.25">
      <c r="A1629">
        <v>3218</v>
      </c>
      <c r="B1629" t="str">
        <v>Multibase India</v>
      </c>
      <c r="C1629">
        <v>13.872472999999999</v>
      </c>
      <c r="D1629">
        <v>219.21559143066406</v>
      </c>
      <c r="E1629">
        <v>59.601943969726563</v>
      </c>
      <c r="F1629">
        <v>0.27188700437545776</v>
      </c>
      <c r="G1629">
        <v>276.625</v>
      </c>
      <c r="H1629">
        <v>0</v>
      </c>
      <c r="I1629">
        <v>350.45999145507813</v>
      </c>
      <c r="J1629">
        <v>1359</v>
      </c>
    </row>
    <row r="1630" spans="1:10" x14ac:dyDescent="0.25">
      <c r="A1630">
        <v>1075</v>
      </c>
      <c r="B1630" t="str">
        <v>Munjal Auto Inds</v>
      </c>
      <c r="C1630">
        <v>9.0668310000000005</v>
      </c>
      <c r="D1630">
        <v>63.384307861328125</v>
      </c>
      <c r="E1630">
        <v>22.297203063964844</v>
      </c>
      <c r="F1630">
        <v>0.35177800059318542</v>
      </c>
      <c r="G1630">
        <v>75.30999755859375</v>
      </c>
      <c r="H1630">
        <v>7.9999998211860657E-2</v>
      </c>
      <c r="I1630">
        <v>737.4000244140625</v>
      </c>
      <c r="J1630">
        <v>1359</v>
      </c>
    </row>
    <row r="1631" spans="1:10" x14ac:dyDescent="0.25">
      <c r="A1631">
        <v>941</v>
      </c>
      <c r="B1631" t="str">
        <v>Munjal Showa</v>
      </c>
      <c r="C1631">
        <v>0.97708799999999996</v>
      </c>
      <c r="D1631">
        <v>129.25418090820313</v>
      </c>
      <c r="E1631">
        <v>26.822982788085938</v>
      </c>
      <c r="F1631">
        <v>0.20752100646495819</v>
      </c>
      <c r="G1631">
        <v>132.94999694824219</v>
      </c>
      <c r="H1631">
        <v>0</v>
      </c>
      <c r="I1631">
        <v>527.92999267578125</v>
      </c>
      <c r="J1631">
        <v>1358</v>
      </c>
    </row>
    <row r="1632" spans="1:10" x14ac:dyDescent="0.25">
      <c r="A1632">
        <v>5948</v>
      </c>
      <c r="B1632" t="str">
        <v>Munoth Commun.</v>
      </c>
      <c r="C1632">
        <v>30.581025</v>
      </c>
      <c r="D1632">
        <v>11.145565986633301</v>
      </c>
      <c r="E1632">
        <v>4.7407197952270508</v>
      </c>
      <c r="F1632">
        <v>0.42534598708152771</v>
      </c>
      <c r="G1632">
        <v>14.130000114440918</v>
      </c>
      <c r="H1632">
        <v>0.12999999523162842</v>
      </c>
      <c r="I1632">
        <v>13.640000343322754</v>
      </c>
      <c r="J1632">
        <v>552</v>
      </c>
    </row>
    <row r="1633" spans="1:10" x14ac:dyDescent="0.25">
      <c r="A1633">
        <v>74082</v>
      </c>
      <c r="B1633" t="str">
        <v>Murae Organisor</v>
      </c>
      <c r="C1633">
        <v>-8.4915070000000004</v>
      </c>
      <c r="D1633">
        <v>1.9330949783325195</v>
      </c>
      <c r="E1633">
        <v>1.9568710327148438</v>
      </c>
      <c r="F1633">
        <v>1.0122989416122437</v>
      </c>
      <c r="G1633">
        <v>1.1200000047683716</v>
      </c>
      <c r="H1633">
        <v>0.11999999731779099</v>
      </c>
      <c r="I1633">
        <v>208.19999694824219</v>
      </c>
      <c r="J1633">
        <v>1092</v>
      </c>
    </row>
    <row r="1634" spans="1:10" x14ac:dyDescent="0.25">
      <c r="A1634">
        <v>1066</v>
      </c>
      <c r="B1634" t="str">
        <v>Murudesh.Ceramic</v>
      </c>
      <c r="C1634">
        <v>17.991713000000001</v>
      </c>
      <c r="D1634">
        <v>34.056026458740234</v>
      </c>
      <c r="E1634">
        <v>14.110491752624512</v>
      </c>
      <c r="F1634">
        <v>0.41433200240135193</v>
      </c>
      <c r="G1634">
        <v>42.267501831054688</v>
      </c>
      <c r="H1634">
        <v>0.31999999284744263</v>
      </c>
      <c r="I1634">
        <v>252.47000122070313</v>
      </c>
      <c r="J1634">
        <v>1359</v>
      </c>
    </row>
    <row r="1635" spans="1:10" x14ac:dyDescent="0.25">
      <c r="A1635">
        <v>42741</v>
      </c>
      <c r="B1635" t="str">
        <v>Music Broadcast</v>
      </c>
      <c r="C1635">
        <v>-16.922172</v>
      </c>
      <c r="D1635">
        <v>18.759311676025391</v>
      </c>
      <c r="E1635">
        <v>5.314640998840332</v>
      </c>
      <c r="F1635">
        <v>0.28330698609352112</v>
      </c>
      <c r="G1635">
        <v>8.9849996566772461</v>
      </c>
      <c r="H1635">
        <v>1.9999999552965164E-2</v>
      </c>
      <c r="I1635">
        <v>304.20001220703125</v>
      </c>
      <c r="J1635">
        <v>1350</v>
      </c>
    </row>
    <row r="1636" spans="1:10" x14ac:dyDescent="0.25">
      <c r="A1636">
        <v>6704</v>
      </c>
      <c r="B1636" t="str">
        <v>Muzali Arts</v>
      </c>
      <c r="C1636">
        <v>-40.865651</v>
      </c>
      <c r="D1636">
        <v>3.676206111907959</v>
      </c>
      <c r="E1636">
        <v>1.9118080139160156</v>
      </c>
      <c r="F1636">
        <v>0.52004897594451904</v>
      </c>
      <c r="G1636">
        <v>0.98000001907348633</v>
      </c>
      <c r="H1636">
        <v>0</v>
      </c>
      <c r="I1636">
        <v>5.8000001907348633</v>
      </c>
      <c r="J1636">
        <v>777</v>
      </c>
    </row>
    <row r="1637" spans="1:10" x14ac:dyDescent="0.25">
      <c r="A1637">
        <v>398</v>
      </c>
      <c r="B1637" t="str">
        <v>Mysore Petro</v>
      </c>
      <c r="C1637">
        <v>17.525490000000001</v>
      </c>
      <c r="D1637">
        <v>116.47990417480469</v>
      </c>
      <c r="E1637">
        <v>47.508052825927734</v>
      </c>
      <c r="F1637">
        <v>0.40786498785018921</v>
      </c>
      <c r="G1637">
        <v>124.0625</v>
      </c>
      <c r="H1637">
        <v>0</v>
      </c>
      <c r="I1637">
        <v>81.44000244140625</v>
      </c>
      <c r="J1637">
        <v>1353</v>
      </c>
    </row>
    <row r="1638" spans="1:10" x14ac:dyDescent="0.25">
      <c r="A1638">
        <v>42928</v>
      </c>
      <c r="B1638" t="str">
        <v>Mystic Electron.</v>
      </c>
      <c r="C1638">
        <v>7.0483599999999997</v>
      </c>
      <c r="D1638">
        <v>4.5561962127685547</v>
      </c>
      <c r="E1638">
        <v>1.7668110132217407</v>
      </c>
      <c r="F1638">
        <v>0.38778200745582581</v>
      </c>
      <c r="G1638">
        <v>4.5300002098083496</v>
      </c>
      <c r="H1638">
        <v>3.9999999105930328E-2</v>
      </c>
      <c r="I1638">
        <v>8.9499998092651367</v>
      </c>
      <c r="J1638">
        <v>1248</v>
      </c>
    </row>
    <row r="1639" spans="1:10" x14ac:dyDescent="0.25">
      <c r="A1639">
        <v>5292</v>
      </c>
      <c r="B1639" t="str">
        <v>N G Industries</v>
      </c>
      <c r="C1639">
        <v>19.448239999999998</v>
      </c>
      <c r="D1639">
        <v>97.654548645019531</v>
      </c>
      <c r="E1639">
        <v>51.872749328613281</v>
      </c>
      <c r="F1639">
        <v>0.53118598461151123</v>
      </c>
      <c r="G1639">
        <v>157.71249389648438</v>
      </c>
      <c r="H1639">
        <v>2.9999999329447746E-2</v>
      </c>
      <c r="I1639">
        <v>52.180000305175781</v>
      </c>
      <c r="J1639">
        <v>1329</v>
      </c>
    </row>
    <row r="1640" spans="1:10" x14ac:dyDescent="0.25">
      <c r="A1640">
        <v>4144</v>
      </c>
      <c r="B1640" t="str">
        <v>N K Industries</v>
      </c>
      <c r="C1640">
        <v>19.937915</v>
      </c>
      <c r="D1640">
        <v>43.533924102783203</v>
      </c>
      <c r="E1640">
        <v>16.14073371887207</v>
      </c>
      <c r="F1640">
        <v>0.37076199054718018</v>
      </c>
      <c r="G1640">
        <v>70.74749755859375</v>
      </c>
      <c r="H1640">
        <v>0</v>
      </c>
      <c r="I1640">
        <v>41.470001220703125</v>
      </c>
      <c r="J1640">
        <v>844</v>
      </c>
    </row>
    <row r="1641" spans="1:10" x14ac:dyDescent="0.25">
      <c r="A1641">
        <v>4035</v>
      </c>
      <c r="B1641" t="str">
        <v>N R Agarwal Inds</v>
      </c>
      <c r="C1641">
        <v>8.8020239999999994</v>
      </c>
      <c r="D1641">
        <v>295.94931030273438</v>
      </c>
      <c r="E1641">
        <v>86.391403198242188</v>
      </c>
      <c r="F1641">
        <v>0.29191300272941589</v>
      </c>
      <c r="G1641">
        <v>335.52499389648438</v>
      </c>
      <c r="H1641">
        <v>0.52999997138977051</v>
      </c>
      <c r="I1641">
        <v>580.3499755859375</v>
      </c>
      <c r="J1641">
        <v>1356</v>
      </c>
    </row>
    <row r="1642" spans="1:10" x14ac:dyDescent="0.25">
      <c r="A1642">
        <v>1202</v>
      </c>
      <c r="B1642" t="str">
        <v>NB Footwear</v>
      </c>
      <c r="C1642">
        <v>36.908650999999999</v>
      </c>
      <c r="D1642">
        <v>8.144169807434082</v>
      </c>
      <c r="E1642">
        <v>5.3934211730957031</v>
      </c>
      <c r="F1642">
        <v>0.66224300861358643</v>
      </c>
      <c r="G1642">
        <v>11.489999771118164</v>
      </c>
      <c r="H1642">
        <v>0</v>
      </c>
      <c r="I1642">
        <v>15.510000228881836</v>
      </c>
      <c r="J1642">
        <v>707</v>
      </c>
    </row>
    <row r="1643" spans="1:10" x14ac:dyDescent="0.25">
      <c r="A1643">
        <v>13166</v>
      </c>
      <c r="B1643" t="str">
        <v>NBCC</v>
      </c>
      <c r="C1643">
        <v>30.535612</v>
      </c>
      <c r="D1643">
        <v>45.163265228271484</v>
      </c>
      <c r="E1643">
        <v>33.6649169921875</v>
      </c>
      <c r="F1643">
        <v>0.74540501832962036</v>
      </c>
      <c r="G1643">
        <v>116.23750305175781</v>
      </c>
      <c r="H1643">
        <v>0</v>
      </c>
      <c r="I1643">
        <v>30793.5</v>
      </c>
      <c r="J1643">
        <v>1359</v>
      </c>
    </row>
    <row r="1644" spans="1:10" x14ac:dyDescent="0.25">
      <c r="A1644">
        <v>2598</v>
      </c>
      <c r="B1644" t="str">
        <v>NCC</v>
      </c>
      <c r="C1644">
        <v>26.098313000000001</v>
      </c>
      <c r="D1644">
        <v>127.47514343261719</v>
      </c>
      <c r="E1644">
        <v>90.610099792480469</v>
      </c>
      <c r="F1644">
        <v>0.71080601215362549</v>
      </c>
      <c r="G1644">
        <v>221.32499694824219</v>
      </c>
      <c r="H1644">
        <v>0.15000000596046448</v>
      </c>
      <c r="I1644">
        <v>13756.1201171875</v>
      </c>
      <c r="J1644">
        <v>1359</v>
      </c>
    </row>
    <row r="1645" spans="1:10" x14ac:dyDescent="0.25">
      <c r="A1645">
        <v>4203</v>
      </c>
      <c r="B1645" t="str">
        <v>NCC Blue Water</v>
      </c>
      <c r="C1645">
        <v>21.918381</v>
      </c>
      <c r="D1645">
        <v>10.333959579467773</v>
      </c>
      <c r="E1645">
        <v>5.8131570816040039</v>
      </c>
      <c r="F1645">
        <v>0.56252998113632202</v>
      </c>
      <c r="G1645">
        <v>20.145000457763672</v>
      </c>
      <c r="H1645">
        <v>0</v>
      </c>
      <c r="I1645">
        <v>16.180000305175781</v>
      </c>
      <c r="J1645">
        <v>509</v>
      </c>
    </row>
    <row r="1646" spans="1:10" x14ac:dyDescent="0.25">
      <c r="A1646">
        <v>401</v>
      </c>
      <c r="B1646" t="str">
        <v>NCL Industries</v>
      </c>
      <c r="C1646">
        <v>16.317458999999999</v>
      </c>
      <c r="D1646">
        <v>182.62814331054688</v>
      </c>
      <c r="E1646">
        <v>49.630882263183594</v>
      </c>
      <c r="F1646">
        <v>0.27175900340080261</v>
      </c>
      <c r="G1646">
        <v>208.5</v>
      </c>
      <c r="H1646">
        <v>0.31000000238418579</v>
      </c>
      <c r="I1646">
        <v>940.15997314453125</v>
      </c>
      <c r="J1646">
        <v>1359</v>
      </c>
    </row>
    <row r="1647" spans="1:10" x14ac:dyDescent="0.25">
      <c r="A1647">
        <v>5621</v>
      </c>
      <c r="B1647" t="str">
        <v>NCL Res. &amp; Finl.</v>
      </c>
      <c r="C1647">
        <v>56.692079999999997</v>
      </c>
      <c r="D1647">
        <v>0.58894199132919312</v>
      </c>
      <c r="E1647">
        <v>0.43895500898361206</v>
      </c>
      <c r="F1647">
        <v>0.74532800912857056</v>
      </c>
      <c r="G1647">
        <v>0.72750002145767212</v>
      </c>
      <c r="H1647">
        <v>0</v>
      </c>
      <c r="I1647">
        <v>73.849998474121094</v>
      </c>
      <c r="J1647">
        <v>1302</v>
      </c>
    </row>
    <row r="1648" spans="1:10" x14ac:dyDescent="0.25">
      <c r="A1648">
        <v>4082</v>
      </c>
      <c r="B1648" t="str">
        <v>NDA Securities</v>
      </c>
      <c r="C1648">
        <v>27.123260999999999</v>
      </c>
      <c r="D1648">
        <v>26.383682250976563</v>
      </c>
      <c r="E1648">
        <v>16.973573684692383</v>
      </c>
      <c r="F1648">
        <v>0.64333599805831909</v>
      </c>
      <c r="G1648">
        <v>51.365001678466797</v>
      </c>
      <c r="H1648">
        <v>7.0000000298023224E-2</v>
      </c>
      <c r="I1648">
        <v>30.229999542236328</v>
      </c>
      <c r="J1648">
        <v>987</v>
      </c>
    </row>
    <row r="1649" spans="1:10" x14ac:dyDescent="0.25">
      <c r="A1649">
        <v>4093</v>
      </c>
      <c r="B1649" t="str">
        <v>NDL Ventures</v>
      </c>
      <c r="C1649">
        <v>4.4429980000000002</v>
      </c>
      <c r="D1649">
        <v>85.007278442382813</v>
      </c>
      <c r="E1649">
        <v>30.135168075561523</v>
      </c>
      <c r="F1649">
        <v>0.35450100898742676</v>
      </c>
      <c r="G1649">
        <v>64.56500244140625</v>
      </c>
      <c r="H1649">
        <v>0</v>
      </c>
      <c r="I1649">
        <v>216.16999816894531</v>
      </c>
      <c r="J1649">
        <v>1351</v>
      </c>
    </row>
    <row r="1650" spans="1:10" x14ac:dyDescent="0.25">
      <c r="A1650">
        <v>410</v>
      </c>
      <c r="B1650" t="str">
        <v>NELCO</v>
      </c>
      <c r="C1650">
        <v>28.277719000000001</v>
      </c>
      <c r="D1650">
        <v>621.2349853515625</v>
      </c>
      <c r="E1650">
        <v>300.7955322265625</v>
      </c>
      <c r="F1650">
        <v>0.48418998718261719</v>
      </c>
      <c r="G1650">
        <v>1080</v>
      </c>
      <c r="H1650">
        <v>9.0000003576278687E-2</v>
      </c>
      <c r="I1650">
        <v>2427.590087890625</v>
      </c>
      <c r="J1650">
        <v>1359</v>
      </c>
    </row>
    <row r="1651" spans="1:10" x14ac:dyDescent="0.25">
      <c r="A1651">
        <v>690</v>
      </c>
      <c r="B1651" t="str">
        <v>NESCO</v>
      </c>
      <c r="C1651">
        <v>7.6799059999999999</v>
      </c>
      <c r="D1651">
        <v>677.0242919921875</v>
      </c>
      <c r="E1651">
        <v>169.44892883300781</v>
      </c>
      <c r="F1651">
        <v>0.25028499960899353</v>
      </c>
      <c r="G1651">
        <v>1012.4000244140625</v>
      </c>
      <c r="H1651">
        <v>0</v>
      </c>
      <c r="I1651">
        <v>7086.509765625</v>
      </c>
      <c r="J1651">
        <v>1359</v>
      </c>
    </row>
    <row r="1652" spans="1:10" x14ac:dyDescent="0.25">
      <c r="A1652">
        <v>4558</v>
      </c>
      <c r="B1652" t="str">
        <v>NGL Fine Chem</v>
      </c>
      <c r="C1652">
        <v>15.8698</v>
      </c>
      <c r="D1652">
        <v>1679.6412353515625</v>
      </c>
      <c r="E1652">
        <v>706.00006103515625</v>
      </c>
      <c r="F1652">
        <v>0.42032799124717712</v>
      </c>
      <c r="G1652">
        <v>999.5250244140625</v>
      </c>
      <c r="H1652">
        <v>0.14000000059604645</v>
      </c>
      <c r="I1652">
        <v>618.6199951171875</v>
      </c>
      <c r="J1652">
        <v>1359</v>
      </c>
    </row>
    <row r="1653" spans="1:10" x14ac:dyDescent="0.25">
      <c r="A1653">
        <v>12584</v>
      </c>
      <c r="B1653" t="str">
        <v>NHPC Ltd</v>
      </c>
      <c r="C1653">
        <v>23.035392000000002</v>
      </c>
      <c r="D1653">
        <v>47.581302642822266</v>
      </c>
      <c r="E1653">
        <v>26.913227081298828</v>
      </c>
      <c r="F1653">
        <v>0.56562602519989014</v>
      </c>
      <c r="G1653">
        <v>81.81500244140625</v>
      </c>
      <c r="H1653">
        <v>0.79000002145767212</v>
      </c>
      <c r="I1653">
        <v>81254.2890625</v>
      </c>
      <c r="J1653">
        <v>1359</v>
      </c>
    </row>
    <row r="1654" spans="1:10" x14ac:dyDescent="0.25">
      <c r="A1654">
        <v>43224</v>
      </c>
      <c r="B1654" t="str">
        <v>NIBE</v>
      </c>
      <c r="C1654">
        <v>111.94578</v>
      </c>
      <c r="D1654">
        <v>598.37347412109375</v>
      </c>
      <c r="E1654">
        <v>667.3494873046875</v>
      </c>
      <c r="F1654">
        <v>1.115272045135498</v>
      </c>
      <c r="G1654">
        <v>1727.3123779296875</v>
      </c>
      <c r="H1654">
        <v>0.40999999642372131</v>
      </c>
      <c r="I1654">
        <v>2422.409912109375</v>
      </c>
      <c r="J1654">
        <v>1216</v>
      </c>
    </row>
    <row r="1655" spans="1:10" x14ac:dyDescent="0.25">
      <c r="A1655">
        <v>2771</v>
      </c>
      <c r="B1655" t="str">
        <v>NIIT</v>
      </c>
      <c r="C1655">
        <v>34.228105999999997</v>
      </c>
      <c r="D1655">
        <v>86.839447021484375</v>
      </c>
      <c r="E1655">
        <v>44.991188049316406</v>
      </c>
      <c r="F1655">
        <v>0.51809602975845337</v>
      </c>
      <c r="G1655">
        <v>128.9375</v>
      </c>
      <c r="H1655">
        <v>9.9999997764825821E-3</v>
      </c>
      <c r="I1655">
        <v>1734.47998046875</v>
      </c>
      <c r="J1655">
        <v>1359</v>
      </c>
    </row>
    <row r="1656" spans="1:10" x14ac:dyDescent="0.25">
      <c r="A1656">
        <v>4861</v>
      </c>
      <c r="B1656" t="str">
        <v>NILE</v>
      </c>
      <c r="C1656">
        <v>35.948442999999997</v>
      </c>
      <c r="D1656">
        <v>805.69683837890625</v>
      </c>
      <c r="E1656">
        <v>585.32440185546875</v>
      </c>
      <c r="F1656">
        <v>0.72648197412490845</v>
      </c>
      <c r="G1656">
        <v>1516.474853515625</v>
      </c>
      <c r="H1656">
        <v>3.9999999105930328E-2</v>
      </c>
      <c r="I1656">
        <v>448.8900146484375</v>
      </c>
      <c r="J1656">
        <v>1359</v>
      </c>
    </row>
    <row r="1657" spans="1:10" x14ac:dyDescent="0.25">
      <c r="A1657">
        <v>67908</v>
      </c>
      <c r="B1657" t="str">
        <v>NINtec Systems</v>
      </c>
      <c r="C1657">
        <v>110.580859</v>
      </c>
      <c r="D1657">
        <v>340.70089721679688</v>
      </c>
      <c r="E1657">
        <v>200.18923950195313</v>
      </c>
      <c r="F1657">
        <v>0.58758097887039185</v>
      </c>
      <c r="G1657">
        <v>452.22500610351563</v>
      </c>
      <c r="H1657">
        <v>3.9999999105930328E-2</v>
      </c>
      <c r="I1657">
        <v>825.70001220703125</v>
      </c>
      <c r="J1657">
        <v>750</v>
      </c>
    </row>
    <row r="1658" spans="1:10" x14ac:dyDescent="0.25">
      <c r="A1658">
        <v>2303</v>
      </c>
      <c r="B1658" t="str">
        <v>NLC India</v>
      </c>
      <c r="C1658">
        <v>25.709484</v>
      </c>
      <c r="D1658">
        <v>119.15859222412109</v>
      </c>
      <c r="E1658">
        <v>80.770256042480469</v>
      </c>
      <c r="F1658">
        <v>0.6778380274772644</v>
      </c>
      <c r="G1658">
        <v>224.32499694824219</v>
      </c>
      <c r="H1658">
        <v>0.56999999284744263</v>
      </c>
      <c r="I1658">
        <v>30790.26953125</v>
      </c>
      <c r="J1658">
        <v>1359</v>
      </c>
    </row>
    <row r="1659" spans="1:10" x14ac:dyDescent="0.25">
      <c r="A1659">
        <v>12059</v>
      </c>
      <c r="B1659" t="str">
        <v>NMDC</v>
      </c>
      <c r="C1659">
        <v>14.99689</v>
      </c>
      <c r="D1659">
        <v>44.217369079589844</v>
      </c>
      <c r="E1659">
        <v>20.381320953369141</v>
      </c>
      <c r="F1659">
        <v>0.46093499660491943</v>
      </c>
      <c r="G1659">
        <v>67.699996948242188</v>
      </c>
      <c r="H1659">
        <v>0.10999999940395355</v>
      </c>
      <c r="I1659">
        <v>58931.55078125</v>
      </c>
      <c r="J1659">
        <v>1359</v>
      </c>
    </row>
    <row r="1660" spans="1:10" x14ac:dyDescent="0.25">
      <c r="A1660">
        <v>415</v>
      </c>
      <c r="B1660" t="str">
        <v>NOCIL</v>
      </c>
      <c r="C1660">
        <v>10.675043000000001</v>
      </c>
      <c r="D1660">
        <v>214.198486328125</v>
      </c>
      <c r="E1660">
        <v>60.753337860107422</v>
      </c>
      <c r="F1660">
        <v>0.28363099694252014</v>
      </c>
      <c r="G1660">
        <v>185.32499694824219</v>
      </c>
      <c r="H1660">
        <v>9.9999997764825821E-3</v>
      </c>
      <c r="I1660">
        <v>3069.080078125</v>
      </c>
      <c r="J1660">
        <v>1359</v>
      </c>
    </row>
    <row r="1661" spans="1:10" x14ac:dyDescent="0.25">
      <c r="A1661">
        <v>4862</v>
      </c>
      <c r="B1661" t="str">
        <v>NPR Finance</v>
      </c>
      <c r="C1661">
        <v>11.596329000000001</v>
      </c>
      <c r="D1661">
        <v>17.163982391357422</v>
      </c>
      <c r="E1661">
        <v>5.4435949325561523</v>
      </c>
      <c r="F1661">
        <v>0.3171519935131073</v>
      </c>
      <c r="G1661">
        <v>26.087499618530273</v>
      </c>
      <c r="H1661">
        <v>7.0000000298023224E-2</v>
      </c>
      <c r="I1661">
        <v>15.149999618530273</v>
      </c>
      <c r="J1661">
        <v>1112</v>
      </c>
    </row>
    <row r="1662" spans="1:10" x14ac:dyDescent="0.25">
      <c r="A1662">
        <v>4992</v>
      </c>
      <c r="B1662" t="str">
        <v>NRB Bearings</v>
      </c>
      <c r="C1662">
        <v>19.828792</v>
      </c>
      <c r="D1662">
        <v>180.02859497070313</v>
      </c>
      <c r="E1662">
        <v>85.918624877929688</v>
      </c>
      <c r="F1662">
        <v>0.47725000977516174</v>
      </c>
      <c r="G1662">
        <v>279.47500610351563</v>
      </c>
      <c r="H1662">
        <v>0.28999999165534973</v>
      </c>
      <c r="I1662">
        <v>2678.93994140625</v>
      </c>
      <c r="J1662">
        <v>1359</v>
      </c>
    </row>
    <row r="1663" spans="1:10" x14ac:dyDescent="0.25">
      <c r="A1663">
        <v>4523</v>
      </c>
      <c r="B1663" t="str">
        <v>NTC Industries</v>
      </c>
      <c r="C1663">
        <v>34.133085999999999</v>
      </c>
      <c r="D1663">
        <v>99.253257751464844</v>
      </c>
      <c r="E1663">
        <v>59.649673461914063</v>
      </c>
      <c r="F1663">
        <v>0.60098397731781006</v>
      </c>
      <c r="G1663">
        <v>193.5625</v>
      </c>
      <c r="H1663">
        <v>7.0000000298023224E-2</v>
      </c>
      <c r="I1663">
        <v>278.32998657226563</v>
      </c>
      <c r="J1663">
        <v>1356</v>
      </c>
    </row>
    <row r="1664" spans="1:10" x14ac:dyDescent="0.25">
      <c r="A1664">
        <v>14110</v>
      </c>
      <c r="B1664" t="str">
        <v>Nag. Agri Tech.</v>
      </c>
      <c r="C1664">
        <v>58.133823999999997</v>
      </c>
      <c r="D1664">
        <v>16.261650085449219</v>
      </c>
      <c r="E1664">
        <v>18.266790390014648</v>
      </c>
      <c r="F1664">
        <v>1.1233049631118774</v>
      </c>
      <c r="G1664">
        <v>78.605003356933594</v>
      </c>
      <c r="H1664">
        <v>0</v>
      </c>
      <c r="I1664">
        <v>74.739997863769531</v>
      </c>
      <c r="J1664">
        <v>948</v>
      </c>
    </row>
    <row r="1665" spans="1:10" x14ac:dyDescent="0.25">
      <c r="A1665">
        <v>40552</v>
      </c>
      <c r="B1665" t="str">
        <v>Nagarjuna Fert.</v>
      </c>
      <c r="C1665">
        <v>10.141826</v>
      </c>
      <c r="D1665">
        <v>8.9281520843505859</v>
      </c>
      <c r="E1665">
        <v>3.233860969543457</v>
      </c>
      <c r="F1665">
        <v>0.36220899224281311</v>
      </c>
      <c r="G1665">
        <v>5.5999999046325684</v>
      </c>
      <c r="H1665">
        <v>0</v>
      </c>
      <c r="I1665">
        <v>334.92001342773438</v>
      </c>
      <c r="J1665">
        <v>1343</v>
      </c>
    </row>
    <row r="1666" spans="1:10" x14ac:dyDescent="0.25">
      <c r="A1666">
        <v>20896</v>
      </c>
      <c r="B1666" t="str">
        <v>Nagpur Power</v>
      </c>
      <c r="C1666">
        <v>27.408370999999999</v>
      </c>
      <c r="D1666">
        <v>77.68267822265625</v>
      </c>
      <c r="E1666">
        <v>39.006378173828125</v>
      </c>
      <c r="F1666">
        <v>0.50212502479553223</v>
      </c>
      <c r="G1666">
        <v>118.51249694824219</v>
      </c>
      <c r="H1666">
        <v>0</v>
      </c>
      <c r="I1666">
        <v>148.69000244140625</v>
      </c>
      <c r="J1666">
        <v>1271</v>
      </c>
    </row>
    <row r="1667" spans="1:10" x14ac:dyDescent="0.25">
      <c r="A1667">
        <v>27576</v>
      </c>
      <c r="B1667" t="str">
        <v>Nagreeka Cap.</v>
      </c>
      <c r="C1667">
        <v>23.748888000000001</v>
      </c>
      <c r="D1667">
        <v>16.931453704833984</v>
      </c>
      <c r="E1667">
        <v>8.8188142776489258</v>
      </c>
      <c r="F1667">
        <v>0.52085399627685547</v>
      </c>
      <c r="G1667">
        <v>25.782499313354492</v>
      </c>
      <c r="H1667">
        <v>0</v>
      </c>
      <c r="I1667">
        <v>32.020000457763672</v>
      </c>
      <c r="J1667">
        <v>1062</v>
      </c>
    </row>
    <row r="1668" spans="1:10" x14ac:dyDescent="0.25">
      <c r="A1668">
        <v>27797</v>
      </c>
      <c r="B1668" t="str">
        <v>Nahar Capital</v>
      </c>
      <c r="C1668">
        <v>27.593582000000001</v>
      </c>
      <c r="D1668">
        <v>266.91012573242188</v>
      </c>
      <c r="E1668">
        <v>125.16429901123047</v>
      </c>
      <c r="F1668">
        <v>0.46893799304962158</v>
      </c>
      <c r="G1668">
        <v>322.64999389648438</v>
      </c>
      <c r="H1668">
        <v>0</v>
      </c>
      <c r="I1668">
        <v>532.95001220703125</v>
      </c>
      <c r="J1668">
        <v>1306</v>
      </c>
    </row>
    <row r="1669" spans="1:10" x14ac:dyDescent="0.25">
      <c r="A1669">
        <v>1186</v>
      </c>
      <c r="B1669" t="str">
        <v>Nahar Indl. Ent.</v>
      </c>
      <c r="C1669">
        <v>30.825195999999998</v>
      </c>
      <c r="D1669">
        <v>102.25777435302734</v>
      </c>
      <c r="E1669">
        <v>45.885093688964844</v>
      </c>
      <c r="F1669">
        <v>0.44872000813484192</v>
      </c>
      <c r="G1669">
        <v>133.77499389648438</v>
      </c>
      <c r="H1669">
        <v>0.41999998688697815</v>
      </c>
      <c r="I1669">
        <v>572.03997802734375</v>
      </c>
      <c r="J1669">
        <v>1354</v>
      </c>
    </row>
    <row r="1670" spans="1:10" x14ac:dyDescent="0.25">
      <c r="A1670">
        <v>2074</v>
      </c>
      <c r="B1670" t="str">
        <v>Nahar Poly</v>
      </c>
      <c r="C1670">
        <v>46.234876999999997</v>
      </c>
      <c r="D1670">
        <v>221.11015319824219</v>
      </c>
      <c r="E1670">
        <v>112.77854156494141</v>
      </c>
      <c r="F1670">
        <v>0.5100560188293457</v>
      </c>
      <c r="G1670">
        <v>364.9375</v>
      </c>
      <c r="H1670">
        <v>0.30000001192092896</v>
      </c>
      <c r="I1670">
        <v>894.3900146484375</v>
      </c>
      <c r="J1670">
        <v>1353</v>
      </c>
    </row>
    <row r="1671" spans="1:10" x14ac:dyDescent="0.25">
      <c r="A1671">
        <v>942</v>
      </c>
      <c r="B1671" t="str">
        <v>Nahar Spinning</v>
      </c>
      <c r="C1671">
        <v>34.410530000000001</v>
      </c>
      <c r="D1671">
        <v>254.5670166015625</v>
      </c>
      <c r="E1671">
        <v>146.15773010253906</v>
      </c>
      <c r="F1671">
        <v>0.5741419792175293</v>
      </c>
      <c r="G1671">
        <v>271.07501220703125</v>
      </c>
      <c r="H1671">
        <v>0.62000000476837158</v>
      </c>
      <c r="I1671">
        <v>962.760009765625</v>
      </c>
      <c r="J1671">
        <v>1356</v>
      </c>
    </row>
    <row r="1672" spans="1:10" x14ac:dyDescent="0.25">
      <c r="A1672">
        <v>66072</v>
      </c>
      <c r="B1672" t="str">
        <v>Naksh Precious</v>
      </c>
      <c r="C1672">
        <v>-8.9274690000000003</v>
      </c>
      <c r="D1672">
        <v>18.697849273681641</v>
      </c>
      <c r="E1672">
        <v>10.85771656036377</v>
      </c>
      <c r="F1672">
        <v>0.58069300651550293</v>
      </c>
      <c r="G1672">
        <v>6.880000114440918</v>
      </c>
      <c r="H1672">
        <v>0.2800000011920929</v>
      </c>
      <c r="I1672">
        <v>7.0900001525878906</v>
      </c>
      <c r="J1672">
        <v>1029</v>
      </c>
    </row>
    <row r="1673" spans="1:10" x14ac:dyDescent="0.25">
      <c r="A1673">
        <v>6133</v>
      </c>
      <c r="B1673" t="str">
        <v>Nalin Lease Fin.</v>
      </c>
      <c r="C1673">
        <v>24.676549999999999</v>
      </c>
      <c r="D1673">
        <v>38.035030364990234</v>
      </c>
      <c r="E1673">
        <v>15.467964172363281</v>
      </c>
      <c r="F1673">
        <v>0.4066770076751709</v>
      </c>
      <c r="G1673">
        <v>58.340000152587891</v>
      </c>
      <c r="H1673">
        <v>0.10000000149011612</v>
      </c>
      <c r="I1673">
        <v>39.240001678466797</v>
      </c>
      <c r="J1673">
        <v>1193</v>
      </c>
    </row>
    <row r="1674" spans="1:10" x14ac:dyDescent="0.25">
      <c r="A1674">
        <v>670</v>
      </c>
      <c r="B1674" t="str">
        <v>Nalwa Sons Invst</v>
      </c>
      <c r="C1674">
        <v>43.004201999999999</v>
      </c>
      <c r="D1674">
        <v>2626.870361328125</v>
      </c>
      <c r="E1674">
        <v>1932.195068359375</v>
      </c>
      <c r="F1674">
        <v>0.73554998636245728</v>
      </c>
      <c r="G1674">
        <v>6643.025390625</v>
      </c>
      <c r="H1674">
        <v>0</v>
      </c>
      <c r="I1674">
        <v>3395.8701171875</v>
      </c>
      <c r="J1674">
        <v>1320</v>
      </c>
    </row>
    <row r="1675" spans="1:10" x14ac:dyDescent="0.25">
      <c r="A1675">
        <v>6342</v>
      </c>
      <c r="B1675" t="str">
        <v>Nam Securities</v>
      </c>
      <c r="C1675">
        <v>4.3939969999999997</v>
      </c>
      <c r="D1675">
        <v>71.376197814941406</v>
      </c>
      <c r="E1675">
        <v>42.170257568359375</v>
      </c>
      <c r="F1675">
        <v>0.59081697463989258</v>
      </c>
      <c r="G1675">
        <v>82.290000915527344</v>
      </c>
      <c r="H1675">
        <v>0</v>
      </c>
      <c r="I1675">
        <v>44.369998931884766</v>
      </c>
      <c r="J1675">
        <v>873</v>
      </c>
    </row>
    <row r="1676" spans="1:10" x14ac:dyDescent="0.25">
      <c r="A1676">
        <v>26604</v>
      </c>
      <c r="B1676" t="str">
        <v>Nandan Denim</v>
      </c>
      <c r="C1676">
        <v>25.07198</v>
      </c>
      <c r="D1676">
        <v>2.7700281143188477</v>
      </c>
      <c r="E1676">
        <v>1.588379979133606</v>
      </c>
      <c r="F1676">
        <v>0.57341700792312622</v>
      </c>
      <c r="G1676">
        <v>3.744999885559082</v>
      </c>
      <c r="H1676">
        <v>0.70999997854232788</v>
      </c>
      <c r="I1676">
        <v>531.9000244140625</v>
      </c>
      <c r="J1676">
        <v>1356</v>
      </c>
    </row>
    <row r="1677" spans="1:10" x14ac:dyDescent="0.25">
      <c r="A1677">
        <v>409</v>
      </c>
      <c r="B1677" t="str">
        <v>Naperol Invest.</v>
      </c>
      <c r="C1677">
        <v>-5.5051550000000002</v>
      </c>
      <c r="D1677">
        <v>1288.5496826171875</v>
      </c>
      <c r="E1677">
        <v>279.89358520507813</v>
      </c>
      <c r="F1677">
        <v>0.21721599996089935</v>
      </c>
      <c r="G1677">
        <v>1000.8624877929688</v>
      </c>
      <c r="H1677">
        <v>0</v>
      </c>
      <c r="I1677">
        <v>565.82000732421875</v>
      </c>
      <c r="J1677">
        <v>1359</v>
      </c>
    </row>
    <row r="1678" spans="1:10" x14ac:dyDescent="0.25">
      <c r="A1678">
        <v>45107</v>
      </c>
      <c r="B1678" t="str">
        <v>Narayana Hrudaya</v>
      </c>
      <c r="C1678">
        <v>33.943413</v>
      </c>
      <c r="D1678">
        <v>812.87713623046875</v>
      </c>
      <c r="E1678">
        <v>410.4644775390625</v>
      </c>
      <c r="F1678">
        <v>0.50495302677154541</v>
      </c>
      <c r="G1678">
        <v>1890.449951171875</v>
      </c>
      <c r="H1678">
        <v>0.5</v>
      </c>
      <c r="I1678">
        <v>38244.078125</v>
      </c>
      <c r="J1678">
        <v>1359</v>
      </c>
    </row>
    <row r="1679" spans="1:10" x14ac:dyDescent="0.25">
      <c r="A1679">
        <v>3970</v>
      </c>
      <c r="B1679" t="str">
        <v>Narbada Gems</v>
      </c>
      <c r="C1679">
        <v>15.4024</v>
      </c>
      <c r="D1679">
        <v>46.917640686035156</v>
      </c>
      <c r="E1679">
        <v>17.248275756835938</v>
      </c>
      <c r="F1679">
        <v>0.36762899160385132</v>
      </c>
      <c r="G1679">
        <v>54.582500457763672</v>
      </c>
      <c r="H1679">
        <v>0.56999999284744263</v>
      </c>
      <c r="I1679">
        <v>114.83999633789063</v>
      </c>
      <c r="J1679">
        <v>1242</v>
      </c>
    </row>
    <row r="1680" spans="1:10" x14ac:dyDescent="0.25">
      <c r="A1680">
        <v>13702</v>
      </c>
      <c r="B1680" t="str">
        <v>Narendra Prop.</v>
      </c>
      <c r="C1680">
        <v>24.677166</v>
      </c>
      <c r="D1680">
        <v>28.544658660888672</v>
      </c>
      <c r="E1680">
        <v>13.421184539794922</v>
      </c>
      <c r="F1680">
        <v>0.47018200159072876</v>
      </c>
      <c r="G1680">
        <v>41.922500610351563</v>
      </c>
      <c r="H1680">
        <v>0</v>
      </c>
      <c r="I1680">
        <v>28.780000686645508</v>
      </c>
      <c r="J1680">
        <v>1107</v>
      </c>
    </row>
    <row r="1681" spans="1:10" x14ac:dyDescent="0.25">
      <c r="A1681">
        <v>4575</v>
      </c>
      <c r="B1681" t="str">
        <v>Narmada Gelatine</v>
      </c>
      <c r="C1681">
        <v>15.810855</v>
      </c>
      <c r="D1681">
        <v>271.47720336914063</v>
      </c>
      <c r="E1681">
        <v>105.43418121337891</v>
      </c>
      <c r="F1681">
        <v>0.38837200403213501</v>
      </c>
      <c r="G1681">
        <v>374.14999389648438</v>
      </c>
      <c r="H1681">
        <v>0</v>
      </c>
      <c r="I1681">
        <v>225.41000366210938</v>
      </c>
      <c r="J1681">
        <v>1359</v>
      </c>
    </row>
    <row r="1682" spans="1:10" x14ac:dyDescent="0.25">
      <c r="A1682">
        <v>4684</v>
      </c>
      <c r="B1682" t="str">
        <v>Natco Pharma</v>
      </c>
      <c r="C1682">
        <v>6.64053</v>
      </c>
      <c r="D1682">
        <v>860.6309814453125</v>
      </c>
      <c r="E1682">
        <v>242.07545471191406</v>
      </c>
      <c r="F1682">
        <v>0.28127700090408325</v>
      </c>
      <c r="G1682">
        <v>876.6500244140625</v>
      </c>
      <c r="H1682">
        <v>5.000000074505806E-2</v>
      </c>
      <c r="I1682">
        <v>15785.849609375</v>
      </c>
      <c r="J1682">
        <v>1359</v>
      </c>
    </row>
    <row r="1683" spans="1:10" x14ac:dyDescent="0.25">
      <c r="A1683">
        <v>44041</v>
      </c>
      <c r="B1683" t="str">
        <v>Nath Bio-Genes</v>
      </c>
      <c r="C1683">
        <v>-10.350887999999999</v>
      </c>
      <c r="D1683">
        <v>237.27659606933594</v>
      </c>
      <c r="E1683">
        <v>70.552116394042969</v>
      </c>
      <c r="F1683">
        <v>0.297340989112854</v>
      </c>
      <c r="G1683">
        <v>201.57499694824219</v>
      </c>
      <c r="H1683">
        <v>0.18000000715255737</v>
      </c>
      <c r="I1683">
        <v>375.70999145507813</v>
      </c>
      <c r="J1683">
        <v>1358</v>
      </c>
    </row>
    <row r="1684" spans="1:10" x14ac:dyDescent="0.25">
      <c r="A1684">
        <v>466</v>
      </c>
      <c r="B1684" t="str">
        <v>Nath Industries</v>
      </c>
      <c r="C1684">
        <v>-5.9233919999999998</v>
      </c>
      <c r="D1684">
        <v>75.833000183105469</v>
      </c>
      <c r="E1684">
        <v>14.077448844909668</v>
      </c>
      <c r="F1684">
        <v>0.18563799560070038</v>
      </c>
      <c r="G1684">
        <v>83.775001525878906</v>
      </c>
      <c r="H1684">
        <v>0.52999997138977051</v>
      </c>
      <c r="I1684">
        <v>159.55999755859375</v>
      </c>
      <c r="J1684">
        <v>1346</v>
      </c>
    </row>
    <row r="1685" spans="1:10" x14ac:dyDescent="0.25">
      <c r="A1685">
        <v>6228</v>
      </c>
      <c r="B1685" t="str">
        <v>National Fitting</v>
      </c>
      <c r="C1685">
        <v>35.347454999999997</v>
      </c>
      <c r="D1685">
        <v>78.626670837402344</v>
      </c>
      <c r="E1685">
        <v>42.136512756347656</v>
      </c>
      <c r="F1685">
        <v>0.53590601682662964</v>
      </c>
      <c r="G1685">
        <v>190.21249389648438</v>
      </c>
      <c r="H1685">
        <v>0.31000000238418579</v>
      </c>
      <c r="I1685">
        <v>165.89999389648438</v>
      </c>
      <c r="J1685">
        <v>1353</v>
      </c>
    </row>
    <row r="1686" spans="1:10" x14ac:dyDescent="0.25">
      <c r="A1686">
        <v>2304</v>
      </c>
      <c r="B1686" t="str">
        <v>Natl. Aluminium</v>
      </c>
      <c r="C1686">
        <v>27.236222999999999</v>
      </c>
      <c r="D1686">
        <v>103.07624053955078</v>
      </c>
      <c r="E1686">
        <v>56.886959075927734</v>
      </c>
      <c r="F1686">
        <v>0.5518919825553894</v>
      </c>
      <c r="G1686">
        <v>183.94999694824219</v>
      </c>
      <c r="H1686">
        <v>9.9999997764825821E-3</v>
      </c>
      <c r="I1686">
        <v>33408.328125</v>
      </c>
      <c r="J1686">
        <v>1359</v>
      </c>
    </row>
    <row r="1687" spans="1:10" x14ac:dyDescent="0.25">
      <c r="A1687">
        <v>14083</v>
      </c>
      <c r="B1687" t="str">
        <v>Natl. Gen. Inds.</v>
      </c>
      <c r="C1687">
        <v>18.051269999999999</v>
      </c>
      <c r="D1687">
        <v>150.63258361816406</v>
      </c>
      <c r="E1687">
        <v>141.27285766601563</v>
      </c>
      <c r="F1687">
        <v>0.93786400556564331</v>
      </c>
      <c r="G1687">
        <v>65.394996643066406</v>
      </c>
      <c r="H1687">
        <v>5.000000074505806E-2</v>
      </c>
      <c r="I1687">
        <v>36.169998168945313</v>
      </c>
      <c r="J1687">
        <v>803</v>
      </c>
    </row>
    <row r="1688" spans="1:10" x14ac:dyDescent="0.25">
      <c r="A1688">
        <v>3823</v>
      </c>
      <c r="B1688" t="str">
        <v>Natl. Plywood</v>
      </c>
      <c r="C1688">
        <v>-17.683734000000001</v>
      </c>
      <c r="D1688">
        <v>7.2532439231872559</v>
      </c>
      <c r="E1688">
        <v>2.1573801040649414</v>
      </c>
      <c r="F1688">
        <v>0.29743701219558716</v>
      </c>
      <c r="G1688">
        <v>4.3000001907348633</v>
      </c>
      <c r="H1688">
        <v>0</v>
      </c>
      <c r="I1688">
        <v>10.600000381469727</v>
      </c>
      <c r="J1688">
        <v>998</v>
      </c>
    </row>
    <row r="1689" spans="1:10" x14ac:dyDescent="0.25">
      <c r="A1689">
        <v>4124</v>
      </c>
      <c r="B1689" t="str">
        <v>Natural Capsules</v>
      </c>
      <c r="C1689">
        <v>29.352732</v>
      </c>
      <c r="D1689">
        <v>272.70492553710938</v>
      </c>
      <c r="E1689">
        <v>159.88835144042969</v>
      </c>
      <c r="F1689">
        <v>0.58630502223968506</v>
      </c>
      <c r="G1689">
        <v>209.22500610351563</v>
      </c>
      <c r="H1689">
        <v>0.43999999761581421</v>
      </c>
      <c r="I1689">
        <v>213.28999328613281</v>
      </c>
      <c r="J1689">
        <v>1342</v>
      </c>
    </row>
    <row r="1690" spans="1:10" x14ac:dyDescent="0.25">
      <c r="A1690">
        <v>13735</v>
      </c>
      <c r="B1690" t="str">
        <v>Naturite Agro</v>
      </c>
      <c r="C1690">
        <v>17.611640999999999</v>
      </c>
      <c r="D1690">
        <v>160.63681030273438</v>
      </c>
      <c r="E1690">
        <v>92.1727294921875</v>
      </c>
      <c r="F1690">
        <v>0.57379597425460815</v>
      </c>
      <c r="G1690">
        <v>301.66250610351563</v>
      </c>
      <c r="H1690">
        <v>0.43999999761581421</v>
      </c>
      <c r="I1690">
        <v>156.21000671386719</v>
      </c>
      <c r="J1690">
        <v>410</v>
      </c>
    </row>
    <row r="1691" spans="1:10" x14ac:dyDescent="0.25">
      <c r="A1691">
        <v>3780</v>
      </c>
      <c r="B1691" t="str">
        <v>Nava</v>
      </c>
      <c r="C1691">
        <v>52.725859999999997</v>
      </c>
      <c r="D1691">
        <v>166.66947937011719</v>
      </c>
      <c r="E1691">
        <v>160.26101684570313</v>
      </c>
      <c r="F1691">
        <v>0.96154999732971191</v>
      </c>
      <c r="G1691">
        <v>551.9000244140625</v>
      </c>
      <c r="H1691">
        <v>1.9999999552965164E-2</v>
      </c>
      <c r="I1691">
        <v>15844.990234375</v>
      </c>
      <c r="J1691">
        <v>1359</v>
      </c>
    </row>
    <row r="1692" spans="1:10" x14ac:dyDescent="0.25">
      <c r="A1692">
        <v>24585</v>
      </c>
      <c r="B1692" t="str">
        <v>Navin Fluo.Intl.</v>
      </c>
      <c r="C1692">
        <v>29.168253</v>
      </c>
      <c r="D1692">
        <v>3421.317626953125</v>
      </c>
      <c r="E1692">
        <v>951.94488525390625</v>
      </c>
      <c r="F1692">
        <v>0.27823901176452637</v>
      </c>
      <c r="G1692">
        <v>4689.94970703125</v>
      </c>
      <c r="H1692">
        <v>1.9999999552965164E-2</v>
      </c>
      <c r="I1692">
        <v>23011.939453125</v>
      </c>
      <c r="J1692">
        <v>1359</v>
      </c>
    </row>
    <row r="1693" spans="1:10" x14ac:dyDescent="0.25">
      <c r="A1693">
        <v>45748</v>
      </c>
      <c r="B1693" t="str">
        <v>Navkar Corporat.</v>
      </c>
      <c r="C1693">
        <v>26.179663000000001</v>
      </c>
      <c r="D1693">
        <v>65.627265930175781</v>
      </c>
      <c r="E1693">
        <v>37.014019012451172</v>
      </c>
      <c r="F1693">
        <v>0.56400400400161743</v>
      </c>
      <c r="G1693">
        <v>110.42500305175781</v>
      </c>
      <c r="H1693">
        <v>0.10000000149011612</v>
      </c>
      <c r="I1693">
        <v>1629.3699951171875</v>
      </c>
      <c r="J1693">
        <v>1359</v>
      </c>
    </row>
    <row r="1694" spans="1:10" x14ac:dyDescent="0.25">
      <c r="A1694">
        <v>6680</v>
      </c>
      <c r="B1694" t="str">
        <v>Navkar Urban.</v>
      </c>
      <c r="C1694">
        <v>14.044129999999999</v>
      </c>
      <c r="D1694">
        <v>1.7027549743652344</v>
      </c>
      <c r="E1694">
        <v>1.0144519805908203</v>
      </c>
      <c r="F1694">
        <v>0.59577101469039917</v>
      </c>
      <c r="G1694">
        <v>1.7450000047683716</v>
      </c>
      <c r="H1694">
        <v>7.9999998211860657E-2</v>
      </c>
      <c r="I1694">
        <v>189.6300048828125</v>
      </c>
      <c r="J1694">
        <v>1304</v>
      </c>
    </row>
    <row r="1695" spans="1:10" x14ac:dyDescent="0.25">
      <c r="A1695">
        <v>1627</v>
      </c>
      <c r="B1695" t="str">
        <v>Navneet Educat.</v>
      </c>
      <c r="C1695">
        <v>7.6851130000000003</v>
      </c>
      <c r="D1695">
        <v>114.5150146484375</v>
      </c>
      <c r="E1695">
        <v>29.41741943359375</v>
      </c>
      <c r="F1695">
        <v>0.25688698887825012</v>
      </c>
      <c r="G1695">
        <v>140.32499694824219</v>
      </c>
      <c r="H1695">
        <v>0.18000000715255737</v>
      </c>
      <c r="I1695">
        <v>3164.719970703125</v>
      </c>
      <c r="J1695">
        <v>1359</v>
      </c>
    </row>
    <row r="1696" spans="1:10" x14ac:dyDescent="0.25">
      <c r="A1696">
        <v>23920</v>
      </c>
      <c r="B1696" t="str">
        <v>Nectar Lifesci.</v>
      </c>
      <c r="C1696">
        <v>10.187962000000001</v>
      </c>
      <c r="D1696">
        <v>25.984521865844727</v>
      </c>
      <c r="E1696">
        <v>7.8049378395080566</v>
      </c>
      <c r="F1696">
        <v>0.30036899447441101</v>
      </c>
      <c r="G1696">
        <v>21.462499618530273</v>
      </c>
      <c r="H1696">
        <v>0.64999997615814209</v>
      </c>
      <c r="I1696">
        <v>469.14999389648438</v>
      </c>
      <c r="J1696">
        <v>1359</v>
      </c>
    </row>
    <row r="1697" spans="1:10" x14ac:dyDescent="0.25">
      <c r="A1697">
        <v>2151</v>
      </c>
      <c r="B1697" t="str">
        <v>Neelamalai Agro</v>
      </c>
      <c r="C1697">
        <v>21.532028</v>
      </c>
      <c r="D1697">
        <v>3582.28076171875</v>
      </c>
      <c r="E1697">
        <v>719.28753662109375</v>
      </c>
      <c r="F1697">
        <v>0.20079000294208527</v>
      </c>
      <c r="G1697">
        <v>3717</v>
      </c>
      <c r="H1697">
        <v>0</v>
      </c>
      <c r="I1697">
        <v>231.10000610351563</v>
      </c>
      <c r="J1697">
        <v>1032</v>
      </c>
    </row>
    <row r="1698" spans="1:10" x14ac:dyDescent="0.25">
      <c r="A1698">
        <v>3793</v>
      </c>
      <c r="B1698" t="str">
        <v>Neelkanth</v>
      </c>
      <c r="C1698">
        <v>48.458185999999998</v>
      </c>
      <c r="D1698">
        <v>29.492586135864258</v>
      </c>
      <c r="E1698">
        <v>14.685965538024902</v>
      </c>
      <c r="F1698">
        <v>0.49795401096343994</v>
      </c>
      <c r="G1698">
        <v>47.759998321533203</v>
      </c>
      <c r="H1698">
        <v>5.9999998658895493E-2</v>
      </c>
      <c r="I1698">
        <v>20.819999694824219</v>
      </c>
      <c r="J1698">
        <v>589</v>
      </c>
    </row>
    <row r="1699" spans="1:10" x14ac:dyDescent="0.25">
      <c r="A1699">
        <v>5397</v>
      </c>
      <c r="B1699" t="str">
        <v>Neelkanth Rock</v>
      </c>
      <c r="C1699">
        <v>16.946901</v>
      </c>
      <c r="D1699">
        <v>12.015048027038574</v>
      </c>
      <c r="E1699">
        <v>2.8003981113433838</v>
      </c>
      <c r="F1699">
        <v>0.23307399451732635</v>
      </c>
      <c r="G1699">
        <v>15.199999809265137</v>
      </c>
      <c r="H1699">
        <v>9.9999997764825821E-3</v>
      </c>
      <c r="I1699">
        <v>7.6599998474121094</v>
      </c>
      <c r="J1699">
        <v>945</v>
      </c>
    </row>
    <row r="1700" spans="1:10" x14ac:dyDescent="0.25">
      <c r="A1700">
        <v>6586</v>
      </c>
      <c r="B1700" t="str">
        <v>Neeraj Paper Mkt</v>
      </c>
      <c r="C1700">
        <v>8.4725389999999994</v>
      </c>
      <c r="D1700">
        <v>18.314216613769531</v>
      </c>
      <c r="E1700">
        <v>5.3809499740600586</v>
      </c>
      <c r="F1700">
        <v>0.29381299018859863</v>
      </c>
      <c r="G1700">
        <v>18.110000610351563</v>
      </c>
      <c r="H1700">
        <v>0.95999997854232788</v>
      </c>
      <c r="I1700">
        <v>19.920000076293945</v>
      </c>
      <c r="J1700">
        <v>931</v>
      </c>
    </row>
    <row r="1701" spans="1:10" x14ac:dyDescent="0.25">
      <c r="A1701">
        <v>4489</v>
      </c>
      <c r="B1701" t="str">
        <v>Neha Intl.</v>
      </c>
      <c r="C1701">
        <v>-161.64815899999999</v>
      </c>
      <c r="D1701">
        <v>0.90836501121520996</v>
      </c>
      <c r="E1701">
        <v>0.1576240062713623</v>
      </c>
      <c r="F1701">
        <v>0.17352500557899475</v>
      </c>
      <c r="G1701">
        <v>0.72000002861022949</v>
      </c>
      <c r="H1701">
        <v>0.18999999761581421</v>
      </c>
      <c r="I1701">
        <v>2.0399999618530273</v>
      </c>
      <c r="J1701">
        <v>26</v>
      </c>
    </row>
    <row r="1702" spans="1:10" x14ac:dyDescent="0.25">
      <c r="A1702">
        <v>26241</v>
      </c>
      <c r="B1702" t="str">
        <v>Neil Industries</v>
      </c>
      <c r="C1702">
        <v>-15.451378999999999</v>
      </c>
      <c r="D1702">
        <v>10.705964088439941</v>
      </c>
      <c r="E1702">
        <v>4.5609221458435059</v>
      </c>
      <c r="F1702">
        <v>0.42601698637008667</v>
      </c>
      <c r="G1702">
        <v>8.5</v>
      </c>
      <c r="H1702">
        <v>0</v>
      </c>
      <c r="I1702">
        <v>16.719999313354492</v>
      </c>
      <c r="J1702">
        <v>1058</v>
      </c>
    </row>
    <row r="1703" spans="1:10" x14ac:dyDescent="0.25">
      <c r="A1703">
        <v>15196</v>
      </c>
      <c r="B1703" t="str">
        <v>Nelcast</v>
      </c>
      <c r="C1703">
        <v>18.468046999999999</v>
      </c>
      <c r="D1703">
        <v>94.53656005859375</v>
      </c>
      <c r="E1703">
        <v>36.651496887207031</v>
      </c>
      <c r="F1703">
        <v>0.3876970112323761</v>
      </c>
      <c r="G1703">
        <v>139.19999694824219</v>
      </c>
      <c r="H1703">
        <v>0.63999998569488525</v>
      </c>
      <c r="I1703">
        <v>1208.010009765625</v>
      </c>
      <c r="J1703">
        <v>1359</v>
      </c>
    </row>
    <row r="1704" spans="1:10" x14ac:dyDescent="0.25">
      <c r="A1704">
        <v>3376</v>
      </c>
      <c r="B1704" t="str">
        <v>Neo Infracon</v>
      </c>
      <c r="C1704">
        <v>-3.4663170000000001</v>
      </c>
      <c r="D1704">
        <v>16.686742782592773</v>
      </c>
      <c r="E1704">
        <v>4.9254641532897949</v>
      </c>
      <c r="F1704">
        <v>0.29517200589179993</v>
      </c>
      <c r="G1704">
        <v>26.379999160766602</v>
      </c>
      <c r="H1704">
        <v>0.94999998807907104</v>
      </c>
      <c r="I1704">
        <v>13.649999618530273</v>
      </c>
      <c r="J1704">
        <v>1057</v>
      </c>
    </row>
    <row r="1705" spans="1:10" x14ac:dyDescent="0.25">
      <c r="A1705">
        <v>73447</v>
      </c>
      <c r="B1705" t="str">
        <v>Neogen Chemicals</v>
      </c>
      <c r="C1705">
        <v>28.314632</v>
      </c>
      <c r="D1705">
        <v>1283.564208984375</v>
      </c>
      <c r="E1705">
        <v>470.58660888671875</v>
      </c>
      <c r="F1705">
        <v>0.36662501096725464</v>
      </c>
      <c r="G1705">
        <v>1597.28759765625</v>
      </c>
      <c r="H1705">
        <v>0.61000001430511475</v>
      </c>
      <c r="I1705">
        <v>4173.0498046875</v>
      </c>
      <c r="J1705">
        <v>1359</v>
      </c>
    </row>
    <row r="1706" spans="1:10" x14ac:dyDescent="0.25">
      <c r="A1706">
        <v>175</v>
      </c>
      <c r="B1706" t="str">
        <v>Nestle India</v>
      </c>
      <c r="C1706">
        <v>8.3721390000000007</v>
      </c>
      <c r="D1706">
        <v>2021.9908447265625</v>
      </c>
      <c r="E1706">
        <v>324.37493896484375</v>
      </c>
      <c r="F1706">
        <v>0.16042399406433105</v>
      </c>
      <c r="G1706">
        <v>2327.112548828125</v>
      </c>
      <c r="H1706">
        <v>0.20000000298023224</v>
      </c>
      <c r="I1706">
        <v>223588.046875</v>
      </c>
      <c r="J1706">
        <v>1359</v>
      </c>
    </row>
    <row r="1707" spans="1:10" x14ac:dyDescent="0.25">
      <c r="A1707">
        <v>2310</v>
      </c>
      <c r="B1707" t="str">
        <v>Netlink Solns(I)</v>
      </c>
      <c r="C1707">
        <v>45.907001000000001</v>
      </c>
      <c r="D1707">
        <v>83.567359924316406</v>
      </c>
      <c r="E1707">
        <v>54.061954498291016</v>
      </c>
      <c r="F1707">
        <v>0.64692699909210205</v>
      </c>
      <c r="G1707">
        <v>169.78750610351563</v>
      </c>
      <c r="H1707">
        <v>0</v>
      </c>
      <c r="I1707">
        <v>42.970001220703125</v>
      </c>
      <c r="J1707">
        <v>1165</v>
      </c>
    </row>
    <row r="1708" spans="1:10" x14ac:dyDescent="0.25">
      <c r="A1708">
        <v>21194</v>
      </c>
      <c r="B1708" t="str">
        <v>Netripples Soft.</v>
      </c>
      <c r="C1708">
        <v>-14.994244</v>
      </c>
      <c r="D1708">
        <v>7.3708682060241699</v>
      </c>
      <c r="E1708">
        <v>2.2452518939971924</v>
      </c>
      <c r="F1708">
        <v>0.30461201071739197</v>
      </c>
      <c r="G1708">
        <v>5.5100002288818359</v>
      </c>
      <c r="H1708">
        <v>0</v>
      </c>
      <c r="I1708">
        <v>3.7599999904632568</v>
      </c>
      <c r="J1708">
        <v>377</v>
      </c>
    </row>
    <row r="1709" spans="1:10" x14ac:dyDescent="0.25">
      <c r="A1709">
        <v>4530</v>
      </c>
      <c r="B1709" t="str">
        <v>Nettlinx</v>
      </c>
      <c r="C1709">
        <v>11.726686000000001</v>
      </c>
      <c r="D1709">
        <v>55.621471405029297</v>
      </c>
      <c r="E1709">
        <v>33.238880157470703</v>
      </c>
      <c r="F1709">
        <v>0.59759098291397095</v>
      </c>
      <c r="G1709">
        <v>26.889999389648438</v>
      </c>
      <c r="H1709">
        <v>0.2199999988079071</v>
      </c>
      <c r="I1709">
        <v>65.010002136230469</v>
      </c>
      <c r="J1709">
        <v>1359</v>
      </c>
    </row>
    <row r="1710" spans="1:10" x14ac:dyDescent="0.25">
      <c r="A1710">
        <v>27697</v>
      </c>
      <c r="B1710" t="str">
        <v>Netwrk.18 Media</v>
      </c>
      <c r="C1710">
        <v>14.33745</v>
      </c>
      <c r="D1710">
        <v>62.133937835693359</v>
      </c>
      <c r="E1710">
        <v>22.711294174194336</v>
      </c>
      <c r="F1710">
        <v>0.36552199721336365</v>
      </c>
      <c r="G1710">
        <v>52.897499084472656</v>
      </c>
      <c r="H1710">
        <v>0.93000000715255737</v>
      </c>
      <c r="I1710">
        <v>8095.5</v>
      </c>
      <c r="J1710">
        <v>1359</v>
      </c>
    </row>
    <row r="1711" spans="1:10" x14ac:dyDescent="0.25">
      <c r="A1711">
        <v>28071</v>
      </c>
      <c r="B1711" t="str">
        <v>Neueon Towers</v>
      </c>
      <c r="C1711">
        <v>55.457447999999999</v>
      </c>
      <c r="D1711">
        <v>1.7558939456939697</v>
      </c>
      <c r="E1711">
        <v>1.0167950391769409</v>
      </c>
      <c r="F1711">
        <v>0.57907497882843018</v>
      </c>
      <c r="G1711">
        <v>5.0999999046325684</v>
      </c>
      <c r="H1711">
        <v>0</v>
      </c>
      <c r="I1711">
        <v>28.840000152587891</v>
      </c>
      <c r="J1711">
        <v>428</v>
      </c>
    </row>
    <row r="1712" spans="1:10" x14ac:dyDescent="0.25">
      <c r="A1712">
        <v>3800</v>
      </c>
      <c r="B1712" t="str">
        <v>Neuland Labs.</v>
      </c>
      <c r="C1712">
        <v>66.643981999999994</v>
      </c>
      <c r="D1712">
        <v>4098.177734375</v>
      </c>
      <c r="E1712">
        <v>4359.7978515625</v>
      </c>
      <c r="F1712">
        <v>1.063838005065918</v>
      </c>
      <c r="G1712">
        <v>12221.849609375</v>
      </c>
      <c r="H1712">
        <v>0.10000000149011612</v>
      </c>
      <c r="I1712">
        <v>15696.599609375</v>
      </c>
      <c r="J1712">
        <v>1359</v>
      </c>
    </row>
    <row r="1713" spans="1:10" x14ac:dyDescent="0.25">
      <c r="A1713">
        <v>12214</v>
      </c>
      <c r="B1713" t="str">
        <v>New India Assura</v>
      </c>
      <c r="C1713">
        <v>5.2885260000000001</v>
      </c>
      <c r="D1713">
        <v>151.27227783203125</v>
      </c>
      <c r="E1713">
        <v>50.002540588378906</v>
      </c>
      <c r="F1713">
        <v>0.33054700493812561</v>
      </c>
      <c r="G1713">
        <v>180.67500305175781</v>
      </c>
      <c r="H1713">
        <v>0</v>
      </c>
      <c r="I1713">
        <v>29334.400390625</v>
      </c>
      <c r="J1713">
        <v>1359</v>
      </c>
    </row>
    <row r="1714" spans="1:10" x14ac:dyDescent="0.25">
      <c r="A1714">
        <v>13722</v>
      </c>
      <c r="B1714" t="str">
        <v>Newgen Software</v>
      </c>
      <c r="C1714">
        <v>48.574738000000004</v>
      </c>
      <c r="D1714">
        <v>454.5360107421875</v>
      </c>
      <c r="E1714">
        <v>403.55307006835938</v>
      </c>
      <c r="F1714">
        <v>0.88783502578735352</v>
      </c>
      <c r="G1714">
        <v>1191.612548828125</v>
      </c>
      <c r="H1714">
        <v>3.9999999105930328E-2</v>
      </c>
      <c r="I1714">
        <v>16873.9296875</v>
      </c>
      <c r="J1714">
        <v>1357</v>
      </c>
    </row>
    <row r="1715" spans="1:10" x14ac:dyDescent="0.25">
      <c r="A1715">
        <v>1557</v>
      </c>
      <c r="B1715" t="str">
        <v>Nexome Cap. Mkt.</v>
      </c>
      <c r="C1715">
        <v>19.749307999999999</v>
      </c>
      <c r="D1715">
        <v>50.677822113037109</v>
      </c>
      <c r="E1715">
        <v>18.934196472167969</v>
      </c>
      <c r="F1715">
        <v>0.37361899018287659</v>
      </c>
      <c r="G1715">
        <v>93.455001831054688</v>
      </c>
      <c r="H1715">
        <v>0</v>
      </c>
      <c r="I1715">
        <v>54.569999694824219</v>
      </c>
      <c r="J1715">
        <v>1128</v>
      </c>
    </row>
    <row r="1716" spans="1:10" x14ac:dyDescent="0.25">
      <c r="A1716">
        <v>21357</v>
      </c>
      <c r="B1716" t="str">
        <v>Next Mediaworks</v>
      </c>
      <c r="C1716">
        <v>-4.67319</v>
      </c>
      <c r="D1716">
        <v>6.2162947654724121</v>
      </c>
      <c r="E1716">
        <v>1.2663240432739258</v>
      </c>
      <c r="F1716">
        <v>0.20371000468730927</v>
      </c>
      <c r="G1716">
        <v>7.0749998092651367</v>
      </c>
      <c r="H1716">
        <v>0</v>
      </c>
      <c r="I1716">
        <v>47.360000610351563</v>
      </c>
      <c r="J1716">
        <v>1156</v>
      </c>
    </row>
    <row r="1717" spans="1:10" x14ac:dyDescent="0.25">
      <c r="A1717">
        <v>16597</v>
      </c>
      <c r="B1717" t="str">
        <v>Nexus Surgical</v>
      </c>
      <c r="C1717">
        <v>4.869904</v>
      </c>
      <c r="D1717">
        <v>12.68998908996582</v>
      </c>
      <c r="E1717">
        <v>4.6575460433959961</v>
      </c>
      <c r="F1717">
        <v>0.3670249879360199</v>
      </c>
      <c r="G1717">
        <v>17.25</v>
      </c>
      <c r="H1717">
        <v>0</v>
      </c>
      <c r="I1717">
        <v>9.4600000381469727</v>
      </c>
      <c r="J1717">
        <v>915</v>
      </c>
    </row>
    <row r="1718" spans="1:10" x14ac:dyDescent="0.25">
      <c r="A1718">
        <v>4526</v>
      </c>
      <c r="B1718" t="str">
        <v>Nicco Parks</v>
      </c>
      <c r="C1718">
        <v>21.998384999999999</v>
      </c>
      <c r="D1718">
        <v>90.796722412109375</v>
      </c>
      <c r="E1718">
        <v>44.542167663574219</v>
      </c>
      <c r="F1718">
        <v>0.49057000875473022</v>
      </c>
      <c r="G1718">
        <v>114.28749847412109</v>
      </c>
      <c r="H1718">
        <v>0</v>
      </c>
      <c r="I1718">
        <v>531.40997314453125</v>
      </c>
      <c r="J1718">
        <v>1354</v>
      </c>
    </row>
    <row r="1719" spans="1:10" x14ac:dyDescent="0.25">
      <c r="A1719">
        <v>2258</v>
      </c>
      <c r="B1719" t="str">
        <v>Nicco Uco All.</v>
      </c>
      <c r="C1719">
        <v>10.348305999999999</v>
      </c>
      <c r="D1719">
        <v>0.28058099746704102</v>
      </c>
      <c r="E1719">
        <v>6.7491002380847931E-2</v>
      </c>
      <c r="F1719">
        <v>0.2405409961938858</v>
      </c>
      <c r="G1719">
        <v>0.28499999642372131</v>
      </c>
      <c r="H1719">
        <v>0</v>
      </c>
      <c r="I1719">
        <v>2.4100000858306885</v>
      </c>
      <c r="J1719">
        <v>86</v>
      </c>
    </row>
    <row r="1720" spans="1:10" x14ac:dyDescent="0.25">
      <c r="A1720">
        <v>4564</v>
      </c>
      <c r="B1720" t="str">
        <v>Nidhi Granites</v>
      </c>
      <c r="C1720">
        <v>54.252478000000004</v>
      </c>
      <c r="D1720">
        <v>87.318061828613281</v>
      </c>
      <c r="E1720">
        <v>61.909965515136719</v>
      </c>
      <c r="F1720">
        <v>0.70901697874069214</v>
      </c>
      <c r="G1720">
        <v>177.05000305175781</v>
      </c>
      <c r="H1720">
        <v>0</v>
      </c>
      <c r="I1720">
        <v>141.67999267578125</v>
      </c>
      <c r="J1720">
        <v>741</v>
      </c>
    </row>
    <row r="1721" spans="1:10" x14ac:dyDescent="0.25">
      <c r="A1721">
        <v>5565</v>
      </c>
      <c r="B1721" t="str">
        <v>Nihar Info Glob.</v>
      </c>
      <c r="C1721">
        <v>1.671327</v>
      </c>
      <c r="D1721">
        <v>7.0408201217651367</v>
      </c>
      <c r="E1721">
        <v>2.8206939697265625</v>
      </c>
      <c r="F1721">
        <v>0.40062001347541809</v>
      </c>
      <c r="G1721">
        <v>5.5324997901916504</v>
      </c>
      <c r="H1721">
        <v>0.12999999523162842</v>
      </c>
      <c r="I1721">
        <v>5.820000171661377</v>
      </c>
      <c r="J1721">
        <v>1338</v>
      </c>
    </row>
    <row r="1722" spans="1:10" x14ac:dyDescent="0.25">
      <c r="A1722">
        <v>3182</v>
      </c>
      <c r="B1722" t="str">
        <v>Nikhil Adhesives</v>
      </c>
      <c r="C1722">
        <v>38.394651000000003</v>
      </c>
      <c r="D1722">
        <v>87.457534790039063</v>
      </c>
      <c r="E1722">
        <v>47.094429016113281</v>
      </c>
      <c r="F1722">
        <v>0.53848302364349365</v>
      </c>
      <c r="G1722">
        <v>95.805000305175781</v>
      </c>
      <c r="H1722">
        <v>0.40999999642372131</v>
      </c>
      <c r="I1722">
        <v>432.8699951171875</v>
      </c>
      <c r="J1722">
        <v>1353</v>
      </c>
    </row>
    <row r="1723" spans="1:10" x14ac:dyDescent="0.25">
      <c r="A1723">
        <v>5178</v>
      </c>
      <c r="B1723" t="str">
        <v>Nila Infrastruct</v>
      </c>
      <c r="C1723">
        <v>20.046047000000002</v>
      </c>
      <c r="D1723">
        <v>7.3456010818481445</v>
      </c>
      <c r="E1723">
        <v>3.0438230037689209</v>
      </c>
      <c r="F1723">
        <v>0.41437399387359619</v>
      </c>
      <c r="G1723">
        <v>12.217499732971191</v>
      </c>
      <c r="H1723">
        <v>0.33000001311302185</v>
      </c>
      <c r="I1723">
        <v>469.51998901367188</v>
      </c>
      <c r="J1723">
        <v>1359</v>
      </c>
    </row>
    <row r="1724" spans="1:10" x14ac:dyDescent="0.25">
      <c r="A1724">
        <v>71717</v>
      </c>
      <c r="B1724" t="str">
        <v>Nila Spaces</v>
      </c>
      <c r="C1724">
        <v>46.318523999999996</v>
      </c>
      <c r="D1724">
        <v>4.6519641876220703</v>
      </c>
      <c r="E1724">
        <v>4.1167778968811035</v>
      </c>
      <c r="F1724">
        <v>0.88495498895645142</v>
      </c>
      <c r="G1724">
        <v>11.852499961853027</v>
      </c>
      <c r="H1724">
        <v>0</v>
      </c>
      <c r="I1724">
        <v>459.67001342773438</v>
      </c>
      <c r="J1724">
        <v>1354</v>
      </c>
    </row>
    <row r="1725" spans="1:10" x14ac:dyDescent="0.25">
      <c r="A1725">
        <v>2061</v>
      </c>
      <c r="B1725" t="str">
        <v>Nilkamal Ltd</v>
      </c>
      <c r="C1725">
        <v>5.0961100000000004</v>
      </c>
      <c r="D1725">
        <v>1914.5655517578125</v>
      </c>
      <c r="E1725">
        <v>418.7630615234375</v>
      </c>
      <c r="F1725">
        <v>0.21872499585151672</v>
      </c>
      <c r="G1725">
        <v>1716.237548828125</v>
      </c>
      <c r="H1725">
        <v>0.28999999165534973</v>
      </c>
      <c r="I1725">
        <v>2521.780029296875</v>
      </c>
      <c r="J1725">
        <v>1358</v>
      </c>
    </row>
    <row r="1726" spans="1:10" x14ac:dyDescent="0.25">
      <c r="A1726">
        <v>4637</v>
      </c>
      <c r="B1726" t="str">
        <v>Nimbus Projects</v>
      </c>
      <c r="C1726">
        <v>52.980873000000003</v>
      </c>
      <c r="D1726">
        <v>67.638580322265625</v>
      </c>
      <c r="E1726">
        <v>71.494140625</v>
      </c>
      <c r="F1726">
        <v>1.0570019483566284</v>
      </c>
      <c r="G1726">
        <v>241.10000610351563</v>
      </c>
      <c r="H1726">
        <v>0</v>
      </c>
      <c r="I1726">
        <v>255.77999877929688</v>
      </c>
      <c r="J1726">
        <v>1040</v>
      </c>
    </row>
    <row r="1727" spans="1:10" x14ac:dyDescent="0.25">
      <c r="A1727">
        <v>12622</v>
      </c>
      <c r="B1727" t="str">
        <v>Nippon Life Ind.</v>
      </c>
      <c r="C1727">
        <v>13.792706000000001</v>
      </c>
      <c r="D1727">
        <v>397.0675048828125</v>
      </c>
      <c r="E1727">
        <v>151.57496643066406</v>
      </c>
      <c r="F1727">
        <v>0.38173601031303406</v>
      </c>
      <c r="G1727">
        <v>740.88751220703125</v>
      </c>
      <c r="H1727">
        <v>0</v>
      </c>
      <c r="I1727">
        <v>46656.69921875</v>
      </c>
      <c r="J1727">
        <v>1359</v>
      </c>
    </row>
    <row r="1728" spans="1:10" x14ac:dyDescent="0.25">
      <c r="A1728">
        <v>28015</v>
      </c>
      <c r="B1728" t="str">
        <v>Niraj Cement</v>
      </c>
      <c r="C1728">
        <v>24.379214999999999</v>
      </c>
      <c r="D1728">
        <v>41.114738464355469</v>
      </c>
      <c r="E1728">
        <v>11.172533988952637</v>
      </c>
      <c r="F1728">
        <v>0.27173998951911926</v>
      </c>
      <c r="G1728">
        <v>54.169998168945313</v>
      </c>
      <c r="H1728">
        <v>7.9999998211860657E-2</v>
      </c>
      <c r="I1728">
        <v>319.42001342773438</v>
      </c>
      <c r="J1728">
        <v>1347</v>
      </c>
    </row>
    <row r="1729" spans="1:10" x14ac:dyDescent="0.25">
      <c r="A1729">
        <v>1847</v>
      </c>
      <c r="B1729" t="str">
        <v>Nirav Commercial</v>
      </c>
      <c r="C1729">
        <v>24.41431</v>
      </c>
      <c r="D1729">
        <v>525.0343017578125</v>
      </c>
      <c r="E1729">
        <v>189.48016357421875</v>
      </c>
      <c r="F1729">
        <v>0.36089101433753967</v>
      </c>
      <c r="G1729">
        <v>728.32501220703125</v>
      </c>
      <c r="H1729">
        <v>0</v>
      </c>
      <c r="I1729">
        <v>28.159999847412109</v>
      </c>
      <c r="J1729">
        <v>991</v>
      </c>
    </row>
    <row r="1730" spans="1:10" x14ac:dyDescent="0.25">
      <c r="A1730">
        <v>13683</v>
      </c>
      <c r="B1730" t="str">
        <v>Nitco</v>
      </c>
      <c r="C1730">
        <v>27.961251000000001</v>
      </c>
      <c r="D1730">
        <v>41.961650848388672</v>
      </c>
      <c r="E1730">
        <v>35.508796691894531</v>
      </c>
      <c r="F1730">
        <v>0.84622001647949219</v>
      </c>
      <c r="G1730">
        <v>129.97500610351563</v>
      </c>
      <c r="H1730">
        <v>0</v>
      </c>
      <c r="I1730">
        <v>2951.659912109375</v>
      </c>
      <c r="J1730">
        <v>1358</v>
      </c>
    </row>
    <row r="1731" spans="1:10" x14ac:dyDescent="0.25">
      <c r="A1731">
        <v>2091</v>
      </c>
      <c r="B1731" t="str">
        <v>Nitin Castings</v>
      </c>
      <c r="C1731">
        <v>40.251783000000003</v>
      </c>
      <c r="D1731">
        <v>321.47198486328125</v>
      </c>
      <c r="E1731">
        <v>255.426513671875</v>
      </c>
      <c r="F1731">
        <v>0.79455298185348511</v>
      </c>
      <c r="G1731">
        <v>627.7750244140625</v>
      </c>
      <c r="H1731">
        <v>0.10999999940395355</v>
      </c>
      <c r="I1731">
        <v>315.75</v>
      </c>
      <c r="J1731">
        <v>1239</v>
      </c>
    </row>
    <row r="1732" spans="1:10" x14ac:dyDescent="0.25">
      <c r="A1732">
        <v>27768</v>
      </c>
      <c r="B1732" t="str">
        <v>Nitin Fire Prot.</v>
      </c>
      <c r="C1732">
        <v>86.061490000000006</v>
      </c>
      <c r="D1732">
        <v>0.94116300344467163</v>
      </c>
      <c r="E1732">
        <v>0.61856502294540405</v>
      </c>
      <c r="F1732">
        <v>0.65723502635955811</v>
      </c>
      <c r="G1732">
        <v>1.8200000524520874</v>
      </c>
      <c r="H1732">
        <v>0</v>
      </c>
      <c r="I1732">
        <v>53.189998626708984</v>
      </c>
      <c r="J1732">
        <v>501</v>
      </c>
    </row>
    <row r="1733" spans="1:10" x14ac:dyDescent="0.25">
      <c r="A1733">
        <v>1526</v>
      </c>
      <c r="B1733" t="str">
        <v>Nitta Gelatin</v>
      </c>
      <c r="C1733">
        <v>35.038536999999998</v>
      </c>
      <c r="D1733">
        <v>503.99203491210938</v>
      </c>
      <c r="E1733">
        <v>306.35678100585938</v>
      </c>
      <c r="F1733">
        <v>0.6078600287437439</v>
      </c>
      <c r="G1733">
        <v>811.86260986328125</v>
      </c>
      <c r="H1733">
        <v>9.0000003576278687E-2</v>
      </c>
      <c r="I1733">
        <v>742.8800048828125</v>
      </c>
      <c r="J1733">
        <v>1359</v>
      </c>
    </row>
    <row r="1734" spans="1:10" x14ac:dyDescent="0.25">
      <c r="A1734">
        <v>26051</v>
      </c>
      <c r="B1734" t="str">
        <v>Nivaka Fashions</v>
      </c>
      <c r="C1734">
        <v>-20.097625000000001</v>
      </c>
      <c r="D1734">
        <v>4.9486021995544434</v>
      </c>
      <c r="E1734">
        <v>2.4464209079742432</v>
      </c>
      <c r="F1734">
        <v>0.49436599016189575</v>
      </c>
      <c r="G1734">
        <v>3.5274999141693115</v>
      </c>
      <c r="H1734">
        <v>5.000000074505806E-2</v>
      </c>
      <c r="I1734">
        <v>35.630001068115234</v>
      </c>
      <c r="J1734">
        <v>1064</v>
      </c>
    </row>
    <row r="1735" spans="1:10" x14ac:dyDescent="0.25">
      <c r="A1735">
        <v>64793</v>
      </c>
      <c r="B1735" t="str">
        <v>Niyogin Fintech</v>
      </c>
      <c r="C1735">
        <v>1.188537</v>
      </c>
      <c r="D1735">
        <v>60.036895751953125</v>
      </c>
      <c r="E1735">
        <v>18.449062347412109</v>
      </c>
      <c r="F1735">
        <v>0.30729499459266663</v>
      </c>
      <c r="G1735">
        <v>55.194999694824219</v>
      </c>
      <c r="H1735">
        <v>7.9999998211860657E-2</v>
      </c>
      <c r="I1735">
        <v>597.6400146484375</v>
      </c>
      <c r="J1735">
        <v>1348</v>
      </c>
    </row>
    <row r="1736" spans="1:10" x14ac:dyDescent="0.25">
      <c r="A1736">
        <v>17515</v>
      </c>
      <c r="B1736" t="str">
        <v>Noida Tollbridg.</v>
      </c>
      <c r="C1736">
        <v>1.467597</v>
      </c>
      <c r="D1736">
        <v>7.5579471588134766</v>
      </c>
      <c r="E1736">
        <v>3.3119490146636963</v>
      </c>
      <c r="F1736">
        <v>0.43820801377296448</v>
      </c>
      <c r="G1736">
        <v>3.9275000095367432</v>
      </c>
      <c r="H1736">
        <v>0.30000001192092896</v>
      </c>
      <c r="I1736">
        <v>72.620002746582031</v>
      </c>
      <c r="J1736">
        <v>1358</v>
      </c>
    </row>
    <row r="1737" spans="1:10" x14ac:dyDescent="0.25">
      <c r="A1737">
        <v>3347</v>
      </c>
      <c r="B1737" t="str">
        <v>Norris Medicines</v>
      </c>
      <c r="C1737">
        <v>29.853417</v>
      </c>
      <c r="D1737">
        <v>12.770938873291016</v>
      </c>
      <c r="E1737">
        <v>5.3955159187316895</v>
      </c>
      <c r="F1737">
        <v>0.42248401045799255</v>
      </c>
      <c r="G1737">
        <v>18.844999313354492</v>
      </c>
      <c r="H1737">
        <v>0</v>
      </c>
      <c r="I1737">
        <v>19</v>
      </c>
      <c r="J1737">
        <v>1135</v>
      </c>
    </row>
    <row r="1738" spans="1:10" x14ac:dyDescent="0.25">
      <c r="A1738">
        <v>24258</v>
      </c>
      <c r="B1738" t="str">
        <v>North Eastn.Car.</v>
      </c>
      <c r="C1738">
        <v>29.695667</v>
      </c>
      <c r="D1738">
        <v>20.051149368286133</v>
      </c>
      <c r="E1738">
        <v>8.9007644653320313</v>
      </c>
      <c r="F1738">
        <v>0.44390299916267395</v>
      </c>
      <c r="G1738">
        <v>24.020000457763672</v>
      </c>
      <c r="H1738">
        <v>0.74000000953674316</v>
      </c>
      <c r="I1738">
        <v>226.44999694824219</v>
      </c>
      <c r="J1738">
        <v>1350</v>
      </c>
    </row>
    <row r="1739" spans="1:10" x14ac:dyDescent="0.25">
      <c r="A1739">
        <v>3633</v>
      </c>
      <c r="B1739" t="str">
        <v>Nova Iron &amp;Steel</v>
      </c>
      <c r="C1739">
        <v>37.039270999999999</v>
      </c>
      <c r="D1739">
        <v>14.648281097412109</v>
      </c>
      <c r="E1739">
        <v>8.0294837951660156</v>
      </c>
      <c r="F1739">
        <v>0.54815202951431274</v>
      </c>
      <c r="G1739">
        <v>14.342499732971191</v>
      </c>
      <c r="H1739">
        <v>0</v>
      </c>
      <c r="I1739">
        <v>50.380001068115234</v>
      </c>
      <c r="J1739">
        <v>1012</v>
      </c>
    </row>
    <row r="1740" spans="1:10" x14ac:dyDescent="0.25">
      <c r="A1740">
        <v>243</v>
      </c>
      <c r="B1740" t="str">
        <v>Novartis India</v>
      </c>
      <c r="C1740">
        <v>7.5479789999999998</v>
      </c>
      <c r="D1740">
        <v>764.1905517578125</v>
      </c>
      <c r="E1740">
        <v>168.15579223632813</v>
      </c>
      <c r="F1740">
        <v>0.22004400193691254</v>
      </c>
      <c r="G1740">
        <v>1007.4749755859375</v>
      </c>
      <c r="H1740">
        <v>1.9999999552965164E-2</v>
      </c>
      <c r="I1740">
        <v>2466.610107421875</v>
      </c>
      <c r="J1740">
        <v>1359</v>
      </c>
    </row>
    <row r="1741" spans="1:10" x14ac:dyDescent="0.25">
      <c r="A1741">
        <v>33252</v>
      </c>
      <c r="B1741" t="str">
        <v>Novelix Pharma.</v>
      </c>
      <c r="C1741">
        <v>46.993364</v>
      </c>
      <c r="D1741">
        <v>9.2422647476196289</v>
      </c>
      <c r="E1741">
        <v>4.6995530128479004</v>
      </c>
      <c r="F1741">
        <v>0.50848501920700073</v>
      </c>
      <c r="G1741">
        <v>29.329999923706055</v>
      </c>
      <c r="H1741">
        <v>0</v>
      </c>
      <c r="I1741">
        <v>73.180000305175781</v>
      </c>
      <c r="J1741">
        <v>755</v>
      </c>
    </row>
    <row r="1742" spans="1:10" x14ac:dyDescent="0.25">
      <c r="A1742">
        <v>6159</v>
      </c>
      <c r="B1742" t="str">
        <v>Nucleus Soft.</v>
      </c>
      <c r="C1742">
        <v>26.580217000000001</v>
      </c>
      <c r="D1742">
        <v>751.79083251953125</v>
      </c>
      <c r="E1742">
        <v>396.134521484375</v>
      </c>
      <c r="F1742">
        <v>0.52692097425460815</v>
      </c>
      <c r="G1742">
        <v>1160.9625244140625</v>
      </c>
      <c r="H1742">
        <v>9.9999997764825821E-3</v>
      </c>
      <c r="I1742">
        <v>3065.280029296875</v>
      </c>
      <c r="J1742">
        <v>1359</v>
      </c>
    </row>
    <row r="1743" spans="1:10" x14ac:dyDescent="0.25">
      <c r="A1743">
        <v>6959</v>
      </c>
      <c r="B1743" t="str">
        <v>Nyssa Corp.</v>
      </c>
      <c r="C1743">
        <v>26.977246000000001</v>
      </c>
      <c r="D1743">
        <v>5.2142891883850098</v>
      </c>
      <c r="E1743">
        <v>2.8523430824279785</v>
      </c>
      <c r="F1743">
        <v>0.54702401161193848</v>
      </c>
      <c r="G1743">
        <v>4.1449999809265137</v>
      </c>
      <c r="H1743">
        <v>0</v>
      </c>
      <c r="I1743">
        <v>12.510000228881836</v>
      </c>
      <c r="J1743">
        <v>1326</v>
      </c>
    </row>
    <row r="1744" spans="1:10" x14ac:dyDescent="0.25">
      <c r="A1744">
        <v>6068</v>
      </c>
      <c r="B1744" t="str">
        <v>O N G C</v>
      </c>
      <c r="C1744">
        <v>12.494123999999999</v>
      </c>
      <c r="D1744">
        <v>167.11383056640625</v>
      </c>
      <c r="E1744">
        <v>69.137985229492188</v>
      </c>
      <c r="F1744">
        <v>0.41371798515319824</v>
      </c>
      <c r="G1744">
        <v>250.92500305175781</v>
      </c>
      <c r="H1744">
        <v>9.0000003576278687E-2</v>
      </c>
      <c r="I1744">
        <v>316456.90625</v>
      </c>
      <c r="J1744">
        <v>1359</v>
      </c>
    </row>
    <row r="1745" spans="1:10" x14ac:dyDescent="0.25">
      <c r="A1745">
        <v>2692</v>
      </c>
      <c r="B1745" t="str">
        <v>Oasis Securities</v>
      </c>
      <c r="C1745">
        <v>44.591915</v>
      </c>
      <c r="D1745">
        <v>12.95628833770752</v>
      </c>
      <c r="E1745">
        <v>9.4326972961425781</v>
      </c>
      <c r="F1745">
        <v>0.72803997993469238</v>
      </c>
      <c r="G1745">
        <v>25.204999923706055</v>
      </c>
      <c r="H1745">
        <v>0</v>
      </c>
      <c r="I1745">
        <v>47.799999237060547</v>
      </c>
      <c r="J1745">
        <v>999</v>
      </c>
    </row>
    <row r="1746" spans="1:10" x14ac:dyDescent="0.25">
      <c r="A1746">
        <v>44436</v>
      </c>
      <c r="B1746" t="str">
        <v>Oasis Tradelink</v>
      </c>
      <c r="C1746">
        <v>-318.15557200000001</v>
      </c>
      <c r="D1746">
        <v>1.1162500381469727</v>
      </c>
      <c r="E1746">
        <v>0.18387299776077271</v>
      </c>
      <c r="F1746">
        <v>0.16472400724887848</v>
      </c>
      <c r="G1746">
        <v>0.92000001668930054</v>
      </c>
      <c r="H1746">
        <v>1.9999999552965164E-2</v>
      </c>
      <c r="I1746">
        <v>1</v>
      </c>
      <c r="J1746">
        <v>22</v>
      </c>
    </row>
    <row r="1747" spans="1:10" x14ac:dyDescent="0.25">
      <c r="A1747">
        <v>38025</v>
      </c>
      <c r="B1747" t="str">
        <v>Oberoi Realty</v>
      </c>
      <c r="C1747">
        <v>24.115079999999999</v>
      </c>
      <c r="D1747">
        <v>1021.8941040039063</v>
      </c>
      <c r="E1747">
        <v>498.15911865234375</v>
      </c>
      <c r="F1747">
        <v>0.48748600482940674</v>
      </c>
      <c r="G1747">
        <v>1894.7750244140625</v>
      </c>
      <c r="H1747">
        <v>0.20999999344348907</v>
      </c>
      <c r="I1747">
        <v>68349.9609375</v>
      </c>
      <c r="J1747">
        <v>1359</v>
      </c>
    </row>
    <row r="1748" spans="1:10" x14ac:dyDescent="0.25">
      <c r="A1748">
        <v>23788</v>
      </c>
      <c r="B1748" t="str">
        <v>Objectone Inform</v>
      </c>
      <c r="C1748">
        <v>54.051631999999998</v>
      </c>
      <c r="D1748">
        <v>10.997402191162109</v>
      </c>
      <c r="E1748">
        <v>5.8752379417419434</v>
      </c>
      <c r="F1748">
        <v>0.53423899412155151</v>
      </c>
      <c r="G1748">
        <v>9.625</v>
      </c>
      <c r="H1748">
        <v>3.9999999105930328E-2</v>
      </c>
      <c r="I1748">
        <v>10.180000305175781</v>
      </c>
      <c r="J1748">
        <v>1233</v>
      </c>
    </row>
    <row r="1749" spans="1:10" x14ac:dyDescent="0.25">
      <c r="A1749">
        <v>69730</v>
      </c>
      <c r="B1749" t="str">
        <v>Oceanic Foods</v>
      </c>
      <c r="C1749">
        <v>-0.86258900000000005</v>
      </c>
      <c r="D1749">
        <v>48.086978912353516</v>
      </c>
      <c r="E1749">
        <v>11.71477222442627</v>
      </c>
      <c r="F1749">
        <v>0.24361599981784821</v>
      </c>
      <c r="G1749">
        <v>49.505001068115234</v>
      </c>
      <c r="H1749">
        <v>0.27000001072883606</v>
      </c>
      <c r="I1749">
        <v>55.139999389648438</v>
      </c>
      <c r="J1749">
        <v>975</v>
      </c>
    </row>
    <row r="1750" spans="1:10" x14ac:dyDescent="0.25">
      <c r="A1750">
        <v>13669</v>
      </c>
      <c r="B1750" t="str">
        <v>Octal Credit Cap</v>
      </c>
      <c r="C1750">
        <v>23.305351000000002</v>
      </c>
      <c r="D1750">
        <v>28.409273147583008</v>
      </c>
      <c r="E1750">
        <v>17.426143646240234</v>
      </c>
      <c r="F1750">
        <v>0.61339598894119263</v>
      </c>
      <c r="G1750">
        <v>20.575000762939453</v>
      </c>
      <c r="H1750">
        <v>0</v>
      </c>
      <c r="I1750">
        <v>10.029999732971191</v>
      </c>
      <c r="J1750">
        <v>960</v>
      </c>
    </row>
    <row r="1751" spans="1:10" x14ac:dyDescent="0.25">
      <c r="A1751">
        <v>7429</v>
      </c>
      <c r="B1751" t="str">
        <v>Odyssey Corpn.</v>
      </c>
      <c r="C1751">
        <v>45.505237000000001</v>
      </c>
      <c r="D1751">
        <v>9.38287353515625</v>
      </c>
      <c r="E1751">
        <v>8.2704715728759766</v>
      </c>
      <c r="F1751">
        <v>0.88144302368164063</v>
      </c>
      <c r="G1751">
        <v>14.845000267028809</v>
      </c>
      <c r="H1751">
        <v>0</v>
      </c>
      <c r="I1751">
        <v>112.5</v>
      </c>
      <c r="J1751">
        <v>1201</v>
      </c>
    </row>
    <row r="1752" spans="1:10" x14ac:dyDescent="0.25">
      <c r="A1752">
        <v>4874</v>
      </c>
      <c r="B1752" t="str">
        <v>Odyssey Tech.</v>
      </c>
      <c r="C1752">
        <v>29.697887000000001</v>
      </c>
      <c r="D1752">
        <v>66.295883178710938</v>
      </c>
      <c r="E1752">
        <v>33.393833160400391</v>
      </c>
      <c r="F1752">
        <v>0.50370901823043823</v>
      </c>
      <c r="G1752">
        <v>97.762496948242188</v>
      </c>
      <c r="H1752">
        <v>0</v>
      </c>
      <c r="I1752">
        <v>155.6300048828125</v>
      </c>
      <c r="J1752">
        <v>1340</v>
      </c>
    </row>
    <row r="1753" spans="1:10" x14ac:dyDescent="0.25">
      <c r="A1753">
        <v>1190</v>
      </c>
      <c r="B1753" t="str">
        <v>Oil Country</v>
      </c>
      <c r="C1753">
        <v>48.381701999999997</v>
      </c>
      <c r="D1753">
        <v>23.625030517578125</v>
      </c>
      <c r="E1753">
        <v>22.18745231628418</v>
      </c>
      <c r="F1753">
        <v>0.93914997577667236</v>
      </c>
      <c r="G1753">
        <v>77.572502136230469</v>
      </c>
      <c r="H1753">
        <v>0</v>
      </c>
      <c r="I1753">
        <v>368.55999755859375</v>
      </c>
      <c r="J1753">
        <v>1272</v>
      </c>
    </row>
    <row r="1754" spans="1:10" x14ac:dyDescent="0.25">
      <c r="A1754">
        <v>5452</v>
      </c>
      <c r="B1754" t="str">
        <v>Oil India</v>
      </c>
      <c r="C1754">
        <v>28.971578000000001</v>
      </c>
      <c r="D1754">
        <v>212.04263305664063</v>
      </c>
      <c r="E1754">
        <v>158.31147766113281</v>
      </c>
      <c r="F1754">
        <v>0.74660199880599976</v>
      </c>
      <c r="G1754">
        <v>470.10000610351563</v>
      </c>
      <c r="H1754">
        <v>0.28999999165534973</v>
      </c>
      <c r="I1754">
        <v>76434.296875</v>
      </c>
      <c r="J1754">
        <v>1359</v>
      </c>
    </row>
    <row r="1755" spans="1:10" x14ac:dyDescent="0.25">
      <c r="A1755">
        <v>22012</v>
      </c>
      <c r="B1755" t="str">
        <v>Olectra Greentec</v>
      </c>
      <c r="C1755">
        <v>36.139538000000002</v>
      </c>
      <c r="D1755">
        <v>778.5638427734375</v>
      </c>
      <c r="E1755">
        <v>582.36395263671875</v>
      </c>
      <c r="F1755">
        <v>0.74799799919128418</v>
      </c>
      <c r="G1755">
        <v>1158.4625244140625</v>
      </c>
      <c r="H1755">
        <v>7.0000000298023224E-2</v>
      </c>
      <c r="I1755">
        <v>9452.419921875</v>
      </c>
      <c r="J1755">
        <v>1359</v>
      </c>
    </row>
    <row r="1756" spans="1:10" x14ac:dyDescent="0.25">
      <c r="A1756">
        <v>2759</v>
      </c>
      <c r="B1756" t="str">
        <v>Olympic Oil Ind.</v>
      </c>
      <c r="C1756">
        <v>-4.5085E-2</v>
      </c>
      <c r="D1756">
        <v>39.330429077148438</v>
      </c>
      <c r="E1756">
        <v>11.656121253967285</v>
      </c>
      <c r="F1756">
        <v>0.29636400938034058</v>
      </c>
      <c r="G1756">
        <v>40.650001525878906</v>
      </c>
      <c r="H1756">
        <v>0</v>
      </c>
      <c r="I1756">
        <v>11.590000152587891</v>
      </c>
      <c r="J1756">
        <v>620</v>
      </c>
    </row>
    <row r="1757" spans="1:10" x14ac:dyDescent="0.25">
      <c r="A1757">
        <v>5369</v>
      </c>
      <c r="B1757" t="str">
        <v>Om Infra</v>
      </c>
      <c r="C1757">
        <v>32.519638999999998</v>
      </c>
      <c r="D1757">
        <v>66.386085510253906</v>
      </c>
      <c r="E1757">
        <v>54.306312561035156</v>
      </c>
      <c r="F1757">
        <v>0.81803798675537109</v>
      </c>
      <c r="G1757">
        <v>124.33750152587891</v>
      </c>
      <c r="H1757">
        <v>0.12999999523162842</v>
      </c>
      <c r="I1757">
        <v>1181.6500244140625</v>
      </c>
      <c r="J1757">
        <v>1352</v>
      </c>
    </row>
    <row r="1758" spans="1:10" x14ac:dyDescent="0.25">
      <c r="A1758">
        <v>1318</v>
      </c>
      <c r="B1758" t="str">
        <v>Omax Autos</v>
      </c>
      <c r="C1758">
        <v>11.435879999999999</v>
      </c>
      <c r="D1758">
        <v>66.161811828613281</v>
      </c>
      <c r="E1758">
        <v>32.165733337402344</v>
      </c>
      <c r="F1758">
        <v>0.48616799712181091</v>
      </c>
      <c r="G1758">
        <v>86.150001525878906</v>
      </c>
      <c r="H1758">
        <v>0.40999999642372131</v>
      </c>
      <c r="I1758">
        <v>184.67999267578125</v>
      </c>
      <c r="J1758">
        <v>1356</v>
      </c>
    </row>
    <row r="1759" spans="1:10" x14ac:dyDescent="0.25">
      <c r="A1759">
        <v>27738</v>
      </c>
      <c r="B1759" t="str">
        <v>Omaxe</v>
      </c>
      <c r="C1759">
        <v>-7.322603</v>
      </c>
      <c r="D1759">
        <v>90.868736267089844</v>
      </c>
      <c r="E1759">
        <v>30.641664505004883</v>
      </c>
      <c r="F1759">
        <v>0.33720800280570984</v>
      </c>
      <c r="G1759">
        <v>103.85749816894531</v>
      </c>
      <c r="H1759">
        <v>0.20999999344348907</v>
      </c>
      <c r="I1759">
        <v>1873.449951171875</v>
      </c>
      <c r="J1759">
        <v>1359</v>
      </c>
    </row>
    <row r="1760" spans="1:10" x14ac:dyDescent="0.25">
      <c r="A1760">
        <v>14010</v>
      </c>
      <c r="B1760" t="str">
        <v>Omkar Overseas</v>
      </c>
      <c r="C1760">
        <v>42.222479999999997</v>
      </c>
      <c r="D1760">
        <v>2.4378929138183594</v>
      </c>
      <c r="E1760">
        <v>1.4683660268783569</v>
      </c>
      <c r="F1760">
        <v>0.60231000185012817</v>
      </c>
      <c r="G1760">
        <v>7.25</v>
      </c>
      <c r="H1760">
        <v>2.9999999329447746E-2</v>
      </c>
      <c r="I1760">
        <v>3.630000114440918</v>
      </c>
      <c r="J1760">
        <v>490</v>
      </c>
    </row>
    <row r="1761" spans="1:10" x14ac:dyDescent="0.25">
      <c r="A1761">
        <v>35794</v>
      </c>
      <c r="B1761" t="str">
        <v>Omkar Spl.Chem.</v>
      </c>
      <c r="C1761">
        <v>9.3526869999999995</v>
      </c>
      <c r="D1761">
        <v>13.339884757995605</v>
      </c>
      <c r="E1761">
        <v>9.6037321090698242</v>
      </c>
      <c r="F1761">
        <v>0.71992599964141846</v>
      </c>
      <c r="G1761">
        <v>7.4899997711181641</v>
      </c>
      <c r="H1761">
        <v>0</v>
      </c>
      <c r="I1761">
        <v>15.409999847412109</v>
      </c>
      <c r="J1761">
        <v>1124</v>
      </c>
    </row>
    <row r="1762" spans="1:10" x14ac:dyDescent="0.25">
      <c r="A1762">
        <v>20959</v>
      </c>
      <c r="B1762" t="str">
        <v>Omni Ax's</v>
      </c>
      <c r="C1762">
        <v>14.137644999999999</v>
      </c>
      <c r="D1762">
        <v>3.2412219047546387</v>
      </c>
      <c r="E1762">
        <v>1.10663902759552</v>
      </c>
      <c r="F1762">
        <v>0.34142699837684631</v>
      </c>
      <c r="G1762">
        <v>2.7674999237060547</v>
      </c>
      <c r="H1762">
        <v>0</v>
      </c>
      <c r="I1762">
        <v>4.6700000762939453</v>
      </c>
      <c r="J1762">
        <v>1141</v>
      </c>
    </row>
    <row r="1763" spans="1:10" x14ac:dyDescent="0.25">
      <c r="A1763">
        <v>3311</v>
      </c>
      <c r="B1763" t="str">
        <v>Omnitex Industri</v>
      </c>
      <c r="C1763">
        <v>60.523682000000001</v>
      </c>
      <c r="D1763">
        <v>155.94248962402344</v>
      </c>
      <c r="E1763">
        <v>106.19224548339844</v>
      </c>
      <c r="F1763">
        <v>0.68097102642059326</v>
      </c>
      <c r="G1763">
        <v>315.4375</v>
      </c>
      <c r="H1763">
        <v>0</v>
      </c>
      <c r="I1763">
        <v>131.46000671386719</v>
      </c>
      <c r="J1763">
        <v>552</v>
      </c>
    </row>
    <row r="1764" spans="1:10" x14ac:dyDescent="0.25">
      <c r="A1764">
        <v>28301</v>
      </c>
      <c r="B1764" t="str">
        <v>OnMobile Global</v>
      </c>
      <c r="C1764">
        <v>9.90456</v>
      </c>
      <c r="D1764">
        <v>84.88232421875</v>
      </c>
      <c r="E1764">
        <v>34.580039978027344</v>
      </c>
      <c r="F1764">
        <v>0.40738800168037415</v>
      </c>
      <c r="G1764">
        <v>52.284999847412109</v>
      </c>
      <c r="H1764">
        <v>1.9999999552965164E-2</v>
      </c>
      <c r="I1764">
        <v>545</v>
      </c>
      <c r="J1764">
        <v>1359</v>
      </c>
    </row>
    <row r="1765" spans="1:10" x14ac:dyDescent="0.25">
      <c r="A1765">
        <v>3447</v>
      </c>
      <c r="B1765" t="str">
        <v>One Global Serv</v>
      </c>
      <c r="C1765">
        <v>80.255740000000003</v>
      </c>
      <c r="D1765">
        <v>78.1309814453125</v>
      </c>
      <c r="E1765">
        <v>91.568809509277344</v>
      </c>
      <c r="F1765">
        <v>1.1719909906387329</v>
      </c>
      <c r="G1765">
        <v>241.19999694824219</v>
      </c>
      <c r="H1765">
        <v>2.9999999329447746E-2</v>
      </c>
      <c r="I1765">
        <v>170.39999389648438</v>
      </c>
      <c r="J1765">
        <v>1120</v>
      </c>
    </row>
    <row r="1766" spans="1:10" x14ac:dyDescent="0.25">
      <c r="A1766">
        <v>40517</v>
      </c>
      <c r="B1766" t="str">
        <v>Onelife Capital</v>
      </c>
      <c r="C1766">
        <v>13.300634000000001</v>
      </c>
      <c r="D1766">
        <v>13.746945381164551</v>
      </c>
      <c r="E1766">
        <v>4.1943931579589844</v>
      </c>
      <c r="F1766">
        <v>0.30511501431465149</v>
      </c>
      <c r="G1766">
        <v>14.909999847412109</v>
      </c>
      <c r="H1766">
        <v>7.0000000298023224E-2</v>
      </c>
      <c r="I1766">
        <v>20.760000228881836</v>
      </c>
      <c r="J1766">
        <v>1161</v>
      </c>
    </row>
    <row r="1767" spans="1:10" x14ac:dyDescent="0.25">
      <c r="A1767">
        <v>5276</v>
      </c>
      <c r="B1767" t="str">
        <v>Onesource Indus.</v>
      </c>
      <c r="C1767">
        <v>42.023755999999999</v>
      </c>
      <c r="D1767">
        <v>1.2062200307846069</v>
      </c>
      <c r="E1767">
        <v>0.47384598851203918</v>
      </c>
      <c r="F1767">
        <v>0.39283499121665955</v>
      </c>
      <c r="G1767">
        <v>2.5899999141693115</v>
      </c>
      <c r="H1767">
        <v>0.15999999642372131</v>
      </c>
      <c r="I1767">
        <v>134.60000610351563</v>
      </c>
      <c r="J1767">
        <v>504</v>
      </c>
    </row>
    <row r="1768" spans="1:10" x14ac:dyDescent="0.25">
      <c r="A1768">
        <v>1101</v>
      </c>
      <c r="B1768" t="str">
        <v>Onix Solar</v>
      </c>
      <c r="C1768">
        <v>77.801618000000005</v>
      </c>
      <c r="D1768">
        <v>79.351547241210938</v>
      </c>
      <c r="E1768">
        <v>98.897064208984375</v>
      </c>
      <c r="F1768">
        <v>1.2463159561157227</v>
      </c>
      <c r="G1768">
        <v>337.85000610351563</v>
      </c>
      <c r="H1768">
        <v>7.9999998211860657E-2</v>
      </c>
      <c r="I1768">
        <v>66.889999389648438</v>
      </c>
      <c r="J1768">
        <v>860</v>
      </c>
    </row>
    <row r="1769" spans="1:10" x14ac:dyDescent="0.25">
      <c r="A1769">
        <v>7108</v>
      </c>
      <c r="B1769" t="str">
        <v>Ontic Finserve</v>
      </c>
      <c r="C1769">
        <v>-6.7598510000000003</v>
      </c>
      <c r="D1769">
        <v>1.057636022567749</v>
      </c>
      <c r="E1769">
        <v>0.68788802623748779</v>
      </c>
      <c r="F1769">
        <v>0.6504020094871521</v>
      </c>
      <c r="G1769">
        <v>0.83499997854232788</v>
      </c>
      <c r="H1769">
        <v>0</v>
      </c>
      <c r="I1769">
        <v>7.2899999618530273</v>
      </c>
      <c r="J1769">
        <v>1160</v>
      </c>
    </row>
    <row r="1770" spans="1:10" x14ac:dyDescent="0.25">
      <c r="A1770">
        <v>4469</v>
      </c>
      <c r="B1770" t="str">
        <v>Onward Technolog</v>
      </c>
      <c r="C1770">
        <v>29.77552</v>
      </c>
      <c r="D1770">
        <v>289.83181762695313</v>
      </c>
      <c r="E1770">
        <v>163.21688842773438</v>
      </c>
      <c r="F1770">
        <v>0.5631440281867981</v>
      </c>
      <c r="G1770">
        <v>301.64999389648438</v>
      </c>
      <c r="H1770">
        <v>0.11999999731779099</v>
      </c>
      <c r="I1770">
        <v>675.79998779296875</v>
      </c>
      <c r="J1770">
        <v>1352</v>
      </c>
    </row>
    <row r="1771" spans="1:10" x14ac:dyDescent="0.25">
      <c r="A1771">
        <v>5004</v>
      </c>
      <c r="B1771" t="str">
        <v>Optiemus Infra.</v>
      </c>
      <c r="C1771">
        <v>62.263782999999997</v>
      </c>
      <c r="D1771">
        <v>274.0272216796875</v>
      </c>
      <c r="E1771">
        <v>181.69337463378906</v>
      </c>
      <c r="F1771">
        <v>0.66304898262023926</v>
      </c>
      <c r="G1771">
        <v>665.2125244140625</v>
      </c>
      <c r="H1771">
        <v>0</v>
      </c>
      <c r="I1771">
        <v>5760.43994140625</v>
      </c>
      <c r="J1771">
        <v>1359</v>
      </c>
    </row>
    <row r="1772" spans="1:10" x14ac:dyDescent="0.25">
      <c r="A1772">
        <v>5964</v>
      </c>
      <c r="B1772" t="str">
        <v>Optimus Finance</v>
      </c>
      <c r="C1772">
        <v>46.086848000000003</v>
      </c>
      <c r="D1772">
        <v>7.9906659126281738</v>
      </c>
      <c r="E1772">
        <v>5.9640622138977051</v>
      </c>
      <c r="F1772">
        <v>0.74637901782989502</v>
      </c>
      <c r="G1772">
        <v>19.032499313354492</v>
      </c>
      <c r="H1772">
        <v>9.9999997764825821E-3</v>
      </c>
      <c r="I1772">
        <v>139.72999572753906</v>
      </c>
      <c r="J1772">
        <v>1145</v>
      </c>
    </row>
    <row r="1773" spans="1:10" x14ac:dyDescent="0.25">
      <c r="A1773">
        <v>21300</v>
      </c>
      <c r="B1773" t="str">
        <v>Opto Circuits</v>
      </c>
      <c r="C1773">
        <v>-18.021221000000001</v>
      </c>
      <c r="D1773">
        <v>5.0392317771911621</v>
      </c>
      <c r="E1773">
        <v>2.7678859233856201</v>
      </c>
      <c r="F1773">
        <v>0.5492669939994812</v>
      </c>
      <c r="G1773">
        <v>1.8600000143051147</v>
      </c>
      <c r="H1773">
        <v>0.8399999737739563</v>
      </c>
      <c r="I1773">
        <v>53.509998321533203</v>
      </c>
      <c r="J1773">
        <v>491</v>
      </c>
    </row>
    <row r="1774" spans="1:10" x14ac:dyDescent="0.25">
      <c r="A1774">
        <v>13105</v>
      </c>
      <c r="B1774" t="str">
        <v>Oracle Fin.Serv.</v>
      </c>
      <c r="C1774">
        <v>23.315781000000001</v>
      </c>
      <c r="D1774">
        <v>4994.64892578125</v>
      </c>
      <c r="E1774">
        <v>2829.38427734375</v>
      </c>
      <c r="F1774">
        <v>0.5664830207824707</v>
      </c>
      <c r="G1774">
        <v>9480.849609375</v>
      </c>
      <c r="H1774">
        <v>9.9999997764825821E-3</v>
      </c>
      <c r="I1774">
        <v>81017.4765625</v>
      </c>
      <c r="J1774">
        <v>1359</v>
      </c>
    </row>
    <row r="1775" spans="1:10" x14ac:dyDescent="0.25">
      <c r="A1775">
        <v>4524</v>
      </c>
      <c r="B1775" t="str">
        <v>Orbit Exports</v>
      </c>
      <c r="C1775">
        <v>13.260495000000001</v>
      </c>
      <c r="D1775">
        <v>127.79718780517578</v>
      </c>
      <c r="E1775">
        <v>51.61395263671875</v>
      </c>
      <c r="F1775">
        <v>0.40387400984764099</v>
      </c>
      <c r="G1775">
        <v>170.92500305175781</v>
      </c>
      <c r="H1775">
        <v>0.12999999523162842</v>
      </c>
      <c r="I1775">
        <v>448.04000854492188</v>
      </c>
      <c r="J1775">
        <v>1347</v>
      </c>
    </row>
    <row r="1776" spans="1:10" x14ac:dyDescent="0.25">
      <c r="A1776">
        <v>19311</v>
      </c>
      <c r="B1776" t="str">
        <v>Orchasp Ltd</v>
      </c>
      <c r="C1776">
        <v>12.436679</v>
      </c>
      <c r="D1776">
        <v>3.3140420913696289</v>
      </c>
      <c r="E1776">
        <v>1.7476210594177246</v>
      </c>
      <c r="F1776">
        <v>0.52733802795410156</v>
      </c>
      <c r="G1776">
        <v>2.7850000858306885</v>
      </c>
      <c r="H1776">
        <v>0.17000000178813934</v>
      </c>
      <c r="I1776">
        <v>88.519996643066406</v>
      </c>
      <c r="J1776">
        <v>1359</v>
      </c>
    </row>
    <row r="1777" spans="1:10" x14ac:dyDescent="0.25">
      <c r="A1777">
        <v>5950</v>
      </c>
      <c r="B1777" t="str">
        <v>Organic Coatings</v>
      </c>
      <c r="C1777">
        <v>29.885701999999998</v>
      </c>
      <c r="D1777">
        <v>10.157361030578613</v>
      </c>
      <c r="E1777">
        <v>5.3441648483276367</v>
      </c>
      <c r="F1777">
        <v>0.52613699436187744</v>
      </c>
      <c r="G1777">
        <v>14.520000457763672</v>
      </c>
      <c r="H1777">
        <v>0</v>
      </c>
      <c r="I1777">
        <v>14.479999542236328</v>
      </c>
      <c r="J1777">
        <v>969</v>
      </c>
    </row>
    <row r="1778" spans="1:10" x14ac:dyDescent="0.25">
      <c r="A1778">
        <v>805</v>
      </c>
      <c r="B1778" t="str">
        <v>Oricon Enterpris</v>
      </c>
      <c r="C1778">
        <v>15.669670999999999</v>
      </c>
      <c r="D1778">
        <v>29.0218505859375</v>
      </c>
      <c r="E1778">
        <v>8.5816240310668945</v>
      </c>
      <c r="F1778">
        <v>0.29569500684738159</v>
      </c>
      <c r="G1778">
        <v>44.284999847412109</v>
      </c>
      <c r="H1778">
        <v>0.23999999463558197</v>
      </c>
      <c r="I1778">
        <v>691.6400146484375</v>
      </c>
      <c r="J1778">
        <v>1359</v>
      </c>
    </row>
    <row r="1779" spans="1:10" x14ac:dyDescent="0.25">
      <c r="A1779">
        <v>2036</v>
      </c>
      <c r="B1779" t="str">
        <v>Orient Bell</v>
      </c>
      <c r="C1779">
        <v>15.005694</v>
      </c>
      <c r="D1779">
        <v>354.75933837890625</v>
      </c>
      <c r="E1779">
        <v>165.15655517578125</v>
      </c>
      <c r="F1779">
        <v>0.46554499864578247</v>
      </c>
      <c r="G1779">
        <v>297.35000610351563</v>
      </c>
      <c r="H1779">
        <v>9.0000003576278687E-2</v>
      </c>
      <c r="I1779">
        <v>426.01998901367188</v>
      </c>
      <c r="J1779">
        <v>1357</v>
      </c>
    </row>
    <row r="1780" spans="1:10" x14ac:dyDescent="0.25">
      <c r="A1780">
        <v>17600</v>
      </c>
      <c r="B1780" t="str">
        <v>Orient Cement</v>
      </c>
      <c r="C1780">
        <v>23.597767999999999</v>
      </c>
      <c r="D1780">
        <v>169.92408752441406</v>
      </c>
      <c r="E1780">
        <v>90.895896911621094</v>
      </c>
      <c r="F1780">
        <v>0.53492099046707153</v>
      </c>
      <c r="G1780">
        <v>249.92500305175781</v>
      </c>
      <c r="H1780">
        <v>0.17000000178813934</v>
      </c>
      <c r="I1780">
        <v>5032.740234375</v>
      </c>
      <c r="J1780">
        <v>1359</v>
      </c>
    </row>
    <row r="1781" spans="1:10" x14ac:dyDescent="0.25">
      <c r="A1781">
        <v>419</v>
      </c>
      <c r="B1781" t="str">
        <v>Orient Ceratech</v>
      </c>
      <c r="C1781">
        <v>15.323967</v>
      </c>
      <c r="D1781">
        <v>32.626937866210938</v>
      </c>
      <c r="E1781">
        <v>12.290946006774902</v>
      </c>
      <c r="F1781">
        <v>0.37671199440956116</v>
      </c>
      <c r="G1781">
        <v>35.375</v>
      </c>
      <c r="H1781">
        <v>0.14000000059604645</v>
      </c>
      <c r="I1781">
        <v>417.29998779296875</v>
      </c>
      <c r="J1781">
        <v>1357</v>
      </c>
    </row>
    <row r="1782" spans="1:10" x14ac:dyDescent="0.25">
      <c r="A1782">
        <v>71670</v>
      </c>
      <c r="B1782" t="str">
        <v>Orient Electric</v>
      </c>
      <c r="C1782">
        <v>2.4807190000000001</v>
      </c>
      <c r="D1782">
        <v>254.25234985351563</v>
      </c>
      <c r="E1782">
        <v>49.843326568603516</v>
      </c>
      <c r="F1782">
        <v>0.19603900611400604</v>
      </c>
      <c r="G1782">
        <v>219.47500610351563</v>
      </c>
      <c r="H1782">
        <v>0.17000000178813934</v>
      </c>
      <c r="I1782">
        <v>4644.97998046875</v>
      </c>
      <c r="J1782">
        <v>1359</v>
      </c>
    </row>
    <row r="1783" spans="1:10" x14ac:dyDescent="0.25">
      <c r="A1783">
        <v>39716</v>
      </c>
      <c r="B1783" t="str">
        <v>Orient Green</v>
      </c>
      <c r="C1783">
        <v>37.637839</v>
      </c>
      <c r="D1783">
        <v>9.5957660675048828</v>
      </c>
      <c r="E1783">
        <v>6.9105668067932129</v>
      </c>
      <c r="F1783">
        <v>0.72016799449920654</v>
      </c>
      <c r="G1783">
        <v>13.472499847412109</v>
      </c>
      <c r="H1783">
        <v>7.0000000298023224E-2</v>
      </c>
      <c r="I1783">
        <v>1556.6099853515625</v>
      </c>
      <c r="J1783">
        <v>1359</v>
      </c>
    </row>
    <row r="1784" spans="1:10" x14ac:dyDescent="0.25">
      <c r="A1784">
        <v>420</v>
      </c>
      <c r="B1784" t="str">
        <v>Orient Paper</v>
      </c>
      <c r="C1784">
        <v>1.19598</v>
      </c>
      <c r="D1784">
        <v>33.632450103759766</v>
      </c>
      <c r="E1784">
        <v>11.060303688049316</v>
      </c>
      <c r="F1784">
        <v>0.32885798811912537</v>
      </c>
      <c r="G1784">
        <v>28.182500839233398</v>
      </c>
      <c r="H1784">
        <v>0.18999999761581421</v>
      </c>
      <c r="I1784">
        <v>590.09002685546875</v>
      </c>
      <c r="J1784">
        <v>1359</v>
      </c>
    </row>
    <row r="1785" spans="1:10" x14ac:dyDescent="0.25">
      <c r="A1785">
        <v>6827</v>
      </c>
      <c r="B1785" t="str">
        <v>Orient Tradelink</v>
      </c>
      <c r="C1785">
        <v>8.4260760000000001</v>
      </c>
      <c r="D1785">
        <v>11.519247055053711</v>
      </c>
      <c r="E1785">
        <v>6.4500598907470703</v>
      </c>
      <c r="F1785">
        <v>0.55993801355361938</v>
      </c>
      <c r="G1785">
        <v>22.555000305175781</v>
      </c>
      <c r="H1785">
        <v>0.25999999046325684</v>
      </c>
      <c r="I1785">
        <v>57.349998474121094</v>
      </c>
      <c r="J1785">
        <v>1321</v>
      </c>
    </row>
    <row r="1786" spans="1:10" x14ac:dyDescent="0.25">
      <c r="A1786">
        <v>100</v>
      </c>
      <c r="B1786" t="str">
        <v>Oriental Aromat.</v>
      </c>
      <c r="C1786">
        <v>14.188021000000001</v>
      </c>
      <c r="D1786">
        <v>475.57339477539063</v>
      </c>
      <c r="E1786">
        <v>194.84608459472656</v>
      </c>
      <c r="F1786">
        <v>0.40970799326896667</v>
      </c>
      <c r="G1786">
        <v>381.36248779296875</v>
      </c>
      <c r="H1786">
        <v>0.31999999284744263</v>
      </c>
      <c r="I1786">
        <v>1271.0999755859375</v>
      </c>
      <c r="J1786">
        <v>1359</v>
      </c>
    </row>
    <row r="1787" spans="1:10" x14ac:dyDescent="0.25">
      <c r="A1787">
        <v>755</v>
      </c>
      <c r="B1787" t="str">
        <v>Oriental Carbon</v>
      </c>
      <c r="C1787">
        <v>-1.47523</v>
      </c>
      <c r="D1787">
        <v>211.68215942382813</v>
      </c>
      <c r="E1787">
        <v>35.922214508056641</v>
      </c>
      <c r="F1787">
        <v>0.16969899833202362</v>
      </c>
      <c r="G1787">
        <v>235.92500305175781</v>
      </c>
      <c r="H1787">
        <v>0.25</v>
      </c>
      <c r="I1787">
        <v>233.8699951171875</v>
      </c>
      <c r="J1787">
        <v>1359</v>
      </c>
    </row>
    <row r="1788" spans="1:10" x14ac:dyDescent="0.25">
      <c r="A1788">
        <v>421</v>
      </c>
      <c r="B1788" t="str">
        <v>Oriental Hotels</v>
      </c>
      <c r="C1788">
        <v>28.249428999999999</v>
      </c>
      <c r="D1788">
        <v>78.275283813476563</v>
      </c>
      <c r="E1788">
        <v>50.104000091552734</v>
      </c>
      <c r="F1788">
        <v>0.64010000228881836</v>
      </c>
      <c r="G1788">
        <v>147.48750305175781</v>
      </c>
      <c r="H1788">
        <v>0.5899999737739563</v>
      </c>
      <c r="I1788">
        <v>2614.68994140625</v>
      </c>
      <c r="J1788">
        <v>1356</v>
      </c>
    </row>
    <row r="1789" spans="1:10" x14ac:dyDescent="0.25">
      <c r="A1789">
        <v>15746</v>
      </c>
      <c r="B1789" t="str">
        <v>Oriental Rail</v>
      </c>
      <c r="C1789">
        <v>21.558620999999999</v>
      </c>
      <c r="D1789">
        <v>124.59361267089844</v>
      </c>
      <c r="E1789">
        <v>91.439125061035156</v>
      </c>
      <c r="F1789">
        <v>0.73389899730682373</v>
      </c>
      <c r="G1789">
        <v>154.64999389648438</v>
      </c>
      <c r="H1789">
        <v>0.28999999165534973</v>
      </c>
      <c r="I1789">
        <v>998.4000244140625</v>
      </c>
      <c r="J1789">
        <v>1359</v>
      </c>
    </row>
    <row r="1790" spans="1:10" x14ac:dyDescent="0.25">
      <c r="A1790">
        <v>27441</v>
      </c>
      <c r="B1790" t="str">
        <v>Oriental Trimex</v>
      </c>
      <c r="C1790">
        <v>14.022596</v>
      </c>
      <c r="D1790">
        <v>8.0929403305053711</v>
      </c>
      <c r="E1790">
        <v>2.3935449123382568</v>
      </c>
      <c r="F1790">
        <v>0.295756995677948</v>
      </c>
      <c r="G1790">
        <v>16.920000076293945</v>
      </c>
      <c r="H1790">
        <v>0.76999998092651367</v>
      </c>
      <c r="I1790">
        <v>120.84999847412109</v>
      </c>
      <c r="J1790">
        <v>1333</v>
      </c>
    </row>
    <row r="1791" spans="1:10" x14ac:dyDescent="0.25">
      <c r="A1791">
        <v>72340</v>
      </c>
      <c r="B1791" t="str">
        <v>Orissa Bengal</v>
      </c>
      <c r="C1791">
        <v>4.4484199999999996</v>
      </c>
      <c r="D1791">
        <v>77.629707336425781</v>
      </c>
      <c r="E1791">
        <v>50.701328277587891</v>
      </c>
      <c r="F1791">
        <v>0.65311801433563232</v>
      </c>
      <c r="G1791">
        <v>55.157501220703125</v>
      </c>
      <c r="H1791">
        <v>9.0000003576278687E-2</v>
      </c>
      <c r="I1791">
        <v>116.73999786376953</v>
      </c>
      <c r="J1791">
        <v>1121</v>
      </c>
    </row>
    <row r="1792" spans="1:10" x14ac:dyDescent="0.25">
      <c r="A1792">
        <v>22980</v>
      </c>
      <c r="B1792" t="str">
        <v>Orissa Minerals</v>
      </c>
      <c r="C1792">
        <v>25.092452000000002</v>
      </c>
      <c r="D1792">
        <v>3918.70166015625</v>
      </c>
      <c r="E1792">
        <v>2083.7998046875</v>
      </c>
      <c r="F1792">
        <v>0.53175801038742065</v>
      </c>
      <c r="G1792">
        <v>4825.8251953125</v>
      </c>
      <c r="H1792">
        <v>0</v>
      </c>
      <c r="I1792">
        <v>2870.25</v>
      </c>
      <c r="J1792">
        <v>1359</v>
      </c>
    </row>
    <row r="1793" spans="1:10" x14ac:dyDescent="0.25">
      <c r="A1793">
        <v>14185</v>
      </c>
      <c r="B1793" t="str">
        <v>Ortel Commu.</v>
      </c>
      <c r="C1793">
        <v>27.444123000000001</v>
      </c>
      <c r="D1793">
        <v>1.243217945098877</v>
      </c>
      <c r="E1793">
        <v>0.39026200771331787</v>
      </c>
      <c r="F1793">
        <v>0.31391298770904541</v>
      </c>
      <c r="G1793">
        <v>2.0799999237060547</v>
      </c>
      <c r="H1793">
        <v>0</v>
      </c>
      <c r="I1793">
        <v>6.7600002288818359</v>
      </c>
      <c r="J1793">
        <v>728</v>
      </c>
    </row>
    <row r="1794" spans="1:10" x14ac:dyDescent="0.25">
      <c r="A1794">
        <v>17472</v>
      </c>
      <c r="B1794" t="str">
        <v>Ortin Global</v>
      </c>
      <c r="C1794">
        <v>3.8503080000000001</v>
      </c>
      <c r="D1794">
        <v>21.428333282470703</v>
      </c>
      <c r="E1794">
        <v>6.4601750373840332</v>
      </c>
      <c r="F1794">
        <v>0.30147799849510193</v>
      </c>
      <c r="G1794">
        <v>12.147500038146973</v>
      </c>
      <c r="H1794">
        <v>0.60000002384185791</v>
      </c>
      <c r="I1794">
        <v>9.9600000381469727</v>
      </c>
      <c r="J1794">
        <v>1304</v>
      </c>
    </row>
    <row r="1795" spans="1:10" x14ac:dyDescent="0.25">
      <c r="A1795">
        <v>4875</v>
      </c>
      <c r="B1795" t="str">
        <v>Oscar Global</v>
      </c>
      <c r="C1795">
        <v>6.3314440000000003</v>
      </c>
      <c r="D1795">
        <v>8.9797554016113281</v>
      </c>
      <c r="E1795">
        <v>4.2046041488647461</v>
      </c>
      <c r="F1795">
        <v>0.46823099255561829</v>
      </c>
      <c r="G1795">
        <v>10</v>
      </c>
      <c r="H1795">
        <v>0</v>
      </c>
      <c r="I1795">
        <v>3.2999999523162842</v>
      </c>
      <c r="J1795">
        <v>776</v>
      </c>
    </row>
    <row r="1796" spans="1:10" x14ac:dyDescent="0.25">
      <c r="A1796">
        <v>7595</v>
      </c>
      <c r="B1796" t="str">
        <v>Osiajee Texfab</v>
      </c>
      <c r="C1796">
        <v>37.500217999999997</v>
      </c>
      <c r="D1796">
        <v>49.886497497558594</v>
      </c>
      <c r="E1796">
        <v>35.322017669677734</v>
      </c>
      <c r="F1796">
        <v>0.70804798603057861</v>
      </c>
      <c r="G1796">
        <v>248.5</v>
      </c>
      <c r="H1796">
        <v>1.9999999552965164E-2</v>
      </c>
      <c r="I1796">
        <v>133.64999389648438</v>
      </c>
      <c r="J1796">
        <v>1359</v>
      </c>
    </row>
    <row r="1797" spans="1:10" x14ac:dyDescent="0.25">
      <c r="A1797">
        <v>425</v>
      </c>
      <c r="B1797" t="str">
        <v>Oswal Agro Mills</v>
      </c>
      <c r="C1797">
        <v>55.333556999999999</v>
      </c>
      <c r="D1797">
        <v>33.626735687255859</v>
      </c>
      <c r="E1797">
        <v>22.435085296630859</v>
      </c>
      <c r="F1797">
        <v>0.66718000173568726</v>
      </c>
      <c r="G1797">
        <v>88.349998474121094</v>
      </c>
      <c r="H1797">
        <v>0</v>
      </c>
      <c r="I1797">
        <v>1160.8199462890625</v>
      </c>
      <c r="J1797">
        <v>1359</v>
      </c>
    </row>
    <row r="1798" spans="1:10" x14ac:dyDescent="0.25">
      <c r="A1798">
        <v>641</v>
      </c>
      <c r="B1798" t="str">
        <v>Oswal Green Tech</v>
      </c>
      <c r="C1798">
        <v>29.327925</v>
      </c>
      <c r="D1798">
        <v>26.554742813110352</v>
      </c>
      <c r="E1798">
        <v>11.469599723815918</v>
      </c>
      <c r="F1798">
        <v>0.43192300200462341</v>
      </c>
      <c r="G1798">
        <v>43.727500915527344</v>
      </c>
      <c r="H1798">
        <v>0</v>
      </c>
      <c r="I1798">
        <v>1107.3599853515625</v>
      </c>
      <c r="J1798">
        <v>1357</v>
      </c>
    </row>
    <row r="1799" spans="1:10" x14ac:dyDescent="0.25">
      <c r="A1799">
        <v>4331</v>
      </c>
      <c r="B1799" t="str">
        <v>Oswal Yarns</v>
      </c>
      <c r="C1799">
        <v>37.186059999999998</v>
      </c>
      <c r="D1799">
        <v>19.01727294921875</v>
      </c>
      <c r="E1799">
        <v>21.628877639770508</v>
      </c>
      <c r="F1799">
        <v>1.137328028678894</v>
      </c>
      <c r="G1799">
        <v>37.712501525878906</v>
      </c>
      <c r="H1799">
        <v>0.10999999940395355</v>
      </c>
      <c r="I1799">
        <v>14.840000152587891</v>
      </c>
      <c r="J1799">
        <v>769</v>
      </c>
    </row>
    <row r="1800" spans="1:10" x14ac:dyDescent="0.25">
      <c r="A1800">
        <v>5864</v>
      </c>
      <c r="B1800" t="str">
        <v>Ovobel Foods</v>
      </c>
      <c r="C1800">
        <v>34.706834999999998</v>
      </c>
      <c r="D1800">
        <v>131.06866455078125</v>
      </c>
      <c r="E1800">
        <v>94.662826538085938</v>
      </c>
      <c r="F1800">
        <v>0.72223800420761108</v>
      </c>
      <c r="G1800">
        <v>111.48750305175781</v>
      </c>
      <c r="H1800">
        <v>0.36000001430511475</v>
      </c>
      <c r="I1800">
        <v>117.55999755859375</v>
      </c>
      <c r="J1800">
        <v>1106</v>
      </c>
    </row>
    <row r="1801" spans="1:10" x14ac:dyDescent="0.25">
      <c r="A1801">
        <v>149</v>
      </c>
      <c r="B1801" t="str">
        <v>P &amp; G Health Ltd</v>
      </c>
      <c r="C1801">
        <v>5.4136470000000001</v>
      </c>
      <c r="D1801">
        <v>5030.67041015625</v>
      </c>
      <c r="E1801">
        <v>727.5709228515625</v>
      </c>
      <c r="F1801">
        <v>0.14462700486183167</v>
      </c>
      <c r="G1801">
        <v>5890.47509765625</v>
      </c>
      <c r="H1801">
        <v>1.9999999552965164E-2</v>
      </c>
      <c r="I1801">
        <v>9713.7900390625</v>
      </c>
      <c r="J1801">
        <v>1359</v>
      </c>
    </row>
    <row r="1802" spans="1:10" x14ac:dyDescent="0.25">
      <c r="A1802">
        <v>480</v>
      </c>
      <c r="B1802" t="str">
        <v>P &amp; G Hygiene</v>
      </c>
      <c r="C1802">
        <v>2.9127869999999998</v>
      </c>
      <c r="D1802">
        <v>13970.0048828125</v>
      </c>
      <c r="E1802">
        <v>2146.86962890625</v>
      </c>
      <c r="F1802">
        <v>0.15367700159549713</v>
      </c>
      <c r="G1802">
        <v>13401.4501953125</v>
      </c>
      <c r="H1802">
        <v>0</v>
      </c>
      <c r="I1802">
        <v>43598.01171875</v>
      </c>
      <c r="J1802">
        <v>1359</v>
      </c>
    </row>
    <row r="1803" spans="1:10" x14ac:dyDescent="0.25">
      <c r="A1803">
        <v>2650</v>
      </c>
      <c r="B1803" t="str">
        <v>P I Industries</v>
      </c>
      <c r="C1803">
        <v>19.574856</v>
      </c>
      <c r="D1803">
        <v>3021.07666015625</v>
      </c>
      <c r="E1803">
        <v>802.82562255859375</v>
      </c>
      <c r="F1803">
        <v>0.26574200391769409</v>
      </c>
      <c r="G1803">
        <v>4123.1123046875</v>
      </c>
      <c r="H1803">
        <v>0</v>
      </c>
      <c r="I1803">
        <v>62276.48828125</v>
      </c>
      <c r="J1803">
        <v>1359</v>
      </c>
    </row>
    <row r="1804" spans="1:10" x14ac:dyDescent="0.25">
      <c r="A1804">
        <v>4579</v>
      </c>
      <c r="B1804" t="str">
        <v>P. H. Capital</v>
      </c>
      <c r="C1804">
        <v>58.308931999999999</v>
      </c>
      <c r="D1804">
        <v>107.07981109619141</v>
      </c>
      <c r="E1804">
        <v>75.237205505371094</v>
      </c>
      <c r="F1804">
        <v>0.70262700319290161</v>
      </c>
      <c r="G1804">
        <v>190.03750610351563</v>
      </c>
      <c r="H1804">
        <v>2.9999999329447746E-2</v>
      </c>
      <c r="I1804">
        <v>56.069999694824219</v>
      </c>
      <c r="J1804">
        <v>1206</v>
      </c>
    </row>
    <row r="1805" spans="1:10" x14ac:dyDescent="0.25">
      <c r="A1805">
        <v>2818</v>
      </c>
      <c r="B1805" t="str">
        <v>P.M. Telelinnks</v>
      </c>
      <c r="C1805">
        <v>8.9700839999999999</v>
      </c>
      <c r="D1805">
        <v>5.4361019134521484</v>
      </c>
      <c r="E1805">
        <v>1.6847139596939087</v>
      </c>
      <c r="F1805">
        <v>0.30991199612617493</v>
      </c>
      <c r="G1805">
        <v>6.2699999809265137</v>
      </c>
      <c r="H1805">
        <v>0</v>
      </c>
      <c r="I1805">
        <v>6.320000171661377</v>
      </c>
      <c r="J1805">
        <v>1036</v>
      </c>
    </row>
    <row r="1806" spans="1:10" x14ac:dyDescent="0.25">
      <c r="A1806">
        <v>1729</v>
      </c>
      <c r="B1806" t="str">
        <v>PAE</v>
      </c>
      <c r="C1806">
        <v>8.2262439999999994</v>
      </c>
      <c r="D1806">
        <v>6.0712418556213379</v>
      </c>
      <c r="E1806">
        <v>2.1206169128417969</v>
      </c>
      <c r="F1806">
        <v>0.34928900003433228</v>
      </c>
      <c r="G1806">
        <v>4.8249998092651367</v>
      </c>
      <c r="H1806">
        <v>0</v>
      </c>
      <c r="I1806">
        <v>4.7899999618530273</v>
      </c>
      <c r="J1806">
        <v>690</v>
      </c>
    </row>
    <row r="1807" spans="1:10" x14ac:dyDescent="0.25">
      <c r="A1807">
        <v>1050</v>
      </c>
      <c r="B1807" t="str">
        <v>PBM Polytex</v>
      </c>
      <c r="C1807">
        <v>13.290297000000001</v>
      </c>
      <c r="D1807">
        <v>91.576652526855469</v>
      </c>
      <c r="E1807">
        <v>36.711353302001953</v>
      </c>
      <c r="F1807">
        <v>0.40088099241256714</v>
      </c>
      <c r="G1807">
        <v>71.467498779296875</v>
      </c>
      <c r="H1807">
        <v>9.9999997764825821E-3</v>
      </c>
      <c r="I1807">
        <v>48.5</v>
      </c>
      <c r="J1807">
        <v>1326</v>
      </c>
    </row>
    <row r="1808" spans="1:10" x14ac:dyDescent="0.25">
      <c r="A1808">
        <v>435</v>
      </c>
      <c r="B1808" t="str">
        <v>PCBL Chemical</v>
      </c>
      <c r="C1808">
        <v>35.431539000000001</v>
      </c>
      <c r="D1808">
        <v>180.17573547363281</v>
      </c>
      <c r="E1808">
        <v>126.46297454833984</v>
      </c>
      <c r="F1808">
        <v>0.70188701152801514</v>
      </c>
      <c r="G1808">
        <v>387.04998779296875</v>
      </c>
      <c r="H1808">
        <v>0.61000001430511475</v>
      </c>
      <c r="I1808">
        <v>14639.8896484375</v>
      </c>
      <c r="J1808">
        <v>1359</v>
      </c>
    </row>
    <row r="1809" spans="1:10" x14ac:dyDescent="0.25">
      <c r="A1809">
        <v>1041</v>
      </c>
      <c r="B1809" t="str">
        <v>PCS Technology</v>
      </c>
      <c r="C1809">
        <v>37.448082999999997</v>
      </c>
      <c r="D1809">
        <v>17.053459167480469</v>
      </c>
      <c r="E1809">
        <v>9.3189411163330078</v>
      </c>
      <c r="F1809">
        <v>0.5464550256729126</v>
      </c>
      <c r="G1809">
        <v>27.647499084472656</v>
      </c>
      <c r="H1809">
        <v>0</v>
      </c>
      <c r="I1809">
        <v>57.630001068115234</v>
      </c>
      <c r="J1809">
        <v>1314</v>
      </c>
    </row>
    <row r="1810" spans="1:10" x14ac:dyDescent="0.25">
      <c r="A1810">
        <v>43069</v>
      </c>
      <c r="B1810" t="str">
        <v>PDS</v>
      </c>
      <c r="C1810">
        <v>35.597574000000002</v>
      </c>
      <c r="D1810">
        <v>320.12939453125</v>
      </c>
      <c r="E1810">
        <v>168.57196044921875</v>
      </c>
      <c r="F1810">
        <v>0.52657401561737061</v>
      </c>
      <c r="G1810">
        <v>407.73748779296875</v>
      </c>
      <c r="H1810">
        <v>0.17000000178813934</v>
      </c>
      <c r="I1810">
        <v>5681.14990234375</v>
      </c>
      <c r="J1810">
        <v>1352</v>
      </c>
    </row>
    <row r="1811" spans="1:10" x14ac:dyDescent="0.25">
      <c r="A1811">
        <v>5931</v>
      </c>
      <c r="B1811" t="str">
        <v>PFL Infotech</v>
      </c>
      <c r="C1811">
        <v>14.996649</v>
      </c>
      <c r="D1811">
        <v>4.6580328941345215</v>
      </c>
      <c r="E1811">
        <v>2.3446519374847412</v>
      </c>
      <c r="F1811">
        <v>0.50335699319839478</v>
      </c>
      <c r="G1811">
        <v>13.310000419616699</v>
      </c>
      <c r="H1811">
        <v>9.9999997764825821E-3</v>
      </c>
      <c r="I1811">
        <v>9.9600000381469727</v>
      </c>
      <c r="J1811">
        <v>230</v>
      </c>
    </row>
    <row r="1812" spans="1:10" x14ac:dyDescent="0.25">
      <c r="A1812">
        <v>38220</v>
      </c>
      <c r="B1812" t="str">
        <v>PG Electroplast</v>
      </c>
      <c r="C1812">
        <v>100.14245099999999</v>
      </c>
      <c r="D1812">
        <v>201.67257690429688</v>
      </c>
      <c r="E1812">
        <v>260.69210815429688</v>
      </c>
      <c r="F1812">
        <v>1.2926499843597412</v>
      </c>
      <c r="G1812">
        <v>761.2750244140625</v>
      </c>
      <c r="H1812">
        <v>0.20999999344348907</v>
      </c>
      <c r="I1812">
        <v>21144.740234375</v>
      </c>
      <c r="J1812">
        <v>1359</v>
      </c>
    </row>
    <row r="1813" spans="1:10" x14ac:dyDescent="0.25">
      <c r="A1813">
        <v>4583</v>
      </c>
      <c r="B1813" t="str">
        <v>PG Foils</v>
      </c>
      <c r="C1813">
        <v>22.621169999999999</v>
      </c>
      <c r="D1813">
        <v>207.85879516601563</v>
      </c>
      <c r="E1813">
        <v>102.31533813476563</v>
      </c>
      <c r="F1813">
        <v>0.49223500490188599</v>
      </c>
      <c r="G1813">
        <v>268.61248779296875</v>
      </c>
      <c r="H1813">
        <v>0.33000001311302185</v>
      </c>
      <c r="I1813">
        <v>308.1400146484375</v>
      </c>
      <c r="J1813">
        <v>1357</v>
      </c>
    </row>
    <row r="1814" spans="1:10" x14ac:dyDescent="0.25">
      <c r="A1814">
        <v>41285</v>
      </c>
      <c r="B1814" t="str">
        <v>PMC Fincorp</v>
      </c>
      <c r="C1814">
        <v>45.849922999999997</v>
      </c>
      <c r="D1814">
        <v>2.2251598834991455</v>
      </c>
      <c r="E1814">
        <v>1.4934079647064209</v>
      </c>
      <c r="F1814">
        <v>0.6711459755897522</v>
      </c>
      <c r="G1814">
        <v>2.2574999332427979</v>
      </c>
      <c r="H1814">
        <v>0.20999999344348907</v>
      </c>
      <c r="I1814">
        <v>160.22000122070313</v>
      </c>
      <c r="J1814">
        <v>1359</v>
      </c>
    </row>
    <row r="1815" spans="1:10" x14ac:dyDescent="0.25">
      <c r="A1815">
        <v>28695</v>
      </c>
      <c r="B1815" t="str">
        <v>PNC Infratech</v>
      </c>
      <c r="C1815">
        <v>7.8143330000000004</v>
      </c>
      <c r="D1815">
        <v>289.49630737304688</v>
      </c>
      <c r="E1815">
        <v>93.876182556152344</v>
      </c>
      <c r="F1815">
        <v>0.32427400350570679</v>
      </c>
      <c r="G1815">
        <v>296.82501220703125</v>
      </c>
      <c r="H1815">
        <v>0.10000000149011612</v>
      </c>
      <c r="I1815">
        <v>7555.080078125</v>
      </c>
      <c r="J1815">
        <v>1359</v>
      </c>
    </row>
    <row r="1816" spans="1:10" x14ac:dyDescent="0.25">
      <c r="A1816">
        <v>23818</v>
      </c>
      <c r="B1816" t="str">
        <v>PPAP Automotive</v>
      </c>
      <c r="C1816">
        <v>3.4990969999999999</v>
      </c>
      <c r="D1816">
        <v>213.51939392089844</v>
      </c>
      <c r="E1816">
        <v>30.171903610229492</v>
      </c>
      <c r="F1816">
        <v>0.14130799472332001</v>
      </c>
      <c r="G1816">
        <v>232.57499694824219</v>
      </c>
      <c r="H1816">
        <v>0.41999998688697815</v>
      </c>
      <c r="I1816">
        <v>326.45001220703125</v>
      </c>
      <c r="J1816">
        <v>1353</v>
      </c>
    </row>
    <row r="1817" spans="1:10" x14ac:dyDescent="0.25">
      <c r="A1817">
        <v>69794</v>
      </c>
      <c r="B1817" t="str">
        <v>PSP Projects</v>
      </c>
      <c r="C1817">
        <v>7.671888</v>
      </c>
      <c r="D1817">
        <v>578.60870361328125</v>
      </c>
      <c r="E1817">
        <v>130.29391479492188</v>
      </c>
      <c r="F1817">
        <v>0.22518500685691833</v>
      </c>
      <c r="G1817">
        <v>752.125</v>
      </c>
      <c r="H1817">
        <v>0.34999999403953552</v>
      </c>
      <c r="I1817">
        <v>2933.489990234375</v>
      </c>
      <c r="J1817">
        <v>1359</v>
      </c>
    </row>
    <row r="1818" spans="1:10" x14ac:dyDescent="0.25">
      <c r="A1818">
        <v>20076</v>
      </c>
      <c r="B1818" t="str">
        <v>PTC India</v>
      </c>
      <c r="C1818">
        <v>20.876356999999999</v>
      </c>
      <c r="D1818">
        <v>114.25172424316406</v>
      </c>
      <c r="E1818">
        <v>54.366306304931641</v>
      </c>
      <c r="F1818">
        <v>0.47584700584411621</v>
      </c>
      <c r="G1818">
        <v>172.17500305175781</v>
      </c>
      <c r="H1818">
        <v>7.0000000298023224E-2</v>
      </c>
      <c r="I1818">
        <v>5026.22021484375</v>
      </c>
      <c r="J1818">
        <v>1359</v>
      </c>
    </row>
    <row r="1819" spans="1:10" x14ac:dyDescent="0.25">
      <c r="A1819">
        <v>5380</v>
      </c>
      <c r="B1819" t="str">
        <v>PTC Industries</v>
      </c>
      <c r="C1819">
        <v>93.535032999999999</v>
      </c>
      <c r="D1819">
        <v>4503.54638671875</v>
      </c>
      <c r="E1819">
        <v>4909.81689453125</v>
      </c>
      <c r="F1819">
        <v>1.090211033821106</v>
      </c>
      <c r="G1819">
        <v>14557</v>
      </c>
      <c r="H1819">
        <v>0.31000000238418579</v>
      </c>
      <c r="I1819">
        <v>21513.91015625</v>
      </c>
      <c r="J1819">
        <v>1349</v>
      </c>
    </row>
    <row r="1820" spans="1:10" x14ac:dyDescent="0.25">
      <c r="A1820">
        <v>1322</v>
      </c>
      <c r="B1820" t="str">
        <v>PTL Enterprises</v>
      </c>
      <c r="C1820">
        <v>14.471645000000001</v>
      </c>
      <c r="D1820">
        <v>31.468952178955078</v>
      </c>
      <c r="E1820">
        <v>9.4251384735107422</v>
      </c>
      <c r="F1820">
        <v>0.29950600862503052</v>
      </c>
      <c r="G1820">
        <v>40.9375</v>
      </c>
      <c r="H1820">
        <v>5.000000074505806E-2</v>
      </c>
      <c r="I1820">
        <v>540.3599853515625</v>
      </c>
      <c r="J1820">
        <v>1355</v>
      </c>
    </row>
    <row r="1821" spans="1:10" x14ac:dyDescent="0.25">
      <c r="A1821">
        <v>21208</v>
      </c>
      <c r="B1821" t="str">
        <v>PVV Infra Ltd</v>
      </c>
      <c r="C1821">
        <v>3.515218</v>
      </c>
      <c r="D1821">
        <v>5.8990020751953125</v>
      </c>
      <c r="E1821">
        <v>3.2104260921478271</v>
      </c>
      <c r="F1821">
        <v>0.54423201084136963</v>
      </c>
      <c r="G1821">
        <v>5.809999942779541</v>
      </c>
      <c r="H1821">
        <v>3.9999999105930328E-2</v>
      </c>
      <c r="I1821">
        <v>33.900001525878906</v>
      </c>
      <c r="J1821">
        <v>1354</v>
      </c>
    </row>
    <row r="1822" spans="1:10" x14ac:dyDescent="0.25">
      <c r="A1822">
        <v>2262</v>
      </c>
      <c r="B1822" t="str">
        <v>Pacific Inds</v>
      </c>
      <c r="C1822">
        <v>25.307447</v>
      </c>
      <c r="D1822">
        <v>198.15301513671875</v>
      </c>
      <c r="E1822">
        <v>93.110977172851563</v>
      </c>
      <c r="F1822">
        <v>0.46989399194717407</v>
      </c>
      <c r="G1822">
        <v>213.83749389648438</v>
      </c>
      <c r="H1822">
        <v>0.37999999523162842</v>
      </c>
      <c r="I1822">
        <v>145.57000732421875</v>
      </c>
      <c r="J1822">
        <v>1342</v>
      </c>
    </row>
    <row r="1823" spans="1:10" x14ac:dyDescent="0.25">
      <c r="A1823">
        <v>20956</v>
      </c>
      <c r="B1823" t="str">
        <v>Padmalaya Tele.</v>
      </c>
      <c r="C1823">
        <v>11.64451</v>
      </c>
      <c r="D1823">
        <v>3.0087440013885498</v>
      </c>
      <c r="E1823">
        <v>1.4976389408111572</v>
      </c>
      <c r="F1823">
        <v>0.49776199460029602</v>
      </c>
      <c r="G1823">
        <v>4.065000057220459</v>
      </c>
      <c r="H1823">
        <v>9.9999997764825821E-3</v>
      </c>
      <c r="I1823">
        <v>6.7800002098083496</v>
      </c>
      <c r="J1823">
        <v>1344</v>
      </c>
    </row>
    <row r="1824" spans="1:10" x14ac:dyDescent="0.25">
      <c r="A1824">
        <v>4781</v>
      </c>
      <c r="B1824" t="str">
        <v>Padmanabh Inds.</v>
      </c>
      <c r="C1824">
        <v>-9.3321699999999996</v>
      </c>
      <c r="D1824">
        <v>5.4596390724182129</v>
      </c>
      <c r="E1824">
        <v>2.4355599880218506</v>
      </c>
      <c r="F1824">
        <v>0.44610300660133362</v>
      </c>
      <c r="G1824">
        <v>9.4399995803833008</v>
      </c>
      <c r="H1824">
        <v>0</v>
      </c>
      <c r="I1824">
        <v>5.7399997711181641</v>
      </c>
      <c r="J1824">
        <v>1128</v>
      </c>
    </row>
    <row r="1825" spans="1:10" x14ac:dyDescent="0.25">
      <c r="A1825">
        <v>6587</v>
      </c>
      <c r="B1825" t="str">
        <v>Pagaria Energy</v>
      </c>
      <c r="C1825">
        <v>29.50658</v>
      </c>
      <c r="D1825">
        <v>5.1024641990661621</v>
      </c>
      <c r="E1825">
        <v>2.4484798908233643</v>
      </c>
      <c r="F1825">
        <v>0.47986200451850891</v>
      </c>
      <c r="G1825">
        <v>6.9549999237060547</v>
      </c>
      <c r="H1825">
        <v>2.9999999329447746E-2</v>
      </c>
      <c r="I1825">
        <v>3.0399999618530273</v>
      </c>
      <c r="J1825">
        <v>816</v>
      </c>
    </row>
    <row r="1826" spans="1:10" x14ac:dyDescent="0.25">
      <c r="A1826">
        <v>12521</v>
      </c>
      <c r="B1826" t="str">
        <v>Page Industries</v>
      </c>
      <c r="C1826">
        <v>12.064322000000001</v>
      </c>
      <c r="D1826">
        <v>36148.09765625</v>
      </c>
      <c r="E1826">
        <v>9055.150390625</v>
      </c>
      <c r="F1826">
        <v>0.25050100684165955</v>
      </c>
      <c r="G1826">
        <v>45055.9375</v>
      </c>
      <c r="H1826">
        <v>0.20000000298023224</v>
      </c>
      <c r="I1826">
        <v>50066.51171875</v>
      </c>
      <c r="J1826">
        <v>1359</v>
      </c>
    </row>
    <row r="1827" spans="1:10" x14ac:dyDescent="0.25">
      <c r="A1827">
        <v>2711</v>
      </c>
      <c r="B1827" t="str">
        <v>Pakka</v>
      </c>
      <c r="C1827">
        <v>28.254380000000001</v>
      </c>
      <c r="D1827">
        <v>140.73727416992188</v>
      </c>
      <c r="E1827">
        <v>93.883537292480469</v>
      </c>
      <c r="F1827">
        <v>0.6670839786529541</v>
      </c>
      <c r="G1827">
        <v>183.48750305175781</v>
      </c>
      <c r="H1827">
        <v>0.60000002384185791</v>
      </c>
      <c r="I1827">
        <v>824.79998779296875</v>
      </c>
      <c r="J1827">
        <v>1359</v>
      </c>
    </row>
    <row r="1828" spans="1:10" x14ac:dyDescent="0.25">
      <c r="A1828">
        <v>65835</v>
      </c>
      <c r="B1828" t="str">
        <v>Palash Securi.</v>
      </c>
      <c r="C1828">
        <v>27.854441000000001</v>
      </c>
      <c r="D1828">
        <v>98.997581481933594</v>
      </c>
      <c r="E1828">
        <v>38.862777709960938</v>
      </c>
      <c r="F1828">
        <v>0.39256298542022705</v>
      </c>
      <c r="G1828">
        <v>126.21250152587891</v>
      </c>
      <c r="H1828">
        <v>3.9999999105930328E-2</v>
      </c>
      <c r="I1828">
        <v>124.44000244140625</v>
      </c>
      <c r="J1828">
        <v>1176</v>
      </c>
    </row>
    <row r="1829" spans="1:10" x14ac:dyDescent="0.25">
      <c r="A1829">
        <v>24716</v>
      </c>
      <c r="B1829" t="str">
        <v>Palco Metals Ltd</v>
      </c>
      <c r="C1829">
        <v>45.759860000000003</v>
      </c>
      <c r="D1829">
        <v>96.032676696777344</v>
      </c>
      <c r="E1829">
        <v>62.003116607666016</v>
      </c>
      <c r="F1829">
        <v>0.64564597606658936</v>
      </c>
      <c r="G1829">
        <v>205.64999389648438</v>
      </c>
      <c r="H1829">
        <v>0</v>
      </c>
      <c r="I1829">
        <v>82.680000305175781</v>
      </c>
      <c r="J1829">
        <v>855</v>
      </c>
    </row>
    <row r="1830" spans="1:10" x14ac:dyDescent="0.25">
      <c r="A1830">
        <v>72619</v>
      </c>
      <c r="B1830" t="str">
        <v>Palm Jewels</v>
      </c>
      <c r="C1830">
        <v>20.126611</v>
      </c>
      <c r="D1830">
        <v>24.721406936645508</v>
      </c>
      <c r="E1830">
        <v>15.126646041870117</v>
      </c>
      <c r="F1830">
        <v>0.61188501119613647</v>
      </c>
      <c r="G1830">
        <v>28.672500610351563</v>
      </c>
      <c r="H1830">
        <v>9.0000003576278687E-2</v>
      </c>
      <c r="I1830">
        <v>29.260000228881836</v>
      </c>
      <c r="J1830">
        <v>1163</v>
      </c>
    </row>
    <row r="1831" spans="1:10" x14ac:dyDescent="0.25">
      <c r="A1831">
        <v>24762</v>
      </c>
      <c r="B1831" t="str">
        <v>Palred Technolog</v>
      </c>
      <c r="C1831">
        <v>22.571771999999999</v>
      </c>
      <c r="D1831">
        <v>116.54827880859375</v>
      </c>
      <c r="E1831">
        <v>59.186557769775391</v>
      </c>
      <c r="F1831">
        <v>0.50782901048660278</v>
      </c>
      <c r="G1831">
        <v>52.415000915527344</v>
      </c>
      <c r="H1831">
        <v>0</v>
      </c>
      <c r="I1831">
        <v>63.540000915527344</v>
      </c>
      <c r="J1831">
        <v>1310</v>
      </c>
    </row>
    <row r="1832" spans="1:10" x14ac:dyDescent="0.25">
      <c r="A1832">
        <v>3522</v>
      </c>
      <c r="B1832" t="str">
        <v>Pan Electronics</v>
      </c>
      <c r="C1832">
        <v>48.875146999999998</v>
      </c>
      <c r="D1832">
        <v>41.148506164550781</v>
      </c>
      <c r="E1832">
        <v>20.363025665283203</v>
      </c>
      <c r="F1832">
        <v>0.4948669970035553</v>
      </c>
      <c r="G1832">
        <v>54.720001220703125</v>
      </c>
      <c r="H1832">
        <v>0</v>
      </c>
      <c r="I1832">
        <v>22.450000762939453</v>
      </c>
      <c r="J1832">
        <v>1014</v>
      </c>
    </row>
    <row r="1833" spans="1:10" x14ac:dyDescent="0.25">
      <c r="A1833">
        <v>4018</v>
      </c>
      <c r="B1833" t="str">
        <v>Pan India Corpor</v>
      </c>
      <c r="C1833">
        <v>50.594783999999997</v>
      </c>
      <c r="D1833">
        <v>2.2396891117095947</v>
      </c>
      <c r="E1833">
        <v>1.8187570571899414</v>
      </c>
      <c r="F1833">
        <v>0.8120579719543457</v>
      </c>
      <c r="G1833">
        <v>2.5750000476837158</v>
      </c>
      <c r="H1833">
        <v>0</v>
      </c>
      <c r="I1833">
        <v>54.639999389648438</v>
      </c>
      <c r="J1833">
        <v>1324</v>
      </c>
    </row>
    <row r="1834" spans="1:10" x14ac:dyDescent="0.25">
      <c r="A1834">
        <v>12420</v>
      </c>
      <c r="B1834" t="str">
        <v>Panacea Biotec</v>
      </c>
      <c r="C1834">
        <v>23.830528000000001</v>
      </c>
      <c r="D1834">
        <v>211.01918029785156</v>
      </c>
      <c r="E1834">
        <v>105.602783203125</v>
      </c>
      <c r="F1834">
        <v>0.5004420280456543</v>
      </c>
      <c r="G1834">
        <v>427.21249389648438</v>
      </c>
      <c r="H1834">
        <v>0.31999999284744263</v>
      </c>
      <c r="I1834">
        <v>2601.010009765625</v>
      </c>
      <c r="J1834">
        <v>1359</v>
      </c>
    </row>
    <row r="1835" spans="1:10" x14ac:dyDescent="0.25">
      <c r="A1835">
        <v>65253</v>
      </c>
      <c r="B1835" t="str">
        <v>Panafic Industri</v>
      </c>
      <c r="C1835">
        <v>25.11731</v>
      </c>
      <c r="D1835">
        <v>1.0941909551620483</v>
      </c>
      <c r="E1835">
        <v>0.75143700838088989</v>
      </c>
      <c r="F1835">
        <v>0.68675100803375244</v>
      </c>
      <c r="G1835">
        <v>0.9100000262260437</v>
      </c>
      <c r="H1835">
        <v>0</v>
      </c>
      <c r="I1835">
        <v>7.3899998664855957</v>
      </c>
      <c r="J1835">
        <v>1276</v>
      </c>
    </row>
    <row r="1836" spans="1:10" x14ac:dyDescent="0.25">
      <c r="A1836">
        <v>4699</v>
      </c>
      <c r="B1836" t="str">
        <v>Panama Petrochem</v>
      </c>
      <c r="C1836">
        <v>31.904878</v>
      </c>
      <c r="D1836">
        <v>259.4432373046875</v>
      </c>
      <c r="E1836">
        <v>115.27253723144531</v>
      </c>
      <c r="F1836">
        <v>0.44430699944496155</v>
      </c>
      <c r="G1836">
        <v>365.20001220703125</v>
      </c>
      <c r="H1836">
        <v>1.9999999552965164E-2</v>
      </c>
      <c r="I1836">
        <v>2199.550048828125</v>
      </c>
      <c r="J1836">
        <v>1355</v>
      </c>
    </row>
    <row r="1837" spans="1:10" x14ac:dyDescent="0.25">
      <c r="A1837">
        <v>291</v>
      </c>
      <c r="B1837" t="str">
        <v>Panasonic Carbon</v>
      </c>
      <c r="C1837">
        <v>9.9229660000000006</v>
      </c>
      <c r="D1837">
        <v>448.47976684570313</v>
      </c>
      <c r="E1837">
        <v>82.945220947265625</v>
      </c>
      <c r="F1837">
        <v>0.18494799733161926</v>
      </c>
      <c r="G1837">
        <v>560.0999755859375</v>
      </c>
      <c r="H1837">
        <v>0</v>
      </c>
      <c r="I1837">
        <v>264.91000366210938</v>
      </c>
      <c r="J1837">
        <v>1359</v>
      </c>
    </row>
    <row r="1838" spans="1:10" x14ac:dyDescent="0.25">
      <c r="A1838">
        <v>344</v>
      </c>
      <c r="B1838" t="str">
        <v>Panasonic Energy</v>
      </c>
      <c r="C1838">
        <v>19.067371999999999</v>
      </c>
      <c r="D1838">
        <v>303.97085571289063</v>
      </c>
      <c r="E1838">
        <v>113.81758117675781</v>
      </c>
      <c r="F1838">
        <v>0.37443599104881287</v>
      </c>
      <c r="G1838">
        <v>392.20001220703125</v>
      </c>
      <c r="H1838">
        <v>9.9999997764825821E-3</v>
      </c>
      <c r="I1838">
        <v>291.79000854492188</v>
      </c>
      <c r="J1838">
        <v>1359</v>
      </c>
    </row>
    <row r="1839" spans="1:10" x14ac:dyDescent="0.25">
      <c r="A1839">
        <v>7121</v>
      </c>
      <c r="B1839" t="str">
        <v>Panch.Organics</v>
      </c>
      <c r="C1839">
        <v>29.199746999999999</v>
      </c>
      <c r="D1839">
        <v>149.5782470703125</v>
      </c>
      <c r="E1839">
        <v>88.871803283691406</v>
      </c>
      <c r="F1839">
        <v>0.59414899349212646</v>
      </c>
      <c r="G1839">
        <v>144.77499389648438</v>
      </c>
      <c r="H1839">
        <v>5.000000074505806E-2</v>
      </c>
      <c r="I1839">
        <v>187.3699951171875</v>
      </c>
      <c r="J1839">
        <v>1347</v>
      </c>
    </row>
    <row r="1840" spans="1:10" x14ac:dyDescent="0.25">
      <c r="A1840">
        <v>3471</v>
      </c>
      <c r="B1840" t="str">
        <v>Panchmahal Steel</v>
      </c>
      <c r="C1840">
        <v>39.901817999999999</v>
      </c>
      <c r="D1840">
        <v>127.08335876464844</v>
      </c>
      <c r="E1840">
        <v>66.857635498046875</v>
      </c>
      <c r="F1840">
        <v>0.5260930061340332</v>
      </c>
      <c r="G1840">
        <v>187.88749694824219</v>
      </c>
      <c r="H1840">
        <v>0.37000000476837158</v>
      </c>
      <c r="I1840">
        <v>360.6099853515625</v>
      </c>
      <c r="J1840">
        <v>1305</v>
      </c>
    </row>
    <row r="1841" spans="1:10" x14ac:dyDescent="0.25">
      <c r="A1841">
        <v>67074</v>
      </c>
      <c r="B1841" t="str">
        <v>Panorama Studios</v>
      </c>
      <c r="C1841">
        <v>66.813723999999993</v>
      </c>
      <c r="D1841">
        <v>77.720428466796875</v>
      </c>
      <c r="E1841">
        <v>81.024559020996094</v>
      </c>
      <c r="F1841">
        <v>1.0425130128860474</v>
      </c>
      <c r="G1841">
        <v>185.92500305175781</v>
      </c>
      <c r="H1841">
        <v>0.15999999642372131</v>
      </c>
      <c r="I1841">
        <v>1277.6099853515625</v>
      </c>
      <c r="J1841">
        <v>1125</v>
      </c>
    </row>
    <row r="1842" spans="1:10" x14ac:dyDescent="0.25">
      <c r="A1842">
        <v>7481</v>
      </c>
      <c r="B1842" t="str">
        <v>Panth Infinity</v>
      </c>
      <c r="C1842">
        <v>-43.629378000000003</v>
      </c>
      <c r="D1842">
        <v>11.398626327514648</v>
      </c>
      <c r="E1842">
        <v>12.105069160461426</v>
      </c>
      <c r="F1842">
        <v>1.0619759559631348</v>
      </c>
      <c r="G1842">
        <v>7.5725002288818359</v>
      </c>
      <c r="H1842">
        <v>0</v>
      </c>
      <c r="I1842">
        <v>18.909999847412109</v>
      </c>
      <c r="J1842">
        <v>1319</v>
      </c>
    </row>
    <row r="1843" spans="1:10" x14ac:dyDescent="0.25">
      <c r="A1843">
        <v>4948</v>
      </c>
      <c r="B1843" t="str">
        <v>Paos Industries</v>
      </c>
      <c r="C1843">
        <v>20.574777999999998</v>
      </c>
      <c r="D1843">
        <v>22.563087463378906</v>
      </c>
      <c r="E1843">
        <v>18.869302749633789</v>
      </c>
      <c r="F1843">
        <v>0.83629101514816284</v>
      </c>
      <c r="G1843">
        <v>37.430000305175781</v>
      </c>
      <c r="H1843">
        <v>0</v>
      </c>
      <c r="I1843">
        <v>22.799999237060547</v>
      </c>
      <c r="J1843">
        <v>834</v>
      </c>
    </row>
    <row r="1844" spans="1:10" x14ac:dyDescent="0.25">
      <c r="A1844">
        <v>45144</v>
      </c>
      <c r="B1844" t="str">
        <v>Parag Milk Foods</v>
      </c>
      <c r="C1844">
        <v>8.1519480000000009</v>
      </c>
      <c r="D1844">
        <v>139.91621398925781</v>
      </c>
      <c r="E1844">
        <v>48.559268951416016</v>
      </c>
      <c r="F1844">
        <v>0.34705999493598938</v>
      </c>
      <c r="G1844">
        <v>214.21249389648438</v>
      </c>
      <c r="H1844">
        <v>0.62999999523162842</v>
      </c>
      <c r="I1844">
        <v>2505.10009765625</v>
      </c>
      <c r="J1844">
        <v>1359</v>
      </c>
    </row>
    <row r="1845" spans="1:10" x14ac:dyDescent="0.25">
      <c r="A1845">
        <v>6235</v>
      </c>
      <c r="B1845" t="str">
        <v>Paragon Finance</v>
      </c>
      <c r="C1845">
        <v>28.545874000000001</v>
      </c>
      <c r="D1845">
        <v>34.218147277832031</v>
      </c>
      <c r="E1845">
        <v>19.295537948608398</v>
      </c>
      <c r="F1845">
        <v>0.56389802694320679</v>
      </c>
      <c r="G1845">
        <v>59.849998474121094</v>
      </c>
      <c r="H1845">
        <v>3.9999999105930328E-2</v>
      </c>
      <c r="I1845">
        <v>25.370000839233398</v>
      </c>
      <c r="J1845">
        <v>1195</v>
      </c>
    </row>
    <row r="1846" spans="1:10" x14ac:dyDescent="0.25">
      <c r="A1846">
        <v>5155</v>
      </c>
      <c r="B1846" t="str">
        <v>Paramount Comm.</v>
      </c>
      <c r="C1846">
        <v>35.202392000000003</v>
      </c>
      <c r="D1846">
        <v>34.953224182128906</v>
      </c>
      <c r="E1846">
        <v>29.326009750366211</v>
      </c>
      <c r="F1846">
        <v>0.83900701999664307</v>
      </c>
      <c r="G1846">
        <v>53.299999237060547</v>
      </c>
      <c r="H1846">
        <v>0.28999999165534973</v>
      </c>
      <c r="I1846">
        <v>1604.1700439453125</v>
      </c>
      <c r="J1846">
        <v>1359</v>
      </c>
    </row>
    <row r="1847" spans="1:10" x14ac:dyDescent="0.25">
      <c r="A1847">
        <v>860</v>
      </c>
      <c r="B1847" t="str">
        <v>Paramount Cosmet</v>
      </c>
      <c r="C1847">
        <v>24.222394999999999</v>
      </c>
      <c r="D1847">
        <v>36.942928314208984</v>
      </c>
      <c r="E1847">
        <v>14.797887802124023</v>
      </c>
      <c r="F1847">
        <v>0.40056100487709045</v>
      </c>
      <c r="G1847">
        <v>40.932498931884766</v>
      </c>
      <c r="H1847">
        <v>0.61000001430511475</v>
      </c>
      <c r="I1847">
        <v>19.059999465942383</v>
      </c>
      <c r="J1847">
        <v>1245</v>
      </c>
    </row>
    <row r="1848" spans="1:10" x14ac:dyDescent="0.25">
      <c r="A1848">
        <v>4275</v>
      </c>
      <c r="B1848" t="str">
        <v>Parenteral Drugs</v>
      </c>
      <c r="C1848">
        <v>-1.922763</v>
      </c>
      <c r="D1848">
        <v>4.0118660926818848</v>
      </c>
      <c r="E1848">
        <v>0.87711000442504883</v>
      </c>
      <c r="F1848">
        <v>0.21862900257110596</v>
      </c>
      <c r="G1848">
        <v>3.2349998950958252</v>
      </c>
      <c r="H1848">
        <v>0</v>
      </c>
      <c r="I1848">
        <v>10.109999656677246</v>
      </c>
      <c r="J1848">
        <v>146</v>
      </c>
    </row>
    <row r="1849" spans="1:10" x14ac:dyDescent="0.25">
      <c r="A1849">
        <v>14797</v>
      </c>
      <c r="B1849" t="str">
        <v>Parle Industries</v>
      </c>
      <c r="C1849">
        <v>-0.70354000000000005</v>
      </c>
      <c r="D1849">
        <v>11.068573951721191</v>
      </c>
      <c r="E1849">
        <v>4.4833650588989258</v>
      </c>
      <c r="F1849">
        <v>0.4050540030002594</v>
      </c>
      <c r="G1849">
        <v>12.602499961853027</v>
      </c>
      <c r="H1849">
        <v>2.9999999329447746E-2</v>
      </c>
      <c r="I1849">
        <v>59.979999542236328</v>
      </c>
      <c r="J1849">
        <v>1334</v>
      </c>
    </row>
    <row r="1850" spans="1:10" x14ac:dyDescent="0.25">
      <c r="A1850">
        <v>2018</v>
      </c>
      <c r="B1850" t="str">
        <v>Parnax Lab</v>
      </c>
      <c r="C1850">
        <v>34.797170000000001</v>
      </c>
      <c r="D1850">
        <v>72.366203308105469</v>
      </c>
      <c r="E1850">
        <v>42.932525634765625</v>
      </c>
      <c r="F1850">
        <v>0.59326797723770142</v>
      </c>
      <c r="G1850">
        <v>101.625</v>
      </c>
      <c r="H1850">
        <v>2.9999999329447746E-2</v>
      </c>
      <c r="I1850">
        <v>115.94999694824219</v>
      </c>
      <c r="J1850">
        <v>1332</v>
      </c>
    </row>
    <row r="1851" spans="1:10" x14ac:dyDescent="0.25">
      <c r="A1851">
        <v>74098</v>
      </c>
      <c r="B1851" t="str">
        <v>Parshva Enterpr.</v>
      </c>
      <c r="C1851">
        <v>39.051692000000003</v>
      </c>
      <c r="D1851">
        <v>179.78840637207031</v>
      </c>
      <c r="E1851">
        <v>37.222232818603516</v>
      </c>
      <c r="F1851">
        <v>0.20703400671482086</v>
      </c>
      <c r="G1851">
        <v>251.57499694824219</v>
      </c>
      <c r="H1851">
        <v>5.9999998658895493E-2</v>
      </c>
      <c r="I1851">
        <v>250.82000732421875</v>
      </c>
      <c r="J1851">
        <v>751</v>
      </c>
    </row>
    <row r="1852" spans="1:10" x14ac:dyDescent="0.25">
      <c r="A1852">
        <v>72666</v>
      </c>
      <c r="B1852" t="str">
        <v>Parvati Sweetner</v>
      </c>
      <c r="C1852">
        <v>36.267527999999999</v>
      </c>
      <c r="D1852">
        <v>7.5710687637329102</v>
      </c>
      <c r="E1852">
        <v>4.1557412147521973</v>
      </c>
      <c r="F1852">
        <v>0.54889798164367676</v>
      </c>
      <c r="G1852">
        <v>8.3524999618530273</v>
      </c>
      <c r="H1852">
        <v>0.43000000715255737</v>
      </c>
      <c r="I1852">
        <v>121.09999847412109</v>
      </c>
      <c r="J1852">
        <v>1303</v>
      </c>
    </row>
    <row r="1853" spans="1:10" x14ac:dyDescent="0.25">
      <c r="A1853">
        <v>3224</v>
      </c>
      <c r="B1853" t="str">
        <v>Pasari Spinning</v>
      </c>
      <c r="C1853">
        <v>42.216265999999997</v>
      </c>
      <c r="D1853">
        <v>5.8020291328430176</v>
      </c>
      <c r="E1853">
        <v>3.0338239669799805</v>
      </c>
      <c r="F1853">
        <v>0.52288997173309326</v>
      </c>
      <c r="G1853">
        <v>8.2849998474121094</v>
      </c>
      <c r="H1853">
        <v>0</v>
      </c>
      <c r="I1853">
        <v>11.439999580383301</v>
      </c>
      <c r="J1853">
        <v>1248</v>
      </c>
    </row>
    <row r="1854" spans="1:10" x14ac:dyDescent="0.25">
      <c r="A1854">
        <v>1368</v>
      </c>
      <c r="B1854" t="str">
        <v>Pasupati Acrylon</v>
      </c>
      <c r="C1854">
        <v>31.647642999999999</v>
      </c>
      <c r="D1854">
        <v>30.9031982421875</v>
      </c>
      <c r="E1854">
        <v>13.523259162902832</v>
      </c>
      <c r="F1854">
        <v>0.4376010000705719</v>
      </c>
      <c r="G1854">
        <v>48.512500762939453</v>
      </c>
      <c r="H1854">
        <v>7.0000000298023224E-2</v>
      </c>
      <c r="I1854">
        <v>432.6400146484375</v>
      </c>
      <c r="J1854">
        <v>1358</v>
      </c>
    </row>
    <row r="1855" spans="1:10" x14ac:dyDescent="0.25">
      <c r="A1855">
        <v>4686</v>
      </c>
      <c r="B1855" t="str">
        <v>Pasupati Fincap</v>
      </c>
      <c r="C1855">
        <v>45.212350000000001</v>
      </c>
      <c r="D1855">
        <v>16.297937393188477</v>
      </c>
      <c r="E1855">
        <v>11.522705078125</v>
      </c>
      <c r="F1855">
        <v>0.70700401067733765</v>
      </c>
      <c r="G1855">
        <v>20.784999847412109</v>
      </c>
      <c r="H1855">
        <v>0</v>
      </c>
      <c r="I1855">
        <v>9.8900003433227539</v>
      </c>
      <c r="J1855">
        <v>286</v>
      </c>
    </row>
    <row r="1856" spans="1:10" x14ac:dyDescent="0.25">
      <c r="A1856">
        <v>704</v>
      </c>
      <c r="B1856" t="str">
        <v>Patanjali Foods</v>
      </c>
      <c r="C1856">
        <v>95.033165999999994</v>
      </c>
      <c r="D1856">
        <v>1141.75537109375</v>
      </c>
      <c r="E1856">
        <v>447.10455322265625</v>
      </c>
      <c r="F1856">
        <v>0.39159399271011353</v>
      </c>
      <c r="G1856">
        <v>1648.5</v>
      </c>
      <c r="H1856">
        <v>0.11999999731779099</v>
      </c>
      <c r="I1856">
        <v>59322.3515625</v>
      </c>
      <c r="J1856">
        <v>1341</v>
      </c>
    </row>
    <row r="1857" spans="1:10" x14ac:dyDescent="0.25">
      <c r="A1857">
        <v>1320</v>
      </c>
      <c r="B1857" t="str">
        <v>Patel Engineerin</v>
      </c>
      <c r="C1857">
        <v>21.314917000000001</v>
      </c>
      <c r="D1857">
        <v>30.517494201660156</v>
      </c>
      <c r="E1857">
        <v>18.765932083129883</v>
      </c>
      <c r="F1857">
        <v>0.61492401361465454</v>
      </c>
      <c r="G1857">
        <v>40.345001220703125</v>
      </c>
      <c r="H1857">
        <v>0.55000001192092896</v>
      </c>
      <c r="I1857">
        <v>3363.14990234375</v>
      </c>
      <c r="J1857">
        <v>1359</v>
      </c>
    </row>
    <row r="1858" spans="1:10" x14ac:dyDescent="0.25">
      <c r="A1858">
        <v>3526</v>
      </c>
      <c r="B1858" t="str">
        <v>Patel Integrated</v>
      </c>
      <c r="C1858">
        <v>9.4741110000000006</v>
      </c>
      <c r="D1858">
        <v>15.230191230773926</v>
      </c>
      <c r="E1858">
        <v>4.5137691497802734</v>
      </c>
      <c r="F1858">
        <v>0.2963699996471405</v>
      </c>
      <c r="G1858">
        <v>15.197500228881836</v>
      </c>
      <c r="H1858">
        <v>0.23000000417232513</v>
      </c>
      <c r="I1858">
        <v>104.19000244140625</v>
      </c>
      <c r="J1858">
        <v>1357</v>
      </c>
    </row>
    <row r="1859" spans="1:10" x14ac:dyDescent="0.25">
      <c r="A1859">
        <v>3759</v>
      </c>
      <c r="B1859" t="str">
        <v>Patels Airtemp</v>
      </c>
      <c r="C1859">
        <v>28.542131999999999</v>
      </c>
      <c r="D1859">
        <v>304.5408935546875</v>
      </c>
      <c r="E1859">
        <v>186.27314758300781</v>
      </c>
      <c r="F1859">
        <v>0.61165201663970947</v>
      </c>
      <c r="G1859">
        <v>481.61248779296875</v>
      </c>
      <c r="H1859">
        <v>0.68999999761581421</v>
      </c>
      <c r="I1859">
        <v>262.760009765625</v>
      </c>
      <c r="J1859">
        <v>1359</v>
      </c>
    </row>
    <row r="1860" spans="1:10" x14ac:dyDescent="0.25">
      <c r="A1860">
        <v>3325</v>
      </c>
      <c r="B1860" t="str">
        <v>Patspin India</v>
      </c>
      <c r="C1860">
        <v>10.851456000000001</v>
      </c>
      <c r="D1860">
        <v>10.276863098144531</v>
      </c>
      <c r="E1860">
        <v>2.9048750400543213</v>
      </c>
      <c r="F1860">
        <v>0.28266200423240662</v>
      </c>
      <c r="G1860">
        <v>10.932499885559082</v>
      </c>
      <c r="H1860">
        <v>0</v>
      </c>
      <c r="I1860">
        <v>34.009998321533203</v>
      </c>
      <c r="J1860">
        <v>1217</v>
      </c>
    </row>
    <row r="1861" spans="1:10" x14ac:dyDescent="0.25">
      <c r="A1861">
        <v>41242</v>
      </c>
      <c r="B1861" t="str">
        <v>Paul Merchants</v>
      </c>
      <c r="C1861">
        <v>12.331413</v>
      </c>
      <c r="D1861">
        <v>602.24896240234375</v>
      </c>
      <c r="E1861">
        <v>252.46260070800781</v>
      </c>
      <c r="F1861">
        <v>0.41920000314712524</v>
      </c>
      <c r="G1861">
        <v>768.6875</v>
      </c>
      <c r="H1861">
        <v>3.9999999105930328E-2</v>
      </c>
      <c r="I1861">
        <v>234.83000183105469</v>
      </c>
      <c r="J1861">
        <v>1358</v>
      </c>
    </row>
    <row r="1862" spans="1:10" x14ac:dyDescent="0.25">
      <c r="A1862">
        <v>7142</v>
      </c>
      <c r="B1862" t="str">
        <v>Paushak</v>
      </c>
      <c r="C1862">
        <v>10.436913000000001</v>
      </c>
      <c r="D1862">
        <v>6364.8427734375</v>
      </c>
      <c r="E1862">
        <v>2424.76220703125</v>
      </c>
      <c r="F1862">
        <v>0.38096201419830322</v>
      </c>
      <c r="G1862">
        <v>4318.6875</v>
      </c>
      <c r="H1862">
        <v>0</v>
      </c>
      <c r="I1862">
        <v>1321.550048828125</v>
      </c>
      <c r="J1862">
        <v>1359</v>
      </c>
    </row>
    <row r="1863" spans="1:10" x14ac:dyDescent="0.25">
      <c r="A1863">
        <v>27614</v>
      </c>
      <c r="B1863" t="str">
        <v>Pearl Global Ind</v>
      </c>
      <c r="C1863">
        <v>57.116900000000001</v>
      </c>
      <c r="D1863">
        <v>405.41525268554688</v>
      </c>
      <c r="E1863">
        <v>402.368896484375</v>
      </c>
      <c r="F1863">
        <v>0.99248600006103516</v>
      </c>
      <c r="G1863">
        <v>1443.75</v>
      </c>
      <c r="H1863">
        <v>0.68000000715255737</v>
      </c>
      <c r="I1863">
        <v>6467.669921875</v>
      </c>
      <c r="J1863">
        <v>1354</v>
      </c>
    </row>
    <row r="1864" spans="1:10" x14ac:dyDescent="0.25">
      <c r="A1864">
        <v>1215</v>
      </c>
      <c r="B1864" t="str">
        <v>Pearl Polymers</v>
      </c>
      <c r="C1864">
        <v>11.568993000000001</v>
      </c>
      <c r="D1864">
        <v>23.77226448059082</v>
      </c>
      <c r="E1864">
        <v>7.8419241905212402</v>
      </c>
      <c r="F1864">
        <v>0.32987698912620544</v>
      </c>
      <c r="G1864">
        <v>29.674999237060547</v>
      </c>
      <c r="H1864">
        <v>0</v>
      </c>
      <c r="I1864">
        <v>49.209999084472656</v>
      </c>
      <c r="J1864">
        <v>1316</v>
      </c>
    </row>
    <row r="1865" spans="1:10" x14ac:dyDescent="0.25">
      <c r="A1865">
        <v>1367</v>
      </c>
      <c r="B1865" t="str">
        <v>Pee Cee Cosma</v>
      </c>
      <c r="C1865">
        <v>32.858756999999997</v>
      </c>
      <c r="D1865">
        <v>253.69561767578125</v>
      </c>
      <c r="E1865">
        <v>202.095458984375</v>
      </c>
      <c r="F1865">
        <v>0.79660600423812866</v>
      </c>
      <c r="G1865">
        <v>471.41250610351563</v>
      </c>
      <c r="H1865">
        <v>0.17000000178813934</v>
      </c>
      <c r="I1865">
        <v>124.55000305175781</v>
      </c>
      <c r="J1865">
        <v>1317</v>
      </c>
    </row>
    <row r="1866" spans="1:10" x14ac:dyDescent="0.25">
      <c r="A1866">
        <v>5968</v>
      </c>
      <c r="B1866" t="str">
        <v>Peeti Securities</v>
      </c>
      <c r="C1866">
        <v>17.924074000000001</v>
      </c>
      <c r="D1866">
        <v>20.312528610229492</v>
      </c>
      <c r="E1866">
        <v>6.702232837677002</v>
      </c>
      <c r="F1866">
        <v>0.32995599508285522</v>
      </c>
      <c r="G1866">
        <v>22.049999237060547</v>
      </c>
      <c r="H1866">
        <v>0</v>
      </c>
      <c r="I1866">
        <v>8.1599998474121094</v>
      </c>
      <c r="J1866">
        <v>1077</v>
      </c>
    </row>
    <row r="1867" spans="1:10" x14ac:dyDescent="0.25">
      <c r="A1867">
        <v>1119</v>
      </c>
      <c r="B1867" t="str">
        <v>Pennar Industrie</v>
      </c>
      <c r="C1867">
        <v>41.079510999999997</v>
      </c>
      <c r="D1867">
        <v>78.337013244628906</v>
      </c>
      <c r="E1867">
        <v>63.494667053222656</v>
      </c>
      <c r="F1867">
        <v>0.81053197383880615</v>
      </c>
      <c r="G1867">
        <v>225.4375</v>
      </c>
      <c r="H1867">
        <v>0.94999998807907104</v>
      </c>
      <c r="I1867">
        <v>2951.27001953125</v>
      </c>
      <c r="J1867">
        <v>1359</v>
      </c>
    </row>
    <row r="1868" spans="1:10" x14ac:dyDescent="0.25">
      <c r="A1868">
        <v>2488</v>
      </c>
      <c r="B1868" t="str">
        <v>Pentamedia Graph</v>
      </c>
      <c r="C1868">
        <v>-3.5570059999999999</v>
      </c>
      <c r="D1868">
        <v>0.33439499139785767</v>
      </c>
      <c r="E1868">
        <v>6.4038999378681183E-2</v>
      </c>
      <c r="F1868">
        <v>0.19150599837303162</v>
      </c>
      <c r="G1868">
        <v>0.28499999642372131</v>
      </c>
      <c r="H1868">
        <v>0</v>
      </c>
      <c r="I1868">
        <v>12.039999961853027</v>
      </c>
      <c r="J1868">
        <v>248</v>
      </c>
    </row>
    <row r="1869" spans="1:10" x14ac:dyDescent="0.25">
      <c r="A1869">
        <v>2366</v>
      </c>
      <c r="B1869" t="str">
        <v>Pentokey Organy</v>
      </c>
      <c r="C1869">
        <v>30.772805999999999</v>
      </c>
      <c r="D1869">
        <v>42.308101654052734</v>
      </c>
      <c r="E1869">
        <v>20.580175399780273</v>
      </c>
      <c r="F1869">
        <v>0.48643600940704346</v>
      </c>
      <c r="G1869">
        <v>40.340000152587891</v>
      </c>
      <c r="H1869">
        <v>0</v>
      </c>
      <c r="I1869">
        <v>25.290000915527344</v>
      </c>
      <c r="J1869">
        <v>716</v>
      </c>
    </row>
    <row r="1870" spans="1:10" x14ac:dyDescent="0.25">
      <c r="A1870">
        <v>2925</v>
      </c>
      <c r="B1870" t="str">
        <v>Perfect-Octave</v>
      </c>
      <c r="C1870">
        <v>10.137172</v>
      </c>
      <c r="D1870">
        <v>2.5556309223175049</v>
      </c>
      <c r="E1870">
        <v>1.0942260026931763</v>
      </c>
      <c r="F1870">
        <v>0.42816299200057983</v>
      </c>
      <c r="G1870">
        <v>4.2274999618530273</v>
      </c>
      <c r="H1870">
        <v>0.38999998569488525</v>
      </c>
      <c r="I1870">
        <v>14.470000267028809</v>
      </c>
      <c r="J1870">
        <v>1098</v>
      </c>
    </row>
    <row r="1871" spans="1:10" x14ac:dyDescent="0.25">
      <c r="A1871">
        <v>5933</v>
      </c>
      <c r="B1871" t="str">
        <v>Perfectpac</v>
      </c>
      <c r="C1871">
        <v>26.599851000000001</v>
      </c>
      <c r="D1871">
        <v>74.832656860351563</v>
      </c>
      <c r="E1871">
        <v>38.724559783935547</v>
      </c>
      <c r="F1871">
        <v>0.51748198270797729</v>
      </c>
      <c r="G1871">
        <v>112.16249847412109</v>
      </c>
      <c r="H1871">
        <v>5.9999998658895493E-2</v>
      </c>
      <c r="I1871">
        <v>75.519996643066406</v>
      </c>
      <c r="J1871">
        <v>1089</v>
      </c>
    </row>
    <row r="1872" spans="1:10" x14ac:dyDescent="0.25">
      <c r="A1872">
        <v>433</v>
      </c>
      <c r="B1872" t="str">
        <v>Permanent Magnet</v>
      </c>
      <c r="C1872">
        <v>43.941692000000003</v>
      </c>
      <c r="D1872">
        <v>636.15081787109375</v>
      </c>
      <c r="E1872">
        <v>441.9073486328125</v>
      </c>
      <c r="F1872">
        <v>0.69465798139572144</v>
      </c>
      <c r="G1872">
        <v>908.4625244140625</v>
      </c>
      <c r="H1872">
        <v>9.0000003576278687E-2</v>
      </c>
      <c r="I1872">
        <v>768.969970703125</v>
      </c>
      <c r="J1872">
        <v>1359</v>
      </c>
    </row>
    <row r="1873" spans="1:10" x14ac:dyDescent="0.25">
      <c r="A1873">
        <v>18286</v>
      </c>
      <c r="B1873" t="str">
        <v>Persistent Sys</v>
      </c>
      <c r="C1873">
        <v>55.502794000000002</v>
      </c>
      <c r="D1873">
        <v>2495.583740234375</v>
      </c>
      <c r="E1873">
        <v>1727.1407470703125</v>
      </c>
      <c r="F1873">
        <v>0.69207900762557983</v>
      </c>
      <c r="G1873">
        <v>5954.38720703125</v>
      </c>
      <c r="H1873">
        <v>3.9999999105930328E-2</v>
      </c>
      <c r="I1873">
        <v>92238.4609375</v>
      </c>
      <c r="J1873">
        <v>1359</v>
      </c>
    </row>
    <row r="1874" spans="1:10" x14ac:dyDescent="0.25">
      <c r="A1874">
        <v>20099</v>
      </c>
      <c r="B1874" t="str">
        <v>Petronet LNG</v>
      </c>
      <c r="C1874">
        <v>1.695994</v>
      </c>
      <c r="D1874">
        <v>250.66845703125</v>
      </c>
      <c r="E1874">
        <v>43.610595703125</v>
      </c>
      <c r="F1874">
        <v>0.17397700250148773</v>
      </c>
      <c r="G1874">
        <v>293.85000610351563</v>
      </c>
      <c r="H1874">
        <v>0.20000000298023224</v>
      </c>
      <c r="I1874">
        <v>43680</v>
      </c>
      <c r="J1874">
        <v>1359</v>
      </c>
    </row>
    <row r="1875" spans="1:10" x14ac:dyDescent="0.25">
      <c r="A1875">
        <v>434</v>
      </c>
      <c r="B1875" t="str">
        <v>Pfizer</v>
      </c>
      <c r="C1875">
        <v>5.5598710000000002</v>
      </c>
      <c r="D1875">
        <v>4595.6181640625</v>
      </c>
      <c r="E1875">
        <v>615.72955322265625</v>
      </c>
      <c r="F1875">
        <v>0.13398200273513794</v>
      </c>
      <c r="G1875">
        <v>5721.08740234375</v>
      </c>
      <c r="H1875">
        <v>9.9999997764825821E-3</v>
      </c>
      <c r="I1875">
        <v>25899.619140625</v>
      </c>
      <c r="J1875">
        <v>1359</v>
      </c>
    </row>
    <row r="1876" spans="1:10" x14ac:dyDescent="0.25">
      <c r="A1876">
        <v>2597</v>
      </c>
      <c r="B1876" t="str">
        <v>Phaarmasia</v>
      </c>
      <c r="C1876">
        <v>13.826404</v>
      </c>
      <c r="D1876">
        <v>31.273529052734375</v>
      </c>
      <c r="E1876">
        <v>9.5296916961669922</v>
      </c>
      <c r="F1876">
        <v>0.30472099781036377</v>
      </c>
      <c r="G1876">
        <v>34.330001831054688</v>
      </c>
      <c r="H1876">
        <v>2.9999999329447746E-2</v>
      </c>
      <c r="I1876">
        <v>23.219999313354492</v>
      </c>
      <c r="J1876">
        <v>1244</v>
      </c>
    </row>
    <row r="1877" spans="1:10" x14ac:dyDescent="0.25">
      <c r="A1877">
        <v>6418</v>
      </c>
      <c r="B1877" t="str">
        <v>Phoenix Mills</v>
      </c>
      <c r="C1877">
        <v>24.914421000000001</v>
      </c>
      <c r="D1877">
        <v>826.25921630859375</v>
      </c>
      <c r="E1877">
        <v>505.617431640625</v>
      </c>
      <c r="F1877">
        <v>0.61193597316741943</v>
      </c>
      <c r="G1877">
        <v>1582.14990234375</v>
      </c>
      <c r="H1877">
        <v>0.14000000059604645</v>
      </c>
      <c r="I1877">
        <v>55997.08984375</v>
      </c>
      <c r="J1877">
        <v>1359</v>
      </c>
    </row>
    <row r="1878" spans="1:10" x14ac:dyDescent="0.25">
      <c r="A1878">
        <v>42137</v>
      </c>
      <c r="B1878" t="str">
        <v>Phoenix Township</v>
      </c>
      <c r="C1878">
        <v>60.444848</v>
      </c>
      <c r="D1878">
        <v>79.572662353515625</v>
      </c>
      <c r="E1878">
        <v>79.170211791992188</v>
      </c>
      <c r="F1878">
        <v>0.99494200944900513</v>
      </c>
      <c r="G1878">
        <v>238.08749389648438</v>
      </c>
      <c r="H1878">
        <v>0.11999999731779099</v>
      </c>
      <c r="I1878">
        <v>435.69000244140625</v>
      </c>
      <c r="J1878">
        <v>1205</v>
      </c>
    </row>
    <row r="1879" spans="1:10" x14ac:dyDescent="0.25">
      <c r="A1879">
        <v>13550</v>
      </c>
      <c r="B1879" t="str">
        <v>Phosphate Co</v>
      </c>
      <c r="C1879">
        <v>17.975479</v>
      </c>
      <c r="D1879">
        <v>118.1456298828125</v>
      </c>
      <c r="E1879">
        <v>40.539196014404297</v>
      </c>
      <c r="F1879">
        <v>0.34312900900840759</v>
      </c>
      <c r="G1879">
        <v>151</v>
      </c>
      <c r="H1879">
        <v>0.30000001192092896</v>
      </c>
      <c r="I1879">
        <v>54.470001220703125</v>
      </c>
      <c r="J1879">
        <v>1064</v>
      </c>
    </row>
    <row r="1880" spans="1:10" x14ac:dyDescent="0.25">
      <c r="A1880">
        <v>4946</v>
      </c>
      <c r="B1880" t="str">
        <v>Piccadily Agro</v>
      </c>
      <c r="C1880">
        <v>87.517399999999995</v>
      </c>
      <c r="D1880">
        <v>202.10685729980469</v>
      </c>
      <c r="E1880">
        <v>284.15997314453125</v>
      </c>
      <c r="F1880">
        <v>1.4059890508651733</v>
      </c>
      <c r="G1880">
        <v>568.73748779296875</v>
      </c>
      <c r="H1880">
        <v>0.56999999284744263</v>
      </c>
      <c r="I1880">
        <v>5349.14013671875</v>
      </c>
      <c r="J1880">
        <v>1359</v>
      </c>
    </row>
    <row r="1881" spans="1:10" x14ac:dyDescent="0.25">
      <c r="A1881">
        <v>3587</v>
      </c>
      <c r="B1881" t="str">
        <v>Piccadily Sugar</v>
      </c>
      <c r="C1881">
        <v>43.465240000000001</v>
      </c>
      <c r="D1881">
        <v>27.803237915039063</v>
      </c>
      <c r="E1881">
        <v>24.137170791625977</v>
      </c>
      <c r="F1881">
        <v>0.86814200878143311</v>
      </c>
      <c r="G1881">
        <v>51.597499847412109</v>
      </c>
      <c r="H1881">
        <v>0.68000000715255737</v>
      </c>
      <c r="I1881">
        <v>118.51000213623047</v>
      </c>
      <c r="J1881">
        <v>1355</v>
      </c>
    </row>
    <row r="1882" spans="1:10" x14ac:dyDescent="0.25">
      <c r="A1882">
        <v>21211</v>
      </c>
      <c r="B1882" t="str">
        <v>Picturehouse</v>
      </c>
      <c r="C1882">
        <v>36.762810000000002</v>
      </c>
      <c r="D1882">
        <v>6.0328249931335449</v>
      </c>
      <c r="E1882">
        <v>2.7966001033782959</v>
      </c>
      <c r="F1882">
        <v>0.46356400847434998</v>
      </c>
      <c r="G1882">
        <v>6.8499999046325684</v>
      </c>
      <c r="H1882">
        <v>0</v>
      </c>
      <c r="I1882">
        <v>34.75</v>
      </c>
      <c r="J1882">
        <v>870</v>
      </c>
    </row>
    <row r="1883" spans="1:10" x14ac:dyDescent="0.25">
      <c r="A1883">
        <v>3219</v>
      </c>
      <c r="B1883" t="str">
        <v>Pidilite Inds.</v>
      </c>
      <c r="C1883">
        <v>13.983883000000001</v>
      </c>
      <c r="D1883">
        <v>2361.939208984375</v>
      </c>
      <c r="E1883">
        <v>547.05084228515625</v>
      </c>
      <c r="F1883">
        <v>0.23161099851131439</v>
      </c>
      <c r="G1883">
        <v>2966.58740234375</v>
      </c>
      <c r="H1883">
        <v>2.9999999329447746E-2</v>
      </c>
      <c r="I1883">
        <v>150974.578125</v>
      </c>
      <c r="J1883">
        <v>1359</v>
      </c>
    </row>
    <row r="1884" spans="1:10" x14ac:dyDescent="0.25">
      <c r="A1884">
        <v>2817</v>
      </c>
      <c r="B1884" t="str">
        <v>Pil Italica Life</v>
      </c>
      <c r="C1884">
        <v>19.101932000000001</v>
      </c>
      <c r="D1884">
        <v>10.016268730163574</v>
      </c>
      <c r="E1884">
        <v>3.4354519844055176</v>
      </c>
      <c r="F1884">
        <v>0.34298700094223022</v>
      </c>
      <c r="G1884">
        <v>16.030000686645508</v>
      </c>
      <c r="H1884">
        <v>0.15999999642372131</v>
      </c>
      <c r="I1884">
        <v>379.29000854492188</v>
      </c>
      <c r="J1884">
        <v>1358</v>
      </c>
    </row>
    <row r="1885" spans="1:10" x14ac:dyDescent="0.25">
      <c r="A1885">
        <v>5834</v>
      </c>
      <c r="B1885" t="str">
        <v>Pilani Invest.</v>
      </c>
      <c r="C1885">
        <v>26.106808000000001</v>
      </c>
      <c r="D1885">
        <v>2483.382568359375</v>
      </c>
      <c r="E1885">
        <v>1401.3228759765625</v>
      </c>
      <c r="F1885">
        <v>0.56427997350692749</v>
      </c>
      <c r="G1885">
        <v>5128.71240234375</v>
      </c>
      <c r="H1885">
        <v>0.10000000149011612</v>
      </c>
      <c r="I1885">
        <v>5614.7900390625</v>
      </c>
      <c r="J1885">
        <v>1353</v>
      </c>
    </row>
    <row r="1886" spans="1:10" x14ac:dyDescent="0.25">
      <c r="A1886">
        <v>3914</v>
      </c>
      <c r="B1886" t="str">
        <v>Pion. Agro Extr.</v>
      </c>
      <c r="C1886">
        <v>15.723898</v>
      </c>
      <c r="D1886">
        <v>9.9706153869628906</v>
      </c>
      <c r="E1886">
        <v>3.3577470779418945</v>
      </c>
      <c r="F1886">
        <v>0.33676400780677795</v>
      </c>
      <c r="G1886">
        <v>19.680000305175781</v>
      </c>
      <c r="H1886">
        <v>0</v>
      </c>
      <c r="I1886">
        <v>8.5200004577636719</v>
      </c>
      <c r="J1886">
        <v>65</v>
      </c>
    </row>
    <row r="1887" spans="1:10" x14ac:dyDescent="0.25">
      <c r="A1887">
        <v>3188</v>
      </c>
      <c r="B1887" t="str">
        <v>Pion. Embroider.</v>
      </c>
      <c r="C1887">
        <v>6.8963390000000002</v>
      </c>
      <c r="D1887">
        <v>43.846084594726563</v>
      </c>
      <c r="E1887">
        <v>12.250060081481934</v>
      </c>
      <c r="F1887">
        <v>0.27938801050186157</v>
      </c>
      <c r="G1887">
        <v>43.192501068115234</v>
      </c>
      <c r="H1887">
        <v>0.72000002861022949</v>
      </c>
      <c r="I1887">
        <v>132.50999450683594</v>
      </c>
      <c r="J1887">
        <v>1346</v>
      </c>
    </row>
    <row r="1888" spans="1:10" x14ac:dyDescent="0.25">
      <c r="A1888">
        <v>7387</v>
      </c>
      <c r="B1888" t="str">
        <v>Pioneer Distil.</v>
      </c>
      <c r="C1888">
        <v>11.733667000000001</v>
      </c>
      <c r="D1888">
        <v>141.26181030273438</v>
      </c>
      <c r="E1888">
        <v>31.03907585144043</v>
      </c>
      <c r="F1888">
        <v>0.21972699463367462</v>
      </c>
      <c r="G1888">
        <v>173.60000610351563</v>
      </c>
      <c r="H1888">
        <v>0</v>
      </c>
      <c r="I1888">
        <v>242.22999572753906</v>
      </c>
      <c r="J1888">
        <v>733</v>
      </c>
    </row>
    <row r="1889" spans="1:10" x14ac:dyDescent="0.25">
      <c r="A1889">
        <v>1362</v>
      </c>
      <c r="B1889" t="str">
        <v>Pioneer Invest</v>
      </c>
      <c r="C1889">
        <v>4.4351820000000002</v>
      </c>
      <c r="D1889">
        <v>40.271682739257813</v>
      </c>
      <c r="E1889">
        <v>13.741584777832031</v>
      </c>
      <c r="F1889">
        <v>0.34122198820114136</v>
      </c>
      <c r="G1889">
        <v>59.080001831054688</v>
      </c>
      <c r="H1889">
        <v>0.51999998092651367</v>
      </c>
      <c r="I1889">
        <v>70.489997863769531</v>
      </c>
      <c r="J1889">
        <v>1357</v>
      </c>
    </row>
    <row r="1890" spans="1:10" x14ac:dyDescent="0.25">
      <c r="A1890">
        <v>412</v>
      </c>
      <c r="B1890" t="str">
        <v>Piramal Enterp.</v>
      </c>
      <c r="C1890">
        <v>5.2247750000000002</v>
      </c>
      <c r="D1890">
        <v>965.42254638671875</v>
      </c>
      <c r="E1890">
        <v>225.783447265625</v>
      </c>
      <c r="F1890">
        <v>0.2338699996471405</v>
      </c>
      <c r="G1890">
        <v>1114.83740234375</v>
      </c>
      <c r="H1890">
        <v>0.37000000476837158</v>
      </c>
      <c r="I1890">
        <v>24901.6796875</v>
      </c>
      <c r="J1890">
        <v>1359</v>
      </c>
    </row>
    <row r="1891" spans="1:10" x14ac:dyDescent="0.25">
      <c r="A1891">
        <v>1648</v>
      </c>
      <c r="B1891" t="str">
        <v>Pix Transmission</v>
      </c>
      <c r="C1891">
        <v>48.064937</v>
      </c>
      <c r="D1891">
        <v>916.330078125</v>
      </c>
      <c r="E1891">
        <v>564.98944091796875</v>
      </c>
      <c r="F1891">
        <v>0.61657899618148804</v>
      </c>
      <c r="G1891">
        <v>1569.2750244140625</v>
      </c>
      <c r="H1891">
        <v>0.14000000059604645</v>
      </c>
      <c r="I1891">
        <v>2123.68994140625</v>
      </c>
      <c r="J1891">
        <v>1359</v>
      </c>
    </row>
    <row r="1892" spans="1:10" x14ac:dyDescent="0.25">
      <c r="A1892">
        <v>2638</v>
      </c>
      <c r="B1892" t="str">
        <v>Plastiblends (I)</v>
      </c>
      <c r="C1892">
        <v>3.0594359999999998</v>
      </c>
      <c r="D1892">
        <v>225.76258850097656</v>
      </c>
      <c r="E1892">
        <v>46.586139678955078</v>
      </c>
      <c r="F1892">
        <v>0.20634999871253967</v>
      </c>
      <c r="G1892">
        <v>210.625</v>
      </c>
      <c r="H1892">
        <v>1.9999999552965164E-2</v>
      </c>
      <c r="I1892">
        <v>543.55999755859375</v>
      </c>
      <c r="J1892">
        <v>1356</v>
      </c>
    </row>
    <row r="1893" spans="1:10" x14ac:dyDescent="0.25">
      <c r="A1893">
        <v>3826</v>
      </c>
      <c r="B1893" t="str">
        <v>Poddar Pigments</v>
      </c>
      <c r="C1893">
        <v>11.556433</v>
      </c>
      <c r="D1893">
        <v>287.88836669921875</v>
      </c>
      <c r="E1893">
        <v>78.728591918945313</v>
      </c>
      <c r="F1893">
        <v>0.27346900105476379</v>
      </c>
      <c r="G1893">
        <v>302.79998779296875</v>
      </c>
      <c r="H1893">
        <v>0</v>
      </c>
      <c r="I1893">
        <v>317.5</v>
      </c>
      <c r="J1893">
        <v>1350</v>
      </c>
    </row>
    <row r="1894" spans="1:10" x14ac:dyDescent="0.25">
      <c r="A1894">
        <v>13362</v>
      </c>
      <c r="B1894" t="str">
        <v>Pokarna</v>
      </c>
      <c r="C1894">
        <v>47.247320000000002</v>
      </c>
      <c r="D1894">
        <v>503.59912109375</v>
      </c>
      <c r="E1894">
        <v>312.32806396484375</v>
      </c>
      <c r="F1894">
        <v>0.62019199132919312</v>
      </c>
      <c r="G1894">
        <v>1054.21240234375</v>
      </c>
      <c r="H1894">
        <v>0.34999999403953552</v>
      </c>
      <c r="I1894">
        <v>3197.1298828125</v>
      </c>
      <c r="J1894">
        <v>1357</v>
      </c>
    </row>
    <row r="1895" spans="1:10" x14ac:dyDescent="0.25">
      <c r="A1895">
        <v>24152</v>
      </c>
      <c r="B1895" t="str">
        <v>Polo Queen Ind.</v>
      </c>
      <c r="C1895">
        <v>51.186576000000002</v>
      </c>
      <c r="D1895">
        <v>50.364261627197266</v>
      </c>
      <c r="E1895">
        <v>29.941867828369141</v>
      </c>
      <c r="F1895">
        <v>0.59450602531433105</v>
      </c>
      <c r="G1895">
        <v>58.502498626708984</v>
      </c>
      <c r="H1895">
        <v>7.9999998211860657E-2</v>
      </c>
      <c r="I1895">
        <v>1950.7099609375</v>
      </c>
      <c r="J1895">
        <v>1002</v>
      </c>
    </row>
    <row r="1896" spans="1:10" x14ac:dyDescent="0.25">
      <c r="A1896">
        <v>8002</v>
      </c>
      <c r="B1896" t="str">
        <v>Polson</v>
      </c>
      <c r="C1896">
        <v>9.9885429999999999</v>
      </c>
      <c r="D1896">
        <v>11479.4404296875</v>
      </c>
      <c r="E1896">
        <v>2218.966064453125</v>
      </c>
      <c r="F1896">
        <v>0.19329899549484253</v>
      </c>
      <c r="G1896">
        <v>13124.625</v>
      </c>
      <c r="H1896">
        <v>0.37000000476837158</v>
      </c>
      <c r="I1896">
        <v>156.00999450683594</v>
      </c>
      <c r="J1896">
        <v>1346</v>
      </c>
    </row>
    <row r="1897" spans="1:10" x14ac:dyDescent="0.25">
      <c r="A1897">
        <v>13973</v>
      </c>
      <c r="B1897" t="str">
        <v>Poly Medicure</v>
      </c>
      <c r="C1897">
        <v>43.736257999999999</v>
      </c>
      <c r="D1897">
        <v>1166.076171875</v>
      </c>
      <c r="E1897">
        <v>685.68450927734375</v>
      </c>
      <c r="F1897">
        <v>0.58802700042724609</v>
      </c>
      <c r="G1897">
        <v>2094.58740234375</v>
      </c>
      <c r="H1897">
        <v>0.10999999940395355</v>
      </c>
      <c r="I1897">
        <v>20807.240234375</v>
      </c>
      <c r="J1897">
        <v>1359</v>
      </c>
    </row>
    <row r="1898" spans="1:10" x14ac:dyDescent="0.25">
      <c r="A1898">
        <v>26603</v>
      </c>
      <c r="B1898" t="str">
        <v>Polycab India</v>
      </c>
      <c r="C1898">
        <v>33.845771999999997</v>
      </c>
      <c r="D1898">
        <v>3305.699462890625</v>
      </c>
      <c r="E1898">
        <v>2036.466064453125</v>
      </c>
      <c r="F1898">
        <v>0.61604702472686768</v>
      </c>
      <c r="G1898">
        <v>5902</v>
      </c>
      <c r="H1898">
        <v>9.9999997764825821E-3</v>
      </c>
      <c r="I1898">
        <v>87569.953125</v>
      </c>
      <c r="J1898">
        <v>1359</v>
      </c>
    </row>
    <row r="1899" spans="1:10" x14ac:dyDescent="0.25">
      <c r="A1899">
        <v>440</v>
      </c>
      <c r="B1899" t="str">
        <v>Polychem</v>
      </c>
      <c r="C1899">
        <v>29.037915000000002</v>
      </c>
      <c r="D1899">
        <v>1319.538818359375</v>
      </c>
      <c r="E1899">
        <v>958.07586669921875</v>
      </c>
      <c r="F1899">
        <v>0.72606897354125977</v>
      </c>
      <c r="G1899">
        <v>1970.0250244140625</v>
      </c>
      <c r="H1899">
        <v>2.9999999329447746E-2</v>
      </c>
      <c r="I1899">
        <v>78.400001525878906</v>
      </c>
      <c r="J1899">
        <v>1309</v>
      </c>
    </row>
    <row r="1900" spans="1:10" x14ac:dyDescent="0.25">
      <c r="A1900">
        <v>6668</v>
      </c>
      <c r="B1900" t="str">
        <v>Polylink Poly.</v>
      </c>
      <c r="C1900">
        <v>18.274560000000001</v>
      </c>
      <c r="D1900">
        <v>22.747293472290039</v>
      </c>
      <c r="E1900">
        <v>8.7474241256713867</v>
      </c>
      <c r="F1900">
        <v>0.38454800844192505</v>
      </c>
      <c r="G1900">
        <v>27.712499618530273</v>
      </c>
      <c r="H1900">
        <v>3.9999999105930328E-2</v>
      </c>
      <c r="I1900">
        <v>60.520000457763672</v>
      </c>
      <c r="J1900">
        <v>1357</v>
      </c>
    </row>
    <row r="1901" spans="1:10" x14ac:dyDescent="0.25">
      <c r="A1901">
        <v>3084</v>
      </c>
      <c r="B1901" t="str">
        <v>Polymechplast Ma</v>
      </c>
      <c r="C1901">
        <v>24.921146</v>
      </c>
      <c r="D1901">
        <v>56.851104736328125</v>
      </c>
      <c r="E1901">
        <v>19.07826042175293</v>
      </c>
      <c r="F1901">
        <v>0.33558300137519836</v>
      </c>
      <c r="G1901">
        <v>60.619998931884766</v>
      </c>
      <c r="H1901">
        <v>0.10000000149011612</v>
      </c>
      <c r="I1901">
        <v>33.319999694824219</v>
      </c>
      <c r="J1901">
        <v>1315</v>
      </c>
    </row>
    <row r="1902" spans="1:10" x14ac:dyDescent="0.25">
      <c r="A1902">
        <v>1056</v>
      </c>
      <c r="B1902" t="str">
        <v>Polyplex Corpn</v>
      </c>
      <c r="C1902">
        <v>16.535121</v>
      </c>
      <c r="D1902">
        <v>1260.1011962890625</v>
      </c>
      <c r="E1902">
        <v>529.38348388671875</v>
      </c>
      <c r="F1902">
        <v>0.4201120138168335</v>
      </c>
      <c r="G1902">
        <v>1234.574951171875</v>
      </c>
      <c r="H1902">
        <v>0.10000000149011612</v>
      </c>
      <c r="I1902">
        <v>3854.3701171875</v>
      </c>
      <c r="J1902">
        <v>1359</v>
      </c>
    </row>
    <row r="1903" spans="1:10" x14ac:dyDescent="0.25">
      <c r="A1903">
        <v>1465</v>
      </c>
      <c r="B1903" t="str">
        <v>Polytex India</v>
      </c>
      <c r="C1903">
        <v>39.447834</v>
      </c>
      <c r="D1903">
        <v>4.0653457641601563</v>
      </c>
      <c r="E1903">
        <v>1.7517540454864502</v>
      </c>
      <c r="F1903">
        <v>0.4308989942073822</v>
      </c>
      <c r="G1903">
        <v>4.9875001907348633</v>
      </c>
      <c r="H1903">
        <v>3.9999999105930328E-2</v>
      </c>
      <c r="I1903">
        <v>6.7899999618530273</v>
      </c>
      <c r="J1903">
        <v>909</v>
      </c>
    </row>
    <row r="1904" spans="1:10" x14ac:dyDescent="0.25">
      <c r="A1904">
        <v>14229</v>
      </c>
      <c r="B1904" t="str">
        <v>Pondy Oxides</v>
      </c>
      <c r="C1904">
        <v>54.669668000000001</v>
      </c>
      <c r="D1904">
        <v>266.03909301757813</v>
      </c>
      <c r="E1904">
        <v>268.40838623046875</v>
      </c>
      <c r="F1904">
        <v>1.0089060068130493</v>
      </c>
      <c r="G1904">
        <v>702.2874755859375</v>
      </c>
      <c r="H1904">
        <v>0.38999998569488525</v>
      </c>
      <c r="I1904">
        <v>1984.47998046875</v>
      </c>
      <c r="J1904">
        <v>1359</v>
      </c>
    </row>
    <row r="1905" spans="1:10" x14ac:dyDescent="0.25">
      <c r="A1905">
        <v>22202</v>
      </c>
      <c r="B1905" t="str">
        <v>Ponni Sug.Erode</v>
      </c>
      <c r="C1905">
        <v>11.949334</v>
      </c>
      <c r="D1905">
        <v>308.4691162109375</v>
      </c>
      <c r="E1905">
        <v>119.22157287597656</v>
      </c>
      <c r="F1905">
        <v>0.38649401068687439</v>
      </c>
      <c r="G1905">
        <v>327.92498779296875</v>
      </c>
      <c r="H1905">
        <v>0</v>
      </c>
      <c r="I1905">
        <v>278.239990234375</v>
      </c>
      <c r="J1905">
        <v>1330</v>
      </c>
    </row>
    <row r="1906" spans="1:10" x14ac:dyDescent="0.25">
      <c r="A1906">
        <v>3773</v>
      </c>
      <c r="B1906" t="str">
        <v>Poona Dal &amp; Oil</v>
      </c>
      <c r="C1906">
        <v>17.691333</v>
      </c>
      <c r="D1906">
        <v>53.99273681640625</v>
      </c>
      <c r="E1906">
        <v>15.063936233520508</v>
      </c>
      <c r="F1906">
        <v>0.27899900078773499</v>
      </c>
      <c r="G1906">
        <v>68.099998474121094</v>
      </c>
      <c r="H1906">
        <v>0</v>
      </c>
      <c r="I1906">
        <v>38.830001831054688</v>
      </c>
      <c r="J1906">
        <v>1353</v>
      </c>
    </row>
    <row r="1907" spans="1:10" x14ac:dyDescent="0.25">
      <c r="A1907">
        <v>5174</v>
      </c>
      <c r="B1907" t="str">
        <v>Popees Cares</v>
      </c>
      <c r="C1907">
        <v>56.938206999999998</v>
      </c>
      <c r="D1907">
        <v>49.857707977294922</v>
      </c>
      <c r="E1907">
        <v>64.616714477539063</v>
      </c>
      <c r="F1907">
        <v>1.2960220575332642</v>
      </c>
      <c r="G1907">
        <v>34.229999542236328</v>
      </c>
      <c r="H1907">
        <v>0</v>
      </c>
      <c r="I1907">
        <v>20.770000457763672</v>
      </c>
      <c r="J1907">
        <v>967</v>
      </c>
    </row>
    <row r="1908" spans="1:10" x14ac:dyDescent="0.25">
      <c r="A1908">
        <v>7396</v>
      </c>
      <c r="B1908" t="str">
        <v>Popular Estate</v>
      </c>
      <c r="C1908">
        <v>13.540469999999999</v>
      </c>
      <c r="D1908">
        <v>18.572544097900391</v>
      </c>
      <c r="E1908">
        <v>6.4500360488891602</v>
      </c>
      <c r="F1908">
        <v>0.34728899598121643</v>
      </c>
      <c r="G1908">
        <v>26.032499313354492</v>
      </c>
      <c r="H1908">
        <v>0.18000000715255737</v>
      </c>
      <c r="I1908">
        <v>37.169998168945313</v>
      </c>
      <c r="J1908">
        <v>519</v>
      </c>
    </row>
    <row r="1909" spans="1:10" x14ac:dyDescent="0.25">
      <c r="A1909">
        <v>3948</v>
      </c>
      <c r="B1909" t="str">
        <v>Porwal Auto Comp</v>
      </c>
      <c r="C1909">
        <v>20.621583999999999</v>
      </c>
      <c r="D1909">
        <v>31.65745735168457</v>
      </c>
      <c r="E1909">
        <v>17.54033088684082</v>
      </c>
      <c r="F1909">
        <v>0.554066002368927</v>
      </c>
      <c r="G1909">
        <v>49.3125</v>
      </c>
      <c r="H1909">
        <v>0.10000000149011612</v>
      </c>
      <c r="I1909">
        <v>75.730003356933594</v>
      </c>
      <c r="J1909">
        <v>1358</v>
      </c>
    </row>
    <row r="1910" spans="1:10" x14ac:dyDescent="0.25">
      <c r="A1910">
        <v>34787</v>
      </c>
      <c r="B1910" t="str">
        <v>Power Mech Proj.</v>
      </c>
      <c r="C1910">
        <v>44.769725000000001</v>
      </c>
      <c r="D1910">
        <v>1236.68603515625</v>
      </c>
      <c r="E1910">
        <v>1023.4052734375</v>
      </c>
      <c r="F1910">
        <v>0.82753801345825195</v>
      </c>
      <c r="G1910">
        <v>3063.6376953125</v>
      </c>
      <c r="H1910">
        <v>0.27000001072883606</v>
      </c>
      <c r="I1910">
        <v>9648.8203125</v>
      </c>
      <c r="J1910">
        <v>1359</v>
      </c>
    </row>
    <row r="1911" spans="1:10" x14ac:dyDescent="0.25">
      <c r="A1911">
        <v>3529</v>
      </c>
      <c r="B1911" t="str">
        <v>Pradeep Metals</v>
      </c>
      <c r="C1911">
        <v>34.340578000000001</v>
      </c>
      <c r="D1911">
        <v>139.57781982421875</v>
      </c>
      <c r="E1911">
        <v>83.882125854492188</v>
      </c>
      <c r="F1911">
        <v>0.60096997022628784</v>
      </c>
      <c r="G1911">
        <v>265.79998779296875</v>
      </c>
      <c r="H1911">
        <v>0.54000002145767212</v>
      </c>
      <c r="I1911">
        <v>461.8900146484375</v>
      </c>
      <c r="J1911">
        <v>1346</v>
      </c>
    </row>
    <row r="1912" spans="1:10" x14ac:dyDescent="0.25">
      <c r="A1912">
        <v>4828</v>
      </c>
      <c r="B1912" t="str">
        <v>Pradhin</v>
      </c>
      <c r="C1912">
        <v>-25.299035</v>
      </c>
      <c r="D1912">
        <v>1.0014619827270508</v>
      </c>
      <c r="E1912">
        <v>0.297760009765625</v>
      </c>
      <c r="F1912">
        <v>0.29732498526573181</v>
      </c>
      <c r="G1912">
        <v>0.36750000715255737</v>
      </c>
      <c r="H1912">
        <v>0</v>
      </c>
      <c r="I1912">
        <v>36.529998779296875</v>
      </c>
      <c r="J1912">
        <v>939</v>
      </c>
    </row>
    <row r="1913" spans="1:10" x14ac:dyDescent="0.25">
      <c r="A1913">
        <v>3458</v>
      </c>
      <c r="B1913" t="str">
        <v>Praj Industries</v>
      </c>
      <c r="C1913">
        <v>28.818625999999998</v>
      </c>
      <c r="D1913">
        <v>383.15994262695313</v>
      </c>
      <c r="E1913">
        <v>204.83180236816406</v>
      </c>
      <c r="F1913">
        <v>0.53458601236343384</v>
      </c>
      <c r="G1913">
        <v>482.5</v>
      </c>
      <c r="H1913">
        <v>2.9999999329447746E-2</v>
      </c>
      <c r="I1913">
        <v>8759.6103515625</v>
      </c>
      <c r="J1913">
        <v>1359</v>
      </c>
    </row>
    <row r="1914" spans="1:10" x14ac:dyDescent="0.25">
      <c r="A1914">
        <v>7383</v>
      </c>
      <c r="B1914" t="str">
        <v>Prajay Engineers</v>
      </c>
      <c r="C1914">
        <v>24.914437</v>
      </c>
      <c r="D1914">
        <v>17.18104362487793</v>
      </c>
      <c r="E1914">
        <v>8.815089225769043</v>
      </c>
      <c r="F1914">
        <v>0.51307100057601929</v>
      </c>
      <c r="G1914">
        <v>22.795000076293945</v>
      </c>
      <c r="H1914">
        <v>0.18999999761581421</v>
      </c>
      <c r="I1914">
        <v>154.77999877929688</v>
      </c>
      <c r="J1914">
        <v>1348</v>
      </c>
    </row>
    <row r="1915" spans="1:10" x14ac:dyDescent="0.25">
      <c r="A1915">
        <v>444</v>
      </c>
      <c r="B1915" t="str">
        <v>Prakash Industri</v>
      </c>
      <c r="C1915">
        <v>21.064064999999999</v>
      </c>
      <c r="D1915">
        <v>94.914588928222656</v>
      </c>
      <c r="E1915">
        <v>55.343235015869141</v>
      </c>
      <c r="F1915">
        <v>0.58308500051498413</v>
      </c>
      <c r="G1915">
        <v>157.83749389648438</v>
      </c>
      <c r="H1915">
        <v>0.15999999642372131</v>
      </c>
      <c r="I1915">
        <v>2799.050048828125</v>
      </c>
      <c r="J1915">
        <v>1359</v>
      </c>
    </row>
    <row r="1916" spans="1:10" x14ac:dyDescent="0.25">
      <c r="A1916">
        <v>74285</v>
      </c>
      <c r="B1916" t="str">
        <v>Prakash Pipes</v>
      </c>
      <c r="C1916">
        <v>33.116413999999999</v>
      </c>
      <c r="D1916">
        <v>235.24867248535156</v>
      </c>
      <c r="E1916">
        <v>157.53399658203125</v>
      </c>
      <c r="F1916">
        <v>0.66964900493621826</v>
      </c>
      <c r="G1916">
        <v>401.6875</v>
      </c>
      <c r="H1916">
        <v>7.9999998211860657E-2</v>
      </c>
      <c r="I1916">
        <v>955.9000244140625</v>
      </c>
      <c r="J1916">
        <v>1359</v>
      </c>
    </row>
    <row r="1917" spans="1:10" x14ac:dyDescent="0.25">
      <c r="A1917">
        <v>29574</v>
      </c>
      <c r="B1917" t="str">
        <v>Prakash Steelage</v>
      </c>
      <c r="C1917">
        <v>62.019343999999997</v>
      </c>
      <c r="D1917">
        <v>4.8374419212341309</v>
      </c>
      <c r="E1917">
        <v>3.1532590389251709</v>
      </c>
      <c r="F1917">
        <v>0.65184402465820313</v>
      </c>
      <c r="G1917">
        <v>6.0949997901916504</v>
      </c>
      <c r="H1917">
        <v>0</v>
      </c>
      <c r="I1917">
        <v>104.83000183105469</v>
      </c>
      <c r="J1917">
        <v>1323</v>
      </c>
    </row>
    <row r="1918" spans="1:10" x14ac:dyDescent="0.25">
      <c r="A1918">
        <v>68829</v>
      </c>
      <c r="B1918" t="str">
        <v>Prataap Snacks</v>
      </c>
      <c r="C1918">
        <v>4.2115929999999997</v>
      </c>
      <c r="D1918">
        <v>812.0174560546875</v>
      </c>
      <c r="E1918">
        <v>183.05567932128906</v>
      </c>
      <c r="F1918">
        <v>0.22543300688266754</v>
      </c>
      <c r="G1918">
        <v>1068.0499267578125</v>
      </c>
      <c r="H1918">
        <v>0.10000000149011612</v>
      </c>
      <c r="I1918">
        <v>2536.7900390625</v>
      </c>
      <c r="J1918">
        <v>1352</v>
      </c>
    </row>
    <row r="1919" spans="1:10" x14ac:dyDescent="0.25">
      <c r="A1919">
        <v>3790</v>
      </c>
      <c r="B1919" t="str">
        <v>Pratik Panels</v>
      </c>
      <c r="C1919">
        <v>31.804302</v>
      </c>
      <c r="D1919">
        <v>5.7288661003112793</v>
      </c>
      <c r="E1919">
        <v>2.0576028823852539</v>
      </c>
      <c r="F1919">
        <v>0.35916399955749512</v>
      </c>
      <c r="G1919">
        <v>9.4200000762939453</v>
      </c>
      <c r="H1919">
        <v>0</v>
      </c>
      <c r="I1919">
        <v>60.189998626708984</v>
      </c>
      <c r="J1919">
        <v>472</v>
      </c>
    </row>
    <row r="1920" spans="1:10" x14ac:dyDescent="0.25">
      <c r="A1920">
        <v>6278</v>
      </c>
      <c r="B1920" t="str">
        <v>Pratiksha Chem.</v>
      </c>
      <c r="C1920">
        <v>45.505724999999998</v>
      </c>
      <c r="D1920">
        <v>20.847007751464844</v>
      </c>
      <c r="E1920">
        <v>8.1827182769775391</v>
      </c>
      <c r="F1920">
        <v>0.39251300692558289</v>
      </c>
      <c r="G1920">
        <v>20.700000762939453</v>
      </c>
      <c r="H1920">
        <v>0.94999998807907104</v>
      </c>
      <c r="I1920">
        <v>11.989999771118164</v>
      </c>
      <c r="J1920">
        <v>1174</v>
      </c>
    </row>
    <row r="1921" spans="1:10" x14ac:dyDescent="0.25">
      <c r="A1921">
        <v>6969</v>
      </c>
      <c r="B1921" t="str">
        <v>Praveg</v>
      </c>
      <c r="C1921">
        <v>97.852823000000001</v>
      </c>
      <c r="D1921">
        <v>354.80264282226563</v>
      </c>
      <c r="E1921">
        <v>307.18557739257813</v>
      </c>
      <c r="F1921">
        <v>0.86579298973083496</v>
      </c>
      <c r="G1921">
        <v>498.89999389648438</v>
      </c>
      <c r="H1921">
        <v>0.15999999642372131</v>
      </c>
      <c r="I1921">
        <v>1286.3800048828125</v>
      </c>
      <c r="J1921">
        <v>1339</v>
      </c>
    </row>
    <row r="1922" spans="1:10" x14ac:dyDescent="0.25">
      <c r="A1922">
        <v>70580</v>
      </c>
      <c r="B1922" t="str">
        <v>Praxis Home</v>
      </c>
      <c r="C1922">
        <v>-13.319278000000001</v>
      </c>
      <c r="D1922">
        <v>21.983827590942383</v>
      </c>
      <c r="E1922">
        <v>8.4894914627075195</v>
      </c>
      <c r="F1922">
        <v>0.38616999983787537</v>
      </c>
      <c r="G1922">
        <v>12.510000228881836</v>
      </c>
      <c r="H1922">
        <v>0</v>
      </c>
      <c r="I1922">
        <v>236.1300048828125</v>
      </c>
      <c r="J1922">
        <v>1265</v>
      </c>
    </row>
    <row r="1923" spans="1:10" x14ac:dyDescent="0.25">
      <c r="A1923">
        <v>2400</v>
      </c>
      <c r="B1923" t="str">
        <v>Prec. Wires (I)</v>
      </c>
      <c r="C1923">
        <v>40.137661000000001</v>
      </c>
      <c r="D1923">
        <v>77.959602355957031</v>
      </c>
      <c r="E1923">
        <v>56.240985870361328</v>
      </c>
      <c r="F1923">
        <v>0.72141200304031372</v>
      </c>
      <c r="G1923">
        <v>175.35000610351563</v>
      </c>
      <c r="H1923">
        <v>0.11999999731779099</v>
      </c>
      <c r="I1923">
        <v>3111.330078125</v>
      </c>
      <c r="J1923">
        <v>1358</v>
      </c>
    </row>
    <row r="1924" spans="1:10" x14ac:dyDescent="0.25">
      <c r="A1924">
        <v>23816</v>
      </c>
      <c r="B1924" t="str">
        <v>Precision Camshf</v>
      </c>
      <c r="C1924">
        <v>29.261832999999999</v>
      </c>
      <c r="D1924">
        <v>139.99105834960938</v>
      </c>
      <c r="E1924">
        <v>86.86737060546875</v>
      </c>
      <c r="F1924">
        <v>0.62052100896835327</v>
      </c>
      <c r="G1924">
        <v>198.73750305175781</v>
      </c>
      <c r="H1924">
        <v>5.9999998658895493E-2</v>
      </c>
      <c r="I1924">
        <v>1855.0699462890625</v>
      </c>
      <c r="J1924">
        <v>1359</v>
      </c>
    </row>
    <row r="1925" spans="1:10" x14ac:dyDescent="0.25">
      <c r="A1925">
        <v>3315</v>
      </c>
      <c r="B1925" t="str">
        <v>Prem. Explosives</v>
      </c>
      <c r="C1925">
        <v>58.280591000000001</v>
      </c>
      <c r="D1925">
        <v>179.52482604980469</v>
      </c>
      <c r="E1925">
        <v>197.26213073730469</v>
      </c>
      <c r="F1925">
        <v>1.0988010168075562</v>
      </c>
      <c r="G1925">
        <v>590.17498779296875</v>
      </c>
      <c r="H1925">
        <v>0.37000000476837158</v>
      </c>
      <c r="I1925">
        <v>3155.780029296875</v>
      </c>
      <c r="J1925">
        <v>1356</v>
      </c>
    </row>
    <row r="1926" spans="1:10" x14ac:dyDescent="0.25">
      <c r="A1926">
        <v>2264</v>
      </c>
      <c r="B1926" t="str">
        <v>Prem. Synthetic</v>
      </c>
      <c r="C1926">
        <v>17.001258</v>
      </c>
      <c r="D1926">
        <v>18.335784912109375</v>
      </c>
      <c r="E1926">
        <v>7.7034859657287598</v>
      </c>
      <c r="F1926">
        <v>0.42013400793075562</v>
      </c>
      <c r="G1926">
        <v>19.362499237060547</v>
      </c>
      <c r="H1926">
        <v>0.31999999284744263</v>
      </c>
      <c r="I1926">
        <v>8.6700000762939453</v>
      </c>
      <c r="J1926">
        <v>1297</v>
      </c>
    </row>
    <row r="1927" spans="1:10" x14ac:dyDescent="0.25">
      <c r="A1927">
        <v>4970</v>
      </c>
      <c r="B1927" t="str">
        <v>Premco Global</v>
      </c>
      <c r="C1927">
        <v>28.935998000000001</v>
      </c>
      <c r="D1927">
        <v>351.836181640625</v>
      </c>
      <c r="E1927">
        <v>132.85763549804688</v>
      </c>
      <c r="F1927">
        <v>0.37761199474334717</v>
      </c>
      <c r="G1927">
        <v>439.11248779296875</v>
      </c>
      <c r="H1927">
        <v>7.9999998211860657E-2</v>
      </c>
      <c r="I1927">
        <v>145.77000427246094</v>
      </c>
      <c r="J1927">
        <v>1347</v>
      </c>
    </row>
    <row r="1928" spans="1:10" x14ac:dyDescent="0.25">
      <c r="A1928">
        <v>447</v>
      </c>
      <c r="B1928" t="str">
        <v>Premier</v>
      </c>
      <c r="C1928">
        <v>10.365482999999999</v>
      </c>
      <c r="D1928">
        <v>3.8083460330963135</v>
      </c>
      <c r="E1928">
        <v>1.7266099452972412</v>
      </c>
      <c r="F1928">
        <v>0.45337501168251038</v>
      </c>
      <c r="G1928">
        <v>3.8324999809265137</v>
      </c>
      <c r="H1928">
        <v>0</v>
      </c>
      <c r="I1928">
        <v>11.970000267028809</v>
      </c>
      <c r="J1928">
        <v>1081</v>
      </c>
    </row>
    <row r="1929" spans="1:10" x14ac:dyDescent="0.25">
      <c r="A1929">
        <v>3538</v>
      </c>
      <c r="B1929" t="str">
        <v>Premier Polyfilm</v>
      </c>
      <c r="C1929">
        <v>52.364705000000001</v>
      </c>
      <c r="D1929">
        <v>24.582981109619141</v>
      </c>
      <c r="E1929">
        <v>18.613948822021484</v>
      </c>
      <c r="F1929">
        <v>0.75718802213668823</v>
      </c>
      <c r="G1929">
        <v>50.797500610351563</v>
      </c>
      <c r="H1929">
        <v>0.18999999761581421</v>
      </c>
      <c r="I1929">
        <v>527.05999755859375</v>
      </c>
      <c r="J1929">
        <v>1324</v>
      </c>
    </row>
    <row r="1930" spans="1:10" x14ac:dyDescent="0.25">
      <c r="A1930">
        <v>14668</v>
      </c>
      <c r="B1930" t="str">
        <v>Prerna Infra.</v>
      </c>
      <c r="C1930">
        <v>8.5482359999999993</v>
      </c>
      <c r="D1930">
        <v>23.920141220092773</v>
      </c>
      <c r="E1930">
        <v>7.9940857887268066</v>
      </c>
      <c r="F1930">
        <v>0.33419901132583618</v>
      </c>
      <c r="G1930">
        <v>25.332500457763672</v>
      </c>
      <c r="H1930">
        <v>0.18999999761581421</v>
      </c>
      <c r="I1930">
        <v>92.160003662109375</v>
      </c>
      <c r="J1930">
        <v>1246</v>
      </c>
    </row>
    <row r="1931" spans="1:10" x14ac:dyDescent="0.25">
      <c r="A1931">
        <v>13212</v>
      </c>
      <c r="B1931" t="str">
        <v>Prestige Estates</v>
      </c>
      <c r="C1931">
        <v>30.592571</v>
      </c>
      <c r="D1931">
        <v>704.74652099609375</v>
      </c>
      <c r="E1931">
        <v>522.88482666015625</v>
      </c>
      <c r="F1931">
        <v>0.7419469952583313</v>
      </c>
      <c r="G1931">
        <v>1681.387451171875</v>
      </c>
      <c r="H1931">
        <v>0.69999998807907104</v>
      </c>
      <c r="I1931">
        <v>72153.78125</v>
      </c>
      <c r="J1931">
        <v>1359</v>
      </c>
    </row>
    <row r="1932" spans="1:10" x14ac:dyDescent="0.25">
      <c r="A1932">
        <v>67610</v>
      </c>
      <c r="B1932" t="str">
        <v>Pricol Ltd</v>
      </c>
      <c r="C1932">
        <v>44.574449999999999</v>
      </c>
      <c r="D1932">
        <v>221.25993347167969</v>
      </c>
      <c r="E1932">
        <v>164.11308288574219</v>
      </c>
      <c r="F1932">
        <v>0.74172097444534302</v>
      </c>
      <c r="G1932">
        <v>438.54998779296875</v>
      </c>
      <c r="H1932">
        <v>0.10999999940395355</v>
      </c>
      <c r="I1932">
        <v>5325</v>
      </c>
      <c r="J1932">
        <v>1359</v>
      </c>
    </row>
    <row r="1933" spans="1:10" x14ac:dyDescent="0.25">
      <c r="A1933">
        <v>3189</v>
      </c>
      <c r="B1933" t="str">
        <v>Prima Agro</v>
      </c>
      <c r="C1933">
        <v>20.282337999999999</v>
      </c>
      <c r="D1933">
        <v>24.937297821044922</v>
      </c>
      <c r="E1933">
        <v>7.7708477973937988</v>
      </c>
      <c r="F1933">
        <v>0.311614990234375</v>
      </c>
      <c r="G1933">
        <v>24.229999542236328</v>
      </c>
      <c r="H1933">
        <v>0.41999998688697815</v>
      </c>
      <c r="I1933">
        <v>12.539999961853027</v>
      </c>
      <c r="J1933">
        <v>1299</v>
      </c>
    </row>
    <row r="1934" spans="1:10" x14ac:dyDescent="0.25">
      <c r="A1934">
        <v>6154</v>
      </c>
      <c r="B1934" t="str">
        <v>Prima Industries</v>
      </c>
      <c r="C1934">
        <v>14.119714</v>
      </c>
      <c r="D1934">
        <v>20.933055877685547</v>
      </c>
      <c r="E1934">
        <v>6.0993080139160156</v>
      </c>
      <c r="F1934">
        <v>0.29137200117111206</v>
      </c>
      <c r="G1934">
        <v>18.787500381469727</v>
      </c>
      <c r="H1934">
        <v>0.10000000149011612</v>
      </c>
      <c r="I1934">
        <v>19.639999389648438</v>
      </c>
      <c r="J1934">
        <v>1124</v>
      </c>
    </row>
    <row r="1935" spans="1:10" x14ac:dyDescent="0.25">
      <c r="A1935">
        <v>5152</v>
      </c>
      <c r="B1935" t="str">
        <v>Prima Plastics</v>
      </c>
      <c r="C1935">
        <v>15.927714</v>
      </c>
      <c r="D1935">
        <v>116.99671173095703</v>
      </c>
      <c r="E1935">
        <v>48.023685455322266</v>
      </c>
      <c r="F1935">
        <v>0.41047000885009766</v>
      </c>
      <c r="G1935">
        <v>146.10000610351563</v>
      </c>
      <c r="H1935">
        <v>0.54000002145767212</v>
      </c>
      <c r="I1935">
        <v>159.50999450683594</v>
      </c>
      <c r="J1935">
        <v>1359</v>
      </c>
    </row>
    <row r="1936" spans="1:10" x14ac:dyDescent="0.25">
      <c r="A1936">
        <v>27264</v>
      </c>
      <c r="B1936" t="str">
        <v>Prime Focus</v>
      </c>
      <c r="C1936">
        <v>20.118425999999999</v>
      </c>
      <c r="D1936">
        <v>80.991500854492188</v>
      </c>
      <c r="E1936">
        <v>31.865755081176758</v>
      </c>
      <c r="F1936">
        <v>0.39344599843025208</v>
      </c>
      <c r="G1936">
        <v>124.09999847412109</v>
      </c>
      <c r="H1936">
        <v>0.12999999523162842</v>
      </c>
      <c r="I1936">
        <v>3586.340087890625</v>
      </c>
      <c r="J1936">
        <v>1358</v>
      </c>
    </row>
    <row r="1937" spans="1:10" x14ac:dyDescent="0.25">
      <c r="A1937">
        <v>70245</v>
      </c>
      <c r="B1937" t="str">
        <v>Prime Fresh</v>
      </c>
      <c r="C1937">
        <v>29.406251000000001</v>
      </c>
      <c r="D1937">
        <v>166.2452392578125</v>
      </c>
      <c r="E1937">
        <v>87.887405395507813</v>
      </c>
      <c r="F1937">
        <v>0.52866101264953613</v>
      </c>
      <c r="G1937">
        <v>175.22500610351563</v>
      </c>
      <c r="H1937">
        <v>5.000000074505806E-2</v>
      </c>
      <c r="I1937">
        <v>239.96000671386719</v>
      </c>
      <c r="J1937">
        <v>931</v>
      </c>
    </row>
    <row r="1938" spans="1:10" x14ac:dyDescent="0.25">
      <c r="A1938">
        <v>5165</v>
      </c>
      <c r="B1938" t="str">
        <v>Prime Property</v>
      </c>
      <c r="C1938">
        <v>21.291981</v>
      </c>
      <c r="D1938">
        <v>19.429019927978516</v>
      </c>
      <c r="E1938">
        <v>10.064755439758301</v>
      </c>
      <c r="F1938">
        <v>0.51802700757980347</v>
      </c>
      <c r="G1938">
        <v>37.582500457763672</v>
      </c>
      <c r="H1938">
        <v>3.9999999105930328E-2</v>
      </c>
      <c r="I1938">
        <v>60.689998626708984</v>
      </c>
      <c r="J1938">
        <v>1318</v>
      </c>
    </row>
    <row r="1939" spans="1:10" x14ac:dyDescent="0.25">
      <c r="A1939">
        <v>4042</v>
      </c>
      <c r="B1939" t="str">
        <v>Prime Securities</v>
      </c>
      <c r="C1939">
        <v>35.380245000000002</v>
      </c>
      <c r="D1939">
        <v>127.71689605712891</v>
      </c>
      <c r="E1939">
        <v>78.092086791992188</v>
      </c>
      <c r="F1939">
        <v>0.61144697666168213</v>
      </c>
      <c r="G1939">
        <v>257.54998779296875</v>
      </c>
      <c r="H1939">
        <v>9.9999997764825821E-3</v>
      </c>
      <c r="I1939">
        <v>850.989990234375</v>
      </c>
      <c r="J1939">
        <v>1351</v>
      </c>
    </row>
    <row r="1940" spans="1:10" x14ac:dyDescent="0.25">
      <c r="A1940">
        <v>3170</v>
      </c>
      <c r="B1940" t="str">
        <v>Prime Urban</v>
      </c>
      <c r="C1940">
        <v>16.037818000000001</v>
      </c>
      <c r="D1940">
        <v>8.3934211730957031</v>
      </c>
      <c r="E1940">
        <v>1.8652039766311646</v>
      </c>
      <c r="F1940">
        <v>0.22222200036048889</v>
      </c>
      <c r="G1940">
        <v>13.899999618530273</v>
      </c>
      <c r="H1940">
        <v>0</v>
      </c>
      <c r="I1940">
        <v>37.029998779296875</v>
      </c>
      <c r="J1940">
        <v>884</v>
      </c>
    </row>
    <row r="1941" spans="1:10" x14ac:dyDescent="0.25">
      <c r="A1941">
        <v>455</v>
      </c>
      <c r="B1941" t="str">
        <v>Primo Chemicals</v>
      </c>
      <c r="C1941">
        <v>24.892440000000001</v>
      </c>
      <c r="D1941">
        <v>41.685935974121094</v>
      </c>
      <c r="E1941">
        <v>26.143823623657227</v>
      </c>
      <c r="F1941">
        <v>0.62716197967529297</v>
      </c>
      <c r="G1941">
        <v>25.954999923706055</v>
      </c>
      <c r="H1941">
        <v>0.44999998807907104</v>
      </c>
      <c r="I1941">
        <v>617.010009765625</v>
      </c>
      <c r="J1941">
        <v>1359</v>
      </c>
    </row>
    <row r="1942" spans="1:10" x14ac:dyDescent="0.25">
      <c r="A1942">
        <v>29575</v>
      </c>
      <c r="B1942" t="str">
        <v>Prince Pipes</v>
      </c>
      <c r="C1942">
        <v>14.646926000000001</v>
      </c>
      <c r="D1942">
        <v>506.041015625</v>
      </c>
      <c r="E1942">
        <v>203.42010498046875</v>
      </c>
      <c r="F1942">
        <v>0.40198299288749695</v>
      </c>
      <c r="G1942">
        <v>341.14999389648438</v>
      </c>
      <c r="H1942">
        <v>7.0000000298023224E-2</v>
      </c>
      <c r="I1942">
        <v>3685</v>
      </c>
      <c r="J1942">
        <v>1359</v>
      </c>
    </row>
    <row r="1943" spans="1:10" x14ac:dyDescent="0.25">
      <c r="A1943">
        <v>1677</v>
      </c>
      <c r="B1943" t="str">
        <v>Prism Medico</v>
      </c>
      <c r="C1943">
        <v>-5.9538690000000001</v>
      </c>
      <c r="D1943">
        <v>18.933893203735352</v>
      </c>
      <c r="E1943">
        <v>8.798060417175293</v>
      </c>
      <c r="F1943">
        <v>0.46467301249504089</v>
      </c>
      <c r="G1943">
        <v>14.737500190734863</v>
      </c>
      <c r="H1943">
        <v>0</v>
      </c>
      <c r="I1943">
        <v>8.9099998474121094</v>
      </c>
      <c r="J1943">
        <v>1358</v>
      </c>
    </row>
    <row r="1944" spans="1:10" x14ac:dyDescent="0.25">
      <c r="A1944">
        <v>24816</v>
      </c>
      <c r="B1944" t="str">
        <v>Prismx Global</v>
      </c>
      <c r="C1944">
        <v>-28.979391</v>
      </c>
      <c r="D1944">
        <v>3.0819640159606934</v>
      </c>
      <c r="E1944">
        <v>2.4797499179840088</v>
      </c>
      <c r="F1944">
        <v>0.80460000038146973</v>
      </c>
      <c r="G1944">
        <v>0.76749998331069946</v>
      </c>
      <c r="H1944">
        <v>9.9999997764825821E-3</v>
      </c>
      <c r="I1944">
        <v>33.369998931884766</v>
      </c>
      <c r="J1944">
        <v>1340</v>
      </c>
    </row>
    <row r="1945" spans="1:10" x14ac:dyDescent="0.25">
      <c r="A1945">
        <v>15007</v>
      </c>
      <c r="B1945" t="str">
        <v>Prit Nandy Comm.</v>
      </c>
      <c r="C1945">
        <v>10.406243999999999</v>
      </c>
      <c r="D1945">
        <v>40.126972198486328</v>
      </c>
      <c r="E1945">
        <v>16.462100982666016</v>
      </c>
      <c r="F1945">
        <v>0.41025000810623169</v>
      </c>
      <c r="G1945">
        <v>26.774999618530273</v>
      </c>
      <c r="H1945">
        <v>1.9999999552965164E-2</v>
      </c>
      <c r="I1945">
        <v>38.409999847412109</v>
      </c>
      <c r="J1945">
        <v>1316</v>
      </c>
    </row>
    <row r="1946" spans="1:10" x14ac:dyDescent="0.25">
      <c r="A1946">
        <v>14864</v>
      </c>
      <c r="B1946" t="str">
        <v>Prithvi Exchange</v>
      </c>
      <c r="C1946">
        <v>34.867044999999997</v>
      </c>
      <c r="D1946">
        <v>100.31951904296875</v>
      </c>
      <c r="E1946">
        <v>113.10048675537109</v>
      </c>
      <c r="F1946">
        <v>1.1274019479751587</v>
      </c>
      <c r="G1946">
        <v>151.96249389648438</v>
      </c>
      <c r="H1946">
        <v>0.10000000149011612</v>
      </c>
      <c r="I1946">
        <v>124.98000335693359</v>
      </c>
      <c r="J1946">
        <v>1320</v>
      </c>
    </row>
    <row r="1947" spans="1:10" x14ac:dyDescent="0.25">
      <c r="A1947">
        <v>66889</v>
      </c>
      <c r="B1947" t="str">
        <v>Pritika Auto</v>
      </c>
      <c r="C1947">
        <v>0.63141400000000003</v>
      </c>
      <c r="D1947">
        <v>20.272893905639648</v>
      </c>
      <c r="E1947">
        <v>6.1344661712646484</v>
      </c>
      <c r="F1947">
        <v>0.30259400606155396</v>
      </c>
      <c r="G1947">
        <v>17.462499618530273</v>
      </c>
      <c r="H1947">
        <v>0.40000000596046448</v>
      </c>
      <c r="I1947">
        <v>287.23001098632813</v>
      </c>
      <c r="J1947">
        <v>1359</v>
      </c>
    </row>
    <row r="1948" spans="1:10" x14ac:dyDescent="0.25">
      <c r="A1948">
        <v>3866</v>
      </c>
      <c r="B1948" t="str">
        <v>Priya</v>
      </c>
      <c r="C1948">
        <v>6.1309849999999999</v>
      </c>
      <c r="D1948">
        <v>15.246764183044434</v>
      </c>
      <c r="E1948">
        <v>4.9628047943115234</v>
      </c>
      <c r="F1948">
        <v>0.32549899816513062</v>
      </c>
      <c r="G1948">
        <v>22.665000915527344</v>
      </c>
      <c r="H1948">
        <v>0</v>
      </c>
      <c r="I1948">
        <v>6.820000171661377</v>
      </c>
      <c r="J1948">
        <v>995</v>
      </c>
    </row>
    <row r="1949" spans="1:10" x14ac:dyDescent="0.25">
      <c r="A1949">
        <v>7539</v>
      </c>
      <c r="B1949" t="str">
        <v>Pro CLB</v>
      </c>
      <c r="C1949">
        <v>29.399591000000001</v>
      </c>
      <c r="D1949">
        <v>13.165505409240723</v>
      </c>
      <c r="E1949">
        <v>11.07414436340332</v>
      </c>
      <c r="F1949">
        <v>0.8411480188369751</v>
      </c>
      <c r="G1949">
        <v>31.229999542236328</v>
      </c>
      <c r="H1949">
        <v>9.9999997764825821E-3</v>
      </c>
      <c r="I1949">
        <v>15.939999580383301</v>
      </c>
      <c r="J1949">
        <v>1004</v>
      </c>
    </row>
    <row r="1950" spans="1:10" x14ac:dyDescent="0.25">
      <c r="A1950">
        <v>3006</v>
      </c>
      <c r="B1950" t="str">
        <v>Procal Electroni</v>
      </c>
      <c r="C1950">
        <v>24.670282</v>
      </c>
      <c r="D1950">
        <v>0.43702900409698486</v>
      </c>
      <c r="E1950">
        <v>0.19248400628566742</v>
      </c>
      <c r="F1950">
        <v>0.44043800234794617</v>
      </c>
      <c r="G1950">
        <v>0.85000002384185791</v>
      </c>
      <c r="H1950">
        <v>0</v>
      </c>
      <c r="I1950">
        <v>0.30000001192092896</v>
      </c>
      <c r="J1950">
        <v>69</v>
      </c>
    </row>
    <row r="1951" spans="1:10" x14ac:dyDescent="0.25">
      <c r="A1951">
        <v>3813</v>
      </c>
      <c r="B1951" t="str">
        <v>Promact Impex</v>
      </c>
      <c r="C1951">
        <v>22.416955999999999</v>
      </c>
      <c r="D1951">
        <v>7.2110180854797363</v>
      </c>
      <c r="E1951">
        <v>4.2428121566772461</v>
      </c>
      <c r="F1951">
        <v>0.58837902545928955</v>
      </c>
      <c r="G1951">
        <v>10.454999923706055</v>
      </c>
      <c r="H1951">
        <v>0</v>
      </c>
      <c r="I1951">
        <v>6.809999942779541</v>
      </c>
      <c r="J1951">
        <v>1014</v>
      </c>
    </row>
    <row r="1952" spans="1:10" x14ac:dyDescent="0.25">
      <c r="A1952">
        <v>41492</v>
      </c>
      <c r="B1952" t="str">
        <v>Prozone Realty</v>
      </c>
      <c r="C1952">
        <v>11.960585999999999</v>
      </c>
      <c r="D1952">
        <v>26.174093246459961</v>
      </c>
      <c r="E1952">
        <v>6.9998540878295898</v>
      </c>
      <c r="F1952">
        <v>0.26743400096893311</v>
      </c>
      <c r="G1952">
        <v>36.134998321533203</v>
      </c>
      <c r="H1952">
        <v>1.9999999552965164E-2</v>
      </c>
      <c r="I1952">
        <v>548.28997802734375</v>
      </c>
      <c r="J1952">
        <v>1359</v>
      </c>
    </row>
    <row r="1953" spans="1:10" x14ac:dyDescent="0.25">
      <c r="A1953">
        <v>65524</v>
      </c>
      <c r="B1953" t="str">
        <v>Pudumjee Paper</v>
      </c>
      <c r="C1953">
        <v>38.798901000000001</v>
      </c>
      <c r="D1953">
        <v>54.050559997558594</v>
      </c>
      <c r="E1953">
        <v>39.655170440673828</v>
      </c>
      <c r="F1953">
        <v>0.73366802930831909</v>
      </c>
      <c r="G1953">
        <v>110.09999847412109</v>
      </c>
      <c r="H1953">
        <v>9.0000003576278687E-2</v>
      </c>
      <c r="I1953">
        <v>1048.25</v>
      </c>
      <c r="J1953">
        <v>1357</v>
      </c>
    </row>
    <row r="1954" spans="1:10" x14ac:dyDescent="0.25">
      <c r="A1954">
        <v>5814</v>
      </c>
      <c r="B1954" t="str">
        <v>Pun. &amp; Sind Bank</v>
      </c>
      <c r="C1954">
        <v>6.7364629999999996</v>
      </c>
      <c r="D1954">
        <v>29.088523864746094</v>
      </c>
      <c r="E1954">
        <v>16.580593109130859</v>
      </c>
      <c r="F1954">
        <v>0.57000499963760376</v>
      </c>
      <c r="G1954">
        <v>30.409999847412109</v>
      </c>
      <c r="H1954">
        <v>0</v>
      </c>
      <c r="I1954">
        <v>21222.900390625</v>
      </c>
      <c r="J1954">
        <v>1359</v>
      </c>
    </row>
    <row r="1955" spans="1:10" x14ac:dyDescent="0.25">
      <c r="A1955">
        <v>457</v>
      </c>
      <c r="B1955" t="str">
        <v>Punjab Chemicals</v>
      </c>
      <c r="C1955">
        <v>15.441122999999999</v>
      </c>
      <c r="D1955">
        <v>1042.3919677734375</v>
      </c>
      <c r="E1955">
        <v>320.97195434570313</v>
      </c>
      <c r="F1955">
        <v>0.30791899561882019</v>
      </c>
      <c r="G1955">
        <v>1136.574951171875</v>
      </c>
      <c r="H1955">
        <v>0.34000000357627869</v>
      </c>
      <c r="I1955">
        <v>1443.4300537109375</v>
      </c>
      <c r="J1955">
        <v>1346</v>
      </c>
    </row>
    <row r="1956" spans="1:10" x14ac:dyDescent="0.25">
      <c r="A1956">
        <v>4390</v>
      </c>
      <c r="B1956" t="str">
        <v>Punjab Commun.</v>
      </c>
      <c r="C1956">
        <v>27.453012000000001</v>
      </c>
      <c r="D1956">
        <v>36.987144470214844</v>
      </c>
      <c r="E1956">
        <v>14.249048233032227</v>
      </c>
      <c r="F1956">
        <v>0.3852429986000061</v>
      </c>
      <c r="G1956">
        <v>56.639999389648438</v>
      </c>
      <c r="H1956">
        <v>0</v>
      </c>
      <c r="I1956">
        <v>68.69000244140625</v>
      </c>
      <c r="J1956">
        <v>1345</v>
      </c>
    </row>
    <row r="1957" spans="1:10" x14ac:dyDescent="0.25">
      <c r="A1957">
        <v>7855</v>
      </c>
      <c r="B1957" t="str">
        <v>Punjab Natl.Bank</v>
      </c>
      <c r="C1957">
        <v>8.8121159999999996</v>
      </c>
      <c r="D1957">
        <v>61.749584197998047</v>
      </c>
      <c r="E1957">
        <v>32.407760620117188</v>
      </c>
      <c r="F1957">
        <v>0.52482599020004272</v>
      </c>
      <c r="G1957">
        <v>104.07499694824219</v>
      </c>
      <c r="H1957">
        <v>0</v>
      </c>
      <c r="I1957">
        <v>118319.8515625</v>
      </c>
      <c r="J1957">
        <v>1359</v>
      </c>
    </row>
    <row r="1958" spans="1:10" x14ac:dyDescent="0.25">
      <c r="A1958">
        <v>4809</v>
      </c>
      <c r="B1958" t="str">
        <v>Puretrop Fruits</v>
      </c>
      <c r="C1958">
        <v>6.8837960000000002</v>
      </c>
      <c r="D1958">
        <v>110.78217315673828</v>
      </c>
      <c r="E1958">
        <v>36.341796875</v>
      </c>
      <c r="F1958">
        <v>0.3280470073223114</v>
      </c>
      <c r="G1958">
        <v>132.44999694824219</v>
      </c>
      <c r="H1958">
        <v>0.11999999731779099</v>
      </c>
      <c r="I1958">
        <v>102.97000122070313</v>
      </c>
      <c r="J1958">
        <v>1359</v>
      </c>
    </row>
    <row r="1959" spans="1:10" x14ac:dyDescent="0.25">
      <c r="A1959">
        <v>13264</v>
      </c>
      <c r="B1959" t="str">
        <v>Purohit Const.</v>
      </c>
      <c r="C1959">
        <v>24.307604999999999</v>
      </c>
      <c r="D1959">
        <v>8.5837087631225586</v>
      </c>
      <c r="E1959">
        <v>3.300800085067749</v>
      </c>
      <c r="F1959">
        <v>0.38454198837280273</v>
      </c>
      <c r="G1959">
        <v>17.950000762939453</v>
      </c>
      <c r="H1959">
        <v>1.9999999552965164E-2</v>
      </c>
      <c r="I1959">
        <v>7.9099998474121094</v>
      </c>
      <c r="J1959">
        <v>269</v>
      </c>
    </row>
    <row r="1960" spans="1:10" x14ac:dyDescent="0.25">
      <c r="A1960">
        <v>1541</v>
      </c>
      <c r="B1960" t="str">
        <v>Quadrant Tele.</v>
      </c>
      <c r="C1960">
        <v>14.673704000000001</v>
      </c>
      <c r="D1960">
        <v>0.98589098453521729</v>
      </c>
      <c r="E1960">
        <v>0.71453297138214111</v>
      </c>
      <c r="F1960">
        <v>0.72475898265838623</v>
      </c>
      <c r="G1960">
        <v>0.43999999761581421</v>
      </c>
      <c r="H1960">
        <v>0</v>
      </c>
      <c r="I1960">
        <v>26.940000534057617</v>
      </c>
      <c r="J1960">
        <v>1212</v>
      </c>
    </row>
    <row r="1961" spans="1:10" x14ac:dyDescent="0.25">
      <c r="A1961">
        <v>4947</v>
      </c>
      <c r="B1961" t="str">
        <v>Quantum Digital</v>
      </c>
      <c r="C1961">
        <v>61.077990999999997</v>
      </c>
      <c r="D1961">
        <v>18.27601432800293</v>
      </c>
      <c r="E1961">
        <v>9.1912136077880859</v>
      </c>
      <c r="F1961">
        <v>0.50291097164154053</v>
      </c>
      <c r="G1961">
        <v>28.545000076293945</v>
      </c>
      <c r="H1961">
        <v>0</v>
      </c>
      <c r="I1961">
        <v>8.6499996185302734</v>
      </c>
      <c r="J1961">
        <v>876</v>
      </c>
    </row>
    <row r="1962" spans="1:10" x14ac:dyDescent="0.25">
      <c r="A1962">
        <v>45703</v>
      </c>
      <c r="B1962" t="str">
        <v>Quasar India</v>
      </c>
      <c r="C1962">
        <v>15.983038000000001</v>
      </c>
      <c r="D1962">
        <v>0.64729601144790649</v>
      </c>
      <c r="E1962">
        <v>0.43120598793029785</v>
      </c>
      <c r="F1962">
        <v>0.66616398096084595</v>
      </c>
      <c r="G1962">
        <v>0.6600000262260437</v>
      </c>
      <c r="H1962">
        <v>9.9999997764825821E-3</v>
      </c>
      <c r="I1962">
        <v>31.409999847412109</v>
      </c>
      <c r="J1962">
        <v>883</v>
      </c>
    </row>
    <row r="1963" spans="1:10" x14ac:dyDescent="0.25">
      <c r="A1963">
        <v>44398</v>
      </c>
      <c r="B1963" t="str">
        <v>Quess Corp</v>
      </c>
      <c r="C1963">
        <v>5.292745</v>
      </c>
      <c r="D1963">
        <v>268.53173828125</v>
      </c>
      <c r="E1963">
        <v>79.475868225097656</v>
      </c>
      <c r="F1963">
        <v>0.29596498608589172</v>
      </c>
      <c r="G1963">
        <v>303.0625</v>
      </c>
      <c r="H1963">
        <v>0.30000001192092896</v>
      </c>
      <c r="I1963">
        <v>4512.419921875</v>
      </c>
      <c r="J1963">
        <v>1359</v>
      </c>
    </row>
    <row r="1964" spans="1:10" x14ac:dyDescent="0.25">
      <c r="A1964">
        <v>4346</v>
      </c>
      <c r="B1964" t="str">
        <v>Quest Capital</v>
      </c>
      <c r="C1964">
        <v>33.007764000000002</v>
      </c>
      <c r="D1964">
        <v>254.56854248046875</v>
      </c>
      <c r="E1964">
        <v>121.40745544433594</v>
      </c>
      <c r="F1964">
        <v>0.47691500186920166</v>
      </c>
      <c r="G1964">
        <v>380.35000610351563</v>
      </c>
      <c r="H1964">
        <v>0</v>
      </c>
      <c r="I1964">
        <v>376.35000610351563</v>
      </c>
      <c r="J1964">
        <v>1319</v>
      </c>
    </row>
    <row r="1965" spans="1:10" x14ac:dyDescent="0.25">
      <c r="A1965">
        <v>66574</v>
      </c>
      <c r="B1965" t="str">
        <v>Quick Heal Tech</v>
      </c>
      <c r="C1965">
        <v>19.227148</v>
      </c>
      <c r="D1965">
        <v>270.04519653320313</v>
      </c>
      <c r="E1965">
        <v>161.29557800292969</v>
      </c>
      <c r="F1965">
        <v>0.59729099273681641</v>
      </c>
      <c r="G1965">
        <v>361.04998779296875</v>
      </c>
      <c r="H1965">
        <v>0</v>
      </c>
      <c r="I1965">
        <v>1936.27001953125</v>
      </c>
      <c r="J1965">
        <v>1359</v>
      </c>
    </row>
    <row r="1966" spans="1:10" x14ac:dyDescent="0.25">
      <c r="A1966">
        <v>23304</v>
      </c>
      <c r="B1966" t="str">
        <v>Quint Digital</v>
      </c>
      <c r="C1966">
        <v>6.9346300000000003</v>
      </c>
      <c r="D1966">
        <v>133.65701293945313</v>
      </c>
      <c r="E1966">
        <v>52.387962341308594</v>
      </c>
      <c r="F1966">
        <v>0.39195799827575684</v>
      </c>
      <c r="G1966">
        <v>47.662498474121094</v>
      </c>
      <c r="H1966">
        <v>0.75</v>
      </c>
      <c r="I1966">
        <v>217.83999633789063</v>
      </c>
      <c r="J1966">
        <v>1317</v>
      </c>
    </row>
    <row r="1967" spans="1:10" x14ac:dyDescent="0.25">
      <c r="A1967">
        <v>2297</v>
      </c>
      <c r="B1967" t="str">
        <v>R C F</v>
      </c>
      <c r="C1967">
        <v>22.544179</v>
      </c>
      <c r="D1967">
        <v>104.27034759521484</v>
      </c>
      <c r="E1967">
        <v>45.466167449951172</v>
      </c>
      <c r="F1967">
        <v>0.43604099750518799</v>
      </c>
      <c r="G1967">
        <v>154.625</v>
      </c>
      <c r="H1967">
        <v>0.56000000238418579</v>
      </c>
      <c r="I1967">
        <v>8380.169921875</v>
      </c>
      <c r="J1967">
        <v>1359</v>
      </c>
    </row>
    <row r="1968" spans="1:10" x14ac:dyDescent="0.25">
      <c r="A1968">
        <v>16593</v>
      </c>
      <c r="B1968" t="str">
        <v>R G F Capital</v>
      </c>
      <c r="C1968">
        <v>-23.229574</v>
      </c>
      <c r="D1968">
        <v>0.9415929913520813</v>
      </c>
      <c r="E1968">
        <v>0.4239409863948822</v>
      </c>
      <c r="F1968">
        <v>0.45023798942565918</v>
      </c>
      <c r="G1968">
        <v>0.55000001192092896</v>
      </c>
      <c r="H1968">
        <v>0</v>
      </c>
      <c r="I1968">
        <v>8.1000003814697266</v>
      </c>
      <c r="J1968">
        <v>598</v>
      </c>
    </row>
    <row r="1969" spans="1:10" x14ac:dyDescent="0.25">
      <c r="A1969">
        <v>6373</v>
      </c>
      <c r="B1969" t="str">
        <v>R J Shah &amp; Co</v>
      </c>
      <c r="C1969">
        <v>-13.089677999999999</v>
      </c>
      <c r="D1969">
        <v>484.14163208007813</v>
      </c>
      <c r="E1969">
        <v>117.40086364746094</v>
      </c>
      <c r="F1969">
        <v>0.24249300360679626</v>
      </c>
      <c r="G1969">
        <v>422</v>
      </c>
      <c r="H1969">
        <v>3.9999999105930328E-2</v>
      </c>
      <c r="I1969">
        <v>11.819999694824219</v>
      </c>
      <c r="J1969">
        <v>188</v>
      </c>
    </row>
    <row r="1970" spans="1:10" x14ac:dyDescent="0.25">
      <c r="A1970">
        <v>4433</v>
      </c>
      <c r="B1970" t="str">
        <v>R R Fin. Cons.</v>
      </c>
      <c r="C1970">
        <v>21.602661000000001</v>
      </c>
      <c r="D1970">
        <v>14.689631462097168</v>
      </c>
      <c r="E1970">
        <v>4.760077953338623</v>
      </c>
      <c r="F1970">
        <v>0.32404300570487976</v>
      </c>
      <c r="G1970">
        <v>24.540000915527344</v>
      </c>
      <c r="H1970">
        <v>0.20000000298023224</v>
      </c>
      <c r="I1970">
        <v>28.489999771118164</v>
      </c>
      <c r="J1970">
        <v>671</v>
      </c>
    </row>
    <row r="1971" spans="1:10" x14ac:dyDescent="0.25">
      <c r="A1971">
        <v>5871</v>
      </c>
      <c r="B1971" t="str">
        <v>R R Securities</v>
      </c>
      <c r="C1971">
        <v>60.762535999999997</v>
      </c>
      <c r="D1971">
        <v>19.459381103515625</v>
      </c>
      <c r="E1971">
        <v>15.393719673156738</v>
      </c>
      <c r="F1971">
        <v>0.79106897115707397</v>
      </c>
      <c r="G1971">
        <v>50.375</v>
      </c>
      <c r="H1971">
        <v>2.9999999329447746E-2</v>
      </c>
      <c r="I1971">
        <v>15.090000152587891</v>
      </c>
      <c r="J1971">
        <v>133</v>
      </c>
    </row>
    <row r="1972" spans="1:10" x14ac:dyDescent="0.25">
      <c r="A1972">
        <v>3888</v>
      </c>
      <c r="B1972" t="str">
        <v>R S Software (I)</v>
      </c>
      <c r="C1972">
        <v>22.151481</v>
      </c>
      <c r="D1972">
        <v>71.157661437988281</v>
      </c>
      <c r="E1972">
        <v>80.573616027832031</v>
      </c>
      <c r="F1972">
        <v>1.1323250532150269</v>
      </c>
      <c r="G1972">
        <v>66.849998474121094</v>
      </c>
      <c r="H1972">
        <v>7.0000000298023224E-2</v>
      </c>
      <c r="I1972">
        <v>172.67999267578125</v>
      </c>
      <c r="J1972">
        <v>1342</v>
      </c>
    </row>
    <row r="1973" spans="1:10" x14ac:dyDescent="0.25">
      <c r="A1973">
        <v>20045</v>
      </c>
      <c r="B1973" t="str">
        <v>R Systems Intl.</v>
      </c>
      <c r="C1973">
        <v>35.371487000000002</v>
      </c>
      <c r="D1973">
        <v>286.74166870117188</v>
      </c>
      <c r="E1973">
        <v>149.04435729980469</v>
      </c>
      <c r="F1973">
        <v>0.51978600025177002</v>
      </c>
      <c r="G1973">
        <v>442.04998779296875</v>
      </c>
      <c r="H1973">
        <v>0.18000000715255737</v>
      </c>
      <c r="I1973">
        <v>5090.35009765625</v>
      </c>
      <c r="J1973">
        <v>1358</v>
      </c>
    </row>
    <row r="1974" spans="1:10" x14ac:dyDescent="0.25">
      <c r="A1974">
        <v>44425</v>
      </c>
      <c r="B1974" t="str">
        <v>R&amp;B Denims</v>
      </c>
      <c r="C1974">
        <v>52.847974000000001</v>
      </c>
      <c r="D1974">
        <v>45.777347564697266</v>
      </c>
      <c r="E1974">
        <v>26.874223709106445</v>
      </c>
      <c r="F1974">
        <v>0.58706402778625488</v>
      </c>
      <c r="G1974">
        <v>88.307502746582031</v>
      </c>
      <c r="H1974">
        <v>0.2800000011920929</v>
      </c>
      <c r="I1974">
        <v>796.260009765625</v>
      </c>
      <c r="J1974">
        <v>1199</v>
      </c>
    </row>
    <row r="1975" spans="1:10" x14ac:dyDescent="0.25">
      <c r="A1975">
        <v>5982</v>
      </c>
      <c r="B1975" t="str">
        <v>RBL Bank</v>
      </c>
      <c r="C1975">
        <v>-7.8491390000000001</v>
      </c>
      <c r="D1975">
        <v>190.936279296875</v>
      </c>
      <c r="E1975">
        <v>53.469108581542969</v>
      </c>
      <c r="F1975">
        <v>0.28003600239753723</v>
      </c>
      <c r="G1975">
        <v>225.26249694824219</v>
      </c>
      <c r="H1975">
        <v>0</v>
      </c>
      <c r="I1975">
        <v>13654</v>
      </c>
      <c r="J1975">
        <v>1359</v>
      </c>
    </row>
    <row r="1976" spans="1:10" x14ac:dyDescent="0.25">
      <c r="A1976">
        <v>43964</v>
      </c>
      <c r="B1976" t="str">
        <v>RCI Industries</v>
      </c>
      <c r="C1976">
        <v>-17.160374999999998</v>
      </c>
      <c r="D1976">
        <v>7.0509109497070313</v>
      </c>
      <c r="E1976">
        <v>2.44986891746521</v>
      </c>
      <c r="F1976">
        <v>0.3474540114402771</v>
      </c>
      <c r="G1976">
        <v>5.4200000762939453</v>
      </c>
      <c r="H1976">
        <v>0</v>
      </c>
      <c r="I1976">
        <v>8.119999885559082</v>
      </c>
      <c r="J1976">
        <v>1145</v>
      </c>
    </row>
    <row r="1977" spans="1:10" x14ac:dyDescent="0.25">
      <c r="A1977">
        <v>39068</v>
      </c>
      <c r="B1977" t="str">
        <v>RDB Rasayans</v>
      </c>
      <c r="C1977">
        <v>28.833499</v>
      </c>
      <c r="D1977">
        <v>96.746551513671875</v>
      </c>
      <c r="E1977">
        <v>40.582176208496094</v>
      </c>
      <c r="F1977">
        <v>0.41946899890899658</v>
      </c>
      <c r="G1977">
        <v>172.82499694824219</v>
      </c>
      <c r="H1977">
        <v>0</v>
      </c>
      <c r="I1977">
        <v>309.64999389648438</v>
      </c>
      <c r="J1977">
        <v>1359</v>
      </c>
    </row>
    <row r="1978" spans="1:10" x14ac:dyDescent="0.25">
      <c r="A1978">
        <v>40749</v>
      </c>
      <c r="B1978" t="str">
        <v>RHI Magnesita</v>
      </c>
      <c r="C1978">
        <v>13.496212</v>
      </c>
      <c r="D1978">
        <v>478.8955078125</v>
      </c>
      <c r="E1978">
        <v>199.60159301757813</v>
      </c>
      <c r="F1978">
        <v>0.4167959988117218</v>
      </c>
      <c r="G1978">
        <v>497.125</v>
      </c>
      <c r="H1978">
        <v>0.10999999940395355</v>
      </c>
      <c r="I1978">
        <v>10086.5595703125</v>
      </c>
      <c r="J1978">
        <v>1359</v>
      </c>
    </row>
    <row r="1979" spans="1:10" x14ac:dyDescent="0.25">
      <c r="A1979">
        <v>1233</v>
      </c>
      <c r="B1979" t="str">
        <v>RIR Power Electr</v>
      </c>
      <c r="C1979">
        <v>81.466887999999997</v>
      </c>
      <c r="D1979">
        <v>773.15435791015625</v>
      </c>
      <c r="E1979">
        <v>1011.7696533203125</v>
      </c>
      <c r="F1979">
        <v>1.3086260557174683</v>
      </c>
      <c r="G1979">
        <v>2572.887451171875</v>
      </c>
      <c r="H1979">
        <v>0.2199999988079071</v>
      </c>
      <c r="I1979">
        <v>2002.27001953125</v>
      </c>
      <c r="J1979">
        <v>1319</v>
      </c>
    </row>
    <row r="1980" spans="1:10" x14ac:dyDescent="0.25">
      <c r="A1980">
        <v>4471</v>
      </c>
      <c r="B1980" t="str">
        <v>RLF</v>
      </c>
      <c r="C1980">
        <v>25.081861</v>
      </c>
      <c r="D1980">
        <v>6.7717599868774414</v>
      </c>
      <c r="E1980">
        <v>2.8110520839691162</v>
      </c>
      <c r="F1980">
        <v>0.41511398553848267</v>
      </c>
      <c r="G1980">
        <v>8.4399995803833008</v>
      </c>
      <c r="H1980">
        <v>0.12999999523162842</v>
      </c>
      <c r="I1980">
        <v>8.1000003814697266</v>
      </c>
      <c r="J1980">
        <v>1195</v>
      </c>
    </row>
    <row r="1981" spans="1:10" x14ac:dyDescent="0.25">
      <c r="A1981">
        <v>29175</v>
      </c>
      <c r="B1981" t="str">
        <v>RPG LifeScience.</v>
      </c>
      <c r="C1981">
        <v>38.371001</v>
      </c>
      <c r="D1981">
        <v>989.6485595703125</v>
      </c>
      <c r="E1981">
        <v>683.58831787109375</v>
      </c>
      <c r="F1981">
        <v>0.6907380223274231</v>
      </c>
      <c r="G1981">
        <v>2349.612548828125</v>
      </c>
      <c r="H1981">
        <v>0</v>
      </c>
      <c r="I1981">
        <v>3998.31005859375</v>
      </c>
      <c r="J1981">
        <v>1359</v>
      </c>
    </row>
    <row r="1982" spans="1:10" x14ac:dyDescent="0.25">
      <c r="A1982">
        <v>36162</v>
      </c>
      <c r="B1982" t="str">
        <v>RPP Infra Proj.</v>
      </c>
      <c r="C1982">
        <v>17.835370000000001</v>
      </c>
      <c r="D1982">
        <v>79.797103881835938</v>
      </c>
      <c r="E1982">
        <v>53.483169555664063</v>
      </c>
      <c r="F1982">
        <v>0.67023998498916626</v>
      </c>
      <c r="G1982">
        <v>136.39999389648438</v>
      </c>
      <c r="H1982">
        <v>0.15999999642372131</v>
      </c>
      <c r="I1982">
        <v>665.94000244140625</v>
      </c>
      <c r="J1982">
        <v>1335</v>
      </c>
    </row>
    <row r="1983" spans="1:10" x14ac:dyDescent="0.25">
      <c r="A1983">
        <v>73407</v>
      </c>
      <c r="B1983" t="str">
        <v>RPSG Ventures</v>
      </c>
      <c r="C1983">
        <v>19.441220000000001</v>
      </c>
      <c r="D1983">
        <v>573.12469482421875</v>
      </c>
      <c r="E1983">
        <v>259.5283203125</v>
      </c>
      <c r="F1983">
        <v>0.4528299868106842</v>
      </c>
      <c r="G1983">
        <v>913.2249755859375</v>
      </c>
      <c r="H1983">
        <v>5.9999998658895493E-2</v>
      </c>
      <c r="I1983">
        <v>2983.39990234375</v>
      </c>
      <c r="J1983">
        <v>1359</v>
      </c>
    </row>
    <row r="1984" spans="1:10" x14ac:dyDescent="0.25">
      <c r="A1984">
        <v>6256</v>
      </c>
      <c r="B1984" t="str">
        <v>RRIL</v>
      </c>
      <c r="C1984">
        <v>59.711657000000002</v>
      </c>
      <c r="D1984">
        <v>15.055776596069336</v>
      </c>
      <c r="E1984">
        <v>7.6707282066345215</v>
      </c>
      <c r="F1984">
        <v>0.50948697328567505</v>
      </c>
      <c r="G1984">
        <v>17.227500915527344</v>
      </c>
      <c r="H1984">
        <v>0</v>
      </c>
      <c r="I1984">
        <v>210.19000244140625</v>
      </c>
      <c r="J1984">
        <v>1349</v>
      </c>
    </row>
    <row r="1985" spans="1:10" x14ac:dyDescent="0.25">
      <c r="A1985">
        <v>26301</v>
      </c>
      <c r="B1985" t="str">
        <v>RSD Finance</v>
      </c>
      <c r="C1985">
        <v>34.562727000000002</v>
      </c>
      <c r="D1985">
        <v>93.791671752929688</v>
      </c>
      <c r="E1985">
        <v>42.195106506347656</v>
      </c>
      <c r="F1985">
        <v>0.44988098740577698</v>
      </c>
      <c r="G1985">
        <v>101.8125</v>
      </c>
      <c r="H1985">
        <v>9.9999997764825821E-3</v>
      </c>
      <c r="I1985">
        <v>129.85000610351563</v>
      </c>
      <c r="J1985">
        <v>1090</v>
      </c>
    </row>
    <row r="1986" spans="1:10" x14ac:dyDescent="0.25">
      <c r="A1986">
        <v>12313</v>
      </c>
      <c r="B1986" t="str">
        <v>RTCL</v>
      </c>
      <c r="C1986">
        <v>31.922011000000001</v>
      </c>
      <c r="D1986">
        <v>13.873345375061035</v>
      </c>
      <c r="E1986">
        <v>6.0583858489990234</v>
      </c>
      <c r="F1986">
        <v>0.4366919994354248</v>
      </c>
      <c r="G1986">
        <v>19.290000915527344</v>
      </c>
      <c r="H1986">
        <v>7.0000000298023224E-2</v>
      </c>
      <c r="I1986">
        <v>23.280000686645508</v>
      </c>
      <c r="J1986">
        <v>1205</v>
      </c>
    </row>
    <row r="1987" spans="1:10" x14ac:dyDescent="0.25">
      <c r="A1987">
        <v>12368</v>
      </c>
      <c r="B1987" t="str">
        <v>RTS Power Corpn.</v>
      </c>
      <c r="C1987">
        <v>33.283994999999997</v>
      </c>
      <c r="D1987">
        <v>116.29727172851563</v>
      </c>
      <c r="E1987">
        <v>81.770256042480469</v>
      </c>
      <c r="F1987">
        <v>0.70311397314071655</v>
      </c>
      <c r="G1987">
        <v>166.89999389648438</v>
      </c>
      <c r="H1987">
        <v>0.12999999523162842</v>
      </c>
      <c r="I1987">
        <v>150.5</v>
      </c>
      <c r="J1987">
        <v>1330</v>
      </c>
    </row>
    <row r="1988" spans="1:10" x14ac:dyDescent="0.25">
      <c r="A1988">
        <v>463</v>
      </c>
      <c r="B1988" t="str">
        <v>Raasi Refractor</v>
      </c>
      <c r="C1988">
        <v>38.645389000000002</v>
      </c>
      <c r="D1988">
        <v>14.227719306945801</v>
      </c>
      <c r="E1988">
        <v>8.1335544586181641</v>
      </c>
      <c r="F1988">
        <v>0.57166999578475952</v>
      </c>
      <c r="G1988">
        <v>27.045000076293945</v>
      </c>
      <c r="H1988">
        <v>0</v>
      </c>
      <c r="I1988">
        <v>13.140000343322754</v>
      </c>
      <c r="J1988">
        <v>477</v>
      </c>
    </row>
    <row r="1989" spans="1:10" x14ac:dyDescent="0.25">
      <c r="A1989">
        <v>22883</v>
      </c>
      <c r="B1989" t="str">
        <v>Radaan Media.</v>
      </c>
      <c r="C1989">
        <v>23.286923000000002</v>
      </c>
      <c r="D1989">
        <v>2.0198531150817871</v>
      </c>
      <c r="E1989">
        <v>1.2936710119247437</v>
      </c>
      <c r="F1989">
        <v>0.64047801494598389</v>
      </c>
      <c r="G1989">
        <v>4.4850001335144043</v>
      </c>
      <c r="H1989">
        <v>0</v>
      </c>
      <c r="I1989">
        <v>25.190000534057617</v>
      </c>
      <c r="J1989">
        <v>986</v>
      </c>
    </row>
    <row r="1990" spans="1:10" x14ac:dyDescent="0.25">
      <c r="A1990">
        <v>54764</v>
      </c>
      <c r="B1990" t="str">
        <v>Radhagobind Comm</v>
      </c>
      <c r="C1990">
        <v>-7.3108510000000004</v>
      </c>
      <c r="D1990">
        <v>2.0230629444122314</v>
      </c>
      <c r="E1990">
        <v>0.76440197229385376</v>
      </c>
      <c r="F1990">
        <v>0.37784400582313538</v>
      </c>
      <c r="G1990">
        <v>2.4000000953674316</v>
      </c>
      <c r="H1990">
        <v>0</v>
      </c>
      <c r="I1990">
        <v>3.380000114440918</v>
      </c>
      <c r="J1990">
        <v>1097</v>
      </c>
    </row>
    <row r="1991" spans="1:10" x14ac:dyDescent="0.25">
      <c r="A1991">
        <v>6233</v>
      </c>
      <c r="B1991" t="str">
        <v>Radhe Develop.</v>
      </c>
      <c r="C1991">
        <v>18.697825999999999</v>
      </c>
      <c r="D1991">
        <v>4.2526698112487793</v>
      </c>
      <c r="E1991">
        <v>4.0707278251647949</v>
      </c>
      <c r="F1991">
        <v>0.95721697807312012</v>
      </c>
      <c r="G1991">
        <v>1.9500000476837158</v>
      </c>
      <c r="H1991">
        <v>0.62000000476837158</v>
      </c>
      <c r="I1991">
        <v>102.65000152587891</v>
      </c>
      <c r="J1991">
        <v>1359</v>
      </c>
    </row>
    <row r="1992" spans="1:10" x14ac:dyDescent="0.25">
      <c r="A1992">
        <v>68727</v>
      </c>
      <c r="B1992" t="str">
        <v>Radhika Jeweltec</v>
      </c>
      <c r="C1992">
        <v>63.831530999999998</v>
      </c>
      <c r="D1992">
        <v>44.230274200439453</v>
      </c>
      <c r="E1992">
        <v>33.666511535644531</v>
      </c>
      <c r="F1992">
        <v>0.76116400957107544</v>
      </c>
      <c r="G1992">
        <v>84.675003051757813</v>
      </c>
      <c r="H1992">
        <v>0.15999999642372131</v>
      </c>
      <c r="I1992">
        <v>986.3599853515625</v>
      </c>
      <c r="J1992">
        <v>1158</v>
      </c>
    </row>
    <row r="1993" spans="1:10" x14ac:dyDescent="0.25">
      <c r="A1993">
        <v>2153</v>
      </c>
      <c r="B1993" t="str">
        <v>Radico Khaitan</v>
      </c>
      <c r="C1993">
        <v>40.826957</v>
      </c>
      <c r="D1993">
        <v>1161.941650390625</v>
      </c>
      <c r="E1993">
        <v>632.32794189453125</v>
      </c>
      <c r="F1993">
        <v>0.54419898986816406</v>
      </c>
      <c r="G1993">
        <v>2666.10009765625</v>
      </c>
      <c r="H1993">
        <v>0.34999999403953552</v>
      </c>
      <c r="I1993">
        <v>35480</v>
      </c>
      <c r="J1993">
        <v>1359</v>
      </c>
    </row>
    <row r="1994" spans="1:10" x14ac:dyDescent="0.25">
      <c r="A1994">
        <v>6190</v>
      </c>
      <c r="B1994" t="str">
        <v>Radix Industries</v>
      </c>
      <c r="C1994">
        <v>16.746732999999999</v>
      </c>
      <c r="D1994">
        <v>90.495475769042969</v>
      </c>
      <c r="E1994">
        <v>47.291709899902344</v>
      </c>
      <c r="F1994">
        <v>0.52258598804473877</v>
      </c>
      <c r="G1994">
        <v>183.30000305175781</v>
      </c>
      <c r="H1994">
        <v>9.0000003576278687E-2</v>
      </c>
      <c r="I1994">
        <v>270.35000610351563</v>
      </c>
      <c r="J1994">
        <v>1282</v>
      </c>
    </row>
    <row r="1995" spans="1:10" x14ac:dyDescent="0.25">
      <c r="A1995">
        <v>67741</v>
      </c>
      <c r="B1995" t="str">
        <v>Raghav Product.</v>
      </c>
      <c r="C1995">
        <v>65.074248999999995</v>
      </c>
      <c r="D1995">
        <v>257.15606689453125</v>
      </c>
      <c r="E1995">
        <v>199.719482421875</v>
      </c>
      <c r="F1995">
        <v>0.77664697170257568</v>
      </c>
      <c r="G1995">
        <v>721.82501220703125</v>
      </c>
      <c r="H1995">
        <v>0</v>
      </c>
      <c r="I1995">
        <v>3216.590087890625</v>
      </c>
      <c r="J1995">
        <v>1295</v>
      </c>
    </row>
    <row r="1996" spans="1:10" x14ac:dyDescent="0.25">
      <c r="A1996">
        <v>4708</v>
      </c>
      <c r="B1996" t="str">
        <v>Raghunath Intl.</v>
      </c>
      <c r="C1996">
        <v>30.094109</v>
      </c>
      <c r="D1996">
        <v>12.281882286071777</v>
      </c>
      <c r="E1996">
        <v>5.4728841781616211</v>
      </c>
      <c r="F1996">
        <v>0.44560599327087402</v>
      </c>
      <c r="G1996">
        <v>12.975000381469727</v>
      </c>
      <c r="H1996">
        <v>0</v>
      </c>
      <c r="I1996">
        <v>6.4800000190734863</v>
      </c>
      <c r="J1996">
        <v>1198</v>
      </c>
    </row>
    <row r="1997" spans="1:10" x14ac:dyDescent="0.25">
      <c r="A1997">
        <v>26721</v>
      </c>
      <c r="B1997" t="str">
        <v>Rail Vikas</v>
      </c>
      <c r="C1997">
        <v>55.141134999999998</v>
      </c>
      <c r="D1997">
        <v>144.03973388671875</v>
      </c>
      <c r="E1997">
        <v>165.48065185546875</v>
      </c>
      <c r="F1997">
        <v>1.1488540172576904</v>
      </c>
      <c r="G1997">
        <v>390.20001220703125</v>
      </c>
      <c r="H1997">
        <v>0.87000000476837158</v>
      </c>
      <c r="I1997">
        <v>79689.46875</v>
      </c>
      <c r="J1997">
        <v>1359</v>
      </c>
    </row>
    <row r="1998" spans="1:10" x14ac:dyDescent="0.25">
      <c r="A1998">
        <v>955</v>
      </c>
      <c r="B1998" t="str">
        <v>Rain Industries</v>
      </c>
      <c r="C1998">
        <v>6.7966749999999996</v>
      </c>
      <c r="D1998">
        <v>158.77862548828125</v>
      </c>
      <c r="E1998">
        <v>39.990768432617188</v>
      </c>
      <c r="F1998">
        <v>0.25186499953269958</v>
      </c>
      <c r="G1998">
        <v>144.01249694824219</v>
      </c>
      <c r="H1998">
        <v>0.20999999344348907</v>
      </c>
      <c r="I1998">
        <v>4786.259765625</v>
      </c>
      <c r="J1998">
        <v>1359</v>
      </c>
    </row>
    <row r="1999" spans="1:10" x14ac:dyDescent="0.25">
      <c r="A1999">
        <v>22035</v>
      </c>
      <c r="B1999" t="str">
        <v>Rainbow Denim</v>
      </c>
      <c r="C1999">
        <v>-10.305006000000001</v>
      </c>
      <c r="D1999">
        <v>3.4878630638122559</v>
      </c>
      <c r="E1999">
        <v>1.6724799871444702</v>
      </c>
      <c r="F1999">
        <v>0.47951400279998779</v>
      </c>
      <c r="G1999">
        <v>3.369999885559082</v>
      </c>
      <c r="H1999">
        <v>0</v>
      </c>
      <c r="I1999">
        <v>4.570000171661377</v>
      </c>
      <c r="J1999">
        <v>585</v>
      </c>
    </row>
    <row r="2000" spans="1:10" x14ac:dyDescent="0.25">
      <c r="A2000">
        <v>2370</v>
      </c>
      <c r="B2000" t="str">
        <v>Rainbow Papers</v>
      </c>
      <c r="C2000">
        <v>-90.653993</v>
      </c>
      <c r="D2000">
        <v>0.49000000953674316</v>
      </c>
      <c r="E2000">
        <v>1.9999999552965164E-2</v>
      </c>
      <c r="F2000">
        <v>4.081600159406662E-2</v>
      </c>
      <c r="G2000">
        <v>0.4699999988079071</v>
      </c>
      <c r="H2000">
        <v>0</v>
      </c>
      <c r="I2000">
        <v>4.9899997711181641</v>
      </c>
      <c r="J2000">
        <v>3</v>
      </c>
    </row>
    <row r="2001" spans="1:10" x14ac:dyDescent="0.25">
      <c r="A2001">
        <v>4876</v>
      </c>
      <c r="B2001" t="str">
        <v>Raj Packaging</v>
      </c>
      <c r="C2001">
        <v>2.910066</v>
      </c>
      <c r="D2001">
        <v>31.666337966918945</v>
      </c>
      <c r="E2001">
        <v>10.177764892578125</v>
      </c>
      <c r="F2001">
        <v>0.32140600681304932</v>
      </c>
      <c r="G2001">
        <v>27.770000457763672</v>
      </c>
      <c r="H2001">
        <v>0.23999999463558197</v>
      </c>
      <c r="I2001">
        <v>12.869999885559082</v>
      </c>
      <c r="J2001">
        <v>1229</v>
      </c>
    </row>
    <row r="2002" spans="1:10" x14ac:dyDescent="0.25">
      <c r="A2002">
        <v>17125</v>
      </c>
      <c r="B2002" t="str">
        <v>Raj Television</v>
      </c>
      <c r="C2002">
        <v>1.013641</v>
      </c>
      <c r="D2002">
        <v>49.817157745361328</v>
      </c>
      <c r="E2002">
        <v>18.641973495483398</v>
      </c>
      <c r="F2002">
        <v>0.374208003282547</v>
      </c>
      <c r="G2002">
        <v>46.095001220703125</v>
      </c>
      <c r="H2002">
        <v>0.23999999463558197</v>
      </c>
      <c r="I2002">
        <v>231.69000244140625</v>
      </c>
      <c r="J2002">
        <v>1318</v>
      </c>
    </row>
    <row r="2003" spans="1:10" x14ac:dyDescent="0.25">
      <c r="A2003">
        <v>2320</v>
      </c>
      <c r="B2003" t="str">
        <v>Raja Bahadur Int</v>
      </c>
      <c r="C2003">
        <v>19.114861999999999</v>
      </c>
      <c r="D2003">
        <v>4541.7841796875</v>
      </c>
      <c r="E2003">
        <v>1933.322509765625</v>
      </c>
      <c r="F2003">
        <v>0.42567500472068787</v>
      </c>
      <c r="G2003">
        <v>4868.08740234375</v>
      </c>
      <c r="H2003">
        <v>0</v>
      </c>
      <c r="I2003">
        <v>122.09999847412109</v>
      </c>
      <c r="J2003">
        <v>1028</v>
      </c>
    </row>
    <row r="2004" spans="1:10" x14ac:dyDescent="0.25">
      <c r="A2004">
        <v>25711</v>
      </c>
      <c r="B2004" t="str">
        <v>Rajasthan Cylind</v>
      </c>
      <c r="C2004">
        <v>21.927426000000001</v>
      </c>
      <c r="D2004">
        <v>31.407957077026367</v>
      </c>
      <c r="E2004">
        <v>10.997495651245117</v>
      </c>
      <c r="F2004">
        <v>0.35014998912811279</v>
      </c>
      <c r="G2004">
        <v>42.150001525878906</v>
      </c>
      <c r="H2004">
        <v>5.000000074505806E-2</v>
      </c>
      <c r="I2004">
        <v>14.050000190734863</v>
      </c>
      <c r="J2004">
        <v>1088</v>
      </c>
    </row>
    <row r="2005" spans="1:10" x14ac:dyDescent="0.25">
      <c r="A2005">
        <v>13051</v>
      </c>
      <c r="B2005" t="str">
        <v>Rajesh Exports</v>
      </c>
      <c r="C2005">
        <v>-22.305448999999999</v>
      </c>
      <c r="D2005">
        <v>499.24789428710938</v>
      </c>
      <c r="E2005">
        <v>176.90029907226563</v>
      </c>
      <c r="F2005">
        <v>0.35433399677276611</v>
      </c>
      <c r="G2005">
        <v>192.91250610351563</v>
      </c>
      <c r="H2005">
        <v>0.12999999523162842</v>
      </c>
      <c r="I2005">
        <v>5542.02978515625</v>
      </c>
      <c r="J2005">
        <v>1359</v>
      </c>
    </row>
    <row r="2006" spans="1:10" x14ac:dyDescent="0.25">
      <c r="A2006">
        <v>5160</v>
      </c>
      <c r="B2006" t="str">
        <v>Rajnish Retail</v>
      </c>
      <c r="C2006">
        <v>79.609452000000005</v>
      </c>
      <c r="D2006">
        <v>5.3588638305664063</v>
      </c>
      <c r="E2006">
        <v>5.4293098449707031</v>
      </c>
      <c r="F2006">
        <v>1.0131460428237915</v>
      </c>
      <c r="G2006">
        <v>6.8899998664855957</v>
      </c>
      <c r="H2006">
        <v>0</v>
      </c>
      <c r="I2006">
        <v>107.52999877929688</v>
      </c>
      <c r="J2006">
        <v>1141</v>
      </c>
    </row>
    <row r="2007" spans="1:10" x14ac:dyDescent="0.25">
      <c r="A2007">
        <v>4163</v>
      </c>
      <c r="B2007" t="str">
        <v>Rajoo Engineers</v>
      </c>
      <c r="C2007">
        <v>67.400408999999996</v>
      </c>
      <c r="D2007">
        <v>51.657997131347656</v>
      </c>
      <c r="E2007">
        <v>76.096748352050781</v>
      </c>
      <c r="F2007">
        <v>1.4730880260467529</v>
      </c>
      <c r="G2007">
        <v>118.69999694824219</v>
      </c>
      <c r="H2007">
        <v>9.9999997764825821E-3</v>
      </c>
      <c r="I2007">
        <v>1921.219970703125</v>
      </c>
      <c r="J2007">
        <v>1351</v>
      </c>
    </row>
    <row r="2008" spans="1:10" x14ac:dyDescent="0.25">
      <c r="A2008">
        <v>26310</v>
      </c>
      <c r="B2008" t="str">
        <v>Rajputana Invest</v>
      </c>
      <c r="C2008">
        <v>16.581918000000002</v>
      </c>
      <c r="D2008">
        <v>32.868637084960938</v>
      </c>
      <c r="E2008">
        <v>10.970034599304199</v>
      </c>
      <c r="F2008">
        <v>0.33375400304794312</v>
      </c>
      <c r="G2008">
        <v>35.840000152587891</v>
      </c>
      <c r="H2008">
        <v>0</v>
      </c>
      <c r="I2008">
        <v>10.840000152587891</v>
      </c>
      <c r="J2008">
        <v>524</v>
      </c>
    </row>
    <row r="2009" spans="1:10" x14ac:dyDescent="0.25">
      <c r="A2009">
        <v>4364</v>
      </c>
      <c r="B2009" t="str">
        <v>Rajratan Global</v>
      </c>
      <c r="C2009">
        <v>36.467360999999997</v>
      </c>
      <c r="D2009">
        <v>492.55441284179688</v>
      </c>
      <c r="E2009">
        <v>304.28067016601563</v>
      </c>
      <c r="F2009">
        <v>0.61776101589202881</v>
      </c>
      <c r="G2009">
        <v>412.45001220703125</v>
      </c>
      <c r="H2009">
        <v>0.38999998569488525</v>
      </c>
      <c r="I2009">
        <v>2068.409912109375</v>
      </c>
      <c r="J2009">
        <v>1359</v>
      </c>
    </row>
    <row r="2010" spans="1:10" x14ac:dyDescent="0.25">
      <c r="A2010">
        <v>1497</v>
      </c>
      <c r="B2010" t="str">
        <v>Rajvi Logitrade</v>
      </c>
      <c r="C2010">
        <v>15.526254</v>
      </c>
      <c r="D2010">
        <v>8.5144453048706055</v>
      </c>
      <c r="E2010">
        <v>2.1756091117858887</v>
      </c>
      <c r="F2010">
        <v>0.25551998615264893</v>
      </c>
      <c r="G2010">
        <v>12.439999580383301</v>
      </c>
      <c r="H2010">
        <v>0.15999999642372131</v>
      </c>
      <c r="I2010">
        <v>1.2400000095367432</v>
      </c>
      <c r="J2010">
        <v>18</v>
      </c>
    </row>
    <row r="2011" spans="1:10" x14ac:dyDescent="0.25">
      <c r="A2011">
        <v>465</v>
      </c>
      <c r="B2011" t="str">
        <v>Rallis India</v>
      </c>
      <c r="C2011">
        <v>11.086046</v>
      </c>
      <c r="D2011">
        <v>256.4395751953125</v>
      </c>
      <c r="E2011">
        <v>43.848411560058594</v>
      </c>
      <c r="F2011">
        <v>0.17098900675773621</v>
      </c>
      <c r="G2011">
        <v>313.4375</v>
      </c>
      <c r="H2011">
        <v>5.000000074505806E-2</v>
      </c>
      <c r="I2011">
        <v>6065.47998046875</v>
      </c>
      <c r="J2011">
        <v>1359</v>
      </c>
    </row>
    <row r="2012" spans="1:10" x14ac:dyDescent="0.25">
      <c r="A2012">
        <v>5225</v>
      </c>
      <c r="B2012" t="str">
        <v>Ram Info</v>
      </c>
      <c r="C2012">
        <v>26.396349000000001</v>
      </c>
      <c r="D2012">
        <v>84.319114685058594</v>
      </c>
      <c r="E2012">
        <v>42.896720886230469</v>
      </c>
      <c r="F2012">
        <v>0.50874298810958862</v>
      </c>
      <c r="G2012">
        <v>120.87249755859375</v>
      </c>
      <c r="H2012">
        <v>0.15999999642372131</v>
      </c>
      <c r="I2012">
        <v>92.129997253417969</v>
      </c>
      <c r="J2012">
        <v>1342</v>
      </c>
    </row>
    <row r="2013" spans="1:10" x14ac:dyDescent="0.25">
      <c r="A2013">
        <v>41288</v>
      </c>
      <c r="B2013" t="str">
        <v>Ram Minerals</v>
      </c>
      <c r="C2013">
        <v>-26.379007999999999</v>
      </c>
      <c r="D2013">
        <v>0.53721600770950317</v>
      </c>
      <c r="E2013">
        <v>6.1425000429153442E-2</v>
      </c>
      <c r="F2013">
        <v>0.11433999985456467</v>
      </c>
      <c r="G2013">
        <v>0.49000000953674316</v>
      </c>
      <c r="H2013">
        <v>0</v>
      </c>
      <c r="I2013">
        <v>10.079999923706055</v>
      </c>
      <c r="J2013">
        <v>176</v>
      </c>
    </row>
    <row r="2014" spans="1:10" x14ac:dyDescent="0.25">
      <c r="A2014">
        <v>4453</v>
      </c>
      <c r="B2014" t="str">
        <v>Ram Ratna Wires</v>
      </c>
      <c r="C2014">
        <v>57.807913999999997</v>
      </c>
      <c r="D2014">
        <v>213.94802856445313</v>
      </c>
      <c r="E2014">
        <v>191.00492858886719</v>
      </c>
      <c r="F2014">
        <v>0.89276301860809326</v>
      </c>
      <c r="G2014">
        <v>676.0875244140625</v>
      </c>
      <c r="H2014">
        <v>0.44999998807907104</v>
      </c>
      <c r="I2014">
        <v>2926.14990234375</v>
      </c>
      <c r="J2014">
        <v>1359</v>
      </c>
    </row>
    <row r="2015" spans="1:10" x14ac:dyDescent="0.25">
      <c r="A2015">
        <v>2493</v>
      </c>
      <c r="B2015" t="str">
        <v>Rama Paper Mills</v>
      </c>
      <c r="C2015">
        <v>-0.18803500000000001</v>
      </c>
      <c r="D2015">
        <v>18.310848236083984</v>
      </c>
      <c r="E2015">
        <v>6.5050902366638184</v>
      </c>
      <c r="F2015">
        <v>0.3552590012550354</v>
      </c>
      <c r="G2015">
        <v>12.085000038146973</v>
      </c>
      <c r="H2015">
        <v>0</v>
      </c>
      <c r="I2015">
        <v>11.670000076293945</v>
      </c>
      <c r="J2015">
        <v>1164</v>
      </c>
    </row>
    <row r="2016" spans="1:10" x14ac:dyDescent="0.25">
      <c r="A2016">
        <v>1473</v>
      </c>
      <c r="B2016" t="str">
        <v>Rama Phosphates</v>
      </c>
      <c r="C2016">
        <v>31.768276</v>
      </c>
      <c r="D2016">
        <v>103.46086120605469</v>
      </c>
      <c r="E2016">
        <v>50.465396881103516</v>
      </c>
      <c r="F2016">
        <v>0.48777300119400024</v>
      </c>
      <c r="G2016">
        <v>121</v>
      </c>
      <c r="H2016">
        <v>0.44999998807907104</v>
      </c>
      <c r="I2016">
        <v>422.69000244140625</v>
      </c>
      <c r="J2016">
        <v>1359</v>
      </c>
    </row>
    <row r="2017" spans="1:10" x14ac:dyDescent="0.25">
      <c r="A2017">
        <v>23340</v>
      </c>
      <c r="B2017" t="str">
        <v>Rama Steel Tubes</v>
      </c>
      <c r="C2017">
        <v>57.858167000000002</v>
      </c>
      <c r="D2017">
        <v>7.5162959098815918</v>
      </c>
      <c r="E2017">
        <v>5.0619320869445801</v>
      </c>
      <c r="F2017">
        <v>0.67346101999282837</v>
      </c>
      <c r="G2017">
        <v>12.260000228881836</v>
      </c>
      <c r="H2017">
        <v>0.46000000834465027</v>
      </c>
      <c r="I2017">
        <v>1888.3900146484375</v>
      </c>
      <c r="J2017">
        <v>1290</v>
      </c>
    </row>
    <row r="2018" spans="1:10" x14ac:dyDescent="0.25">
      <c r="A2018">
        <v>1724</v>
      </c>
      <c r="B2018" t="str">
        <v>Rama Vision</v>
      </c>
      <c r="C2018">
        <v>67.201274999999995</v>
      </c>
      <c r="D2018">
        <v>47.004146575927734</v>
      </c>
      <c r="E2018">
        <v>39.208606719970703</v>
      </c>
      <c r="F2018">
        <v>0.8341519832611084</v>
      </c>
      <c r="G2018">
        <v>83.537498474121094</v>
      </c>
      <c r="H2018">
        <v>0.56999999284744263</v>
      </c>
      <c r="I2018">
        <v>88.620002746582031</v>
      </c>
      <c r="J2018">
        <v>1243</v>
      </c>
    </row>
    <row r="2019" spans="1:10" x14ac:dyDescent="0.25">
      <c r="A2019">
        <v>3565</v>
      </c>
      <c r="B2019" t="str">
        <v>Ramasigns Indus.</v>
      </c>
      <c r="C2019">
        <v>-4.4242429999999997</v>
      </c>
      <c r="D2019">
        <v>3.5006840229034424</v>
      </c>
      <c r="E2019">
        <v>1.321274995803833</v>
      </c>
      <c r="F2019">
        <v>0.37743300199508667</v>
      </c>
      <c r="G2019">
        <v>2.5399999618530273</v>
      </c>
      <c r="H2019">
        <v>0.68000000715255737</v>
      </c>
      <c r="I2019">
        <v>7.3400001525878906</v>
      </c>
      <c r="J2019">
        <v>1203</v>
      </c>
    </row>
    <row r="2020" spans="1:10" x14ac:dyDescent="0.25">
      <c r="A2020">
        <v>7575</v>
      </c>
      <c r="B2020" t="str">
        <v>Ramchandra Leas.</v>
      </c>
      <c r="C2020">
        <v>53.733773999999997</v>
      </c>
      <c r="D2020">
        <v>1.247689962387085</v>
      </c>
      <c r="E2020">
        <v>0.97539502382278442</v>
      </c>
      <c r="F2020">
        <v>0.78175997734069824</v>
      </c>
      <c r="G2020">
        <v>2.997499942779541</v>
      </c>
      <c r="H2020">
        <v>5.9999998658895493E-2</v>
      </c>
      <c r="I2020">
        <v>15.350000381469727</v>
      </c>
      <c r="J2020">
        <v>1180</v>
      </c>
    </row>
    <row r="2021" spans="1:10" x14ac:dyDescent="0.25">
      <c r="A2021">
        <v>1926</v>
      </c>
      <c r="B2021" t="str">
        <v>Ramco Inds.</v>
      </c>
      <c r="C2021">
        <v>6.1654520000000002</v>
      </c>
      <c r="D2021">
        <v>215.39599609375</v>
      </c>
      <c r="E2021">
        <v>48.343681335449219</v>
      </c>
      <c r="F2021">
        <v>0.22444100677967072</v>
      </c>
      <c r="G2021">
        <v>264.42498779296875</v>
      </c>
      <c r="H2021">
        <v>0.23999999463558197</v>
      </c>
      <c r="I2021">
        <v>2258.340087890625</v>
      </c>
      <c r="J2021">
        <v>1359</v>
      </c>
    </row>
    <row r="2022" spans="1:10" x14ac:dyDescent="0.25">
      <c r="A2022">
        <v>12611</v>
      </c>
      <c r="B2022" t="str">
        <v>Ramco Systems</v>
      </c>
      <c r="C2022">
        <v>15.559438999999999</v>
      </c>
      <c r="D2022">
        <v>341.14297485351563</v>
      </c>
      <c r="E2022">
        <v>136.72450256347656</v>
      </c>
      <c r="F2022">
        <v>0.40078398585319519</v>
      </c>
      <c r="G2022">
        <v>389.77499389648438</v>
      </c>
      <c r="H2022">
        <v>9.0000003576278687E-2</v>
      </c>
      <c r="I2022">
        <v>1418.3699951171875</v>
      </c>
      <c r="J2022">
        <v>1359</v>
      </c>
    </row>
    <row r="2023" spans="1:10" x14ac:dyDescent="0.25">
      <c r="A2023">
        <v>2773</v>
      </c>
      <c r="B2023" t="str">
        <v>Ramgopal Polytex</v>
      </c>
      <c r="C2023">
        <v>30.513788000000002</v>
      </c>
      <c r="D2023">
        <v>5.7444877624511719</v>
      </c>
      <c r="E2023">
        <v>3.3198750019073486</v>
      </c>
      <c r="F2023">
        <v>0.57792401313781738</v>
      </c>
      <c r="G2023">
        <v>5.442500114440918</v>
      </c>
      <c r="H2023">
        <v>1.9999999552965164E-2</v>
      </c>
      <c r="I2023">
        <v>8.0500001907348633</v>
      </c>
      <c r="J2023">
        <v>1231</v>
      </c>
    </row>
    <row r="2024" spans="1:10" x14ac:dyDescent="0.25">
      <c r="A2024">
        <v>24934</v>
      </c>
      <c r="B2024" t="str">
        <v>Ramkrishna Forg.</v>
      </c>
      <c r="C2024">
        <v>40.826126000000002</v>
      </c>
      <c r="D2024">
        <v>377.10714721679688</v>
      </c>
      <c r="E2024">
        <v>310.68560791015625</v>
      </c>
      <c r="F2024">
        <v>0.82386600971221924</v>
      </c>
      <c r="G2024">
        <v>638.5625</v>
      </c>
      <c r="H2024">
        <v>0.54000002145767212</v>
      </c>
      <c r="I2024">
        <v>11575.8701171875</v>
      </c>
      <c r="J2024">
        <v>1358</v>
      </c>
    </row>
    <row r="2025" spans="1:10" x14ac:dyDescent="0.25">
      <c r="A2025">
        <v>28591</v>
      </c>
      <c r="B2025" t="str">
        <v>Ramky Infra</v>
      </c>
      <c r="C2025">
        <v>53.260668000000003</v>
      </c>
      <c r="D2025">
        <v>309.22653198242188</v>
      </c>
      <c r="E2025">
        <v>238.13299560546875</v>
      </c>
      <c r="F2025">
        <v>0.77009201049804688</v>
      </c>
      <c r="G2025">
        <v>513.29998779296875</v>
      </c>
      <c r="H2025">
        <v>0.47999998927116394</v>
      </c>
      <c r="I2025">
        <v>3556.77001953125</v>
      </c>
      <c r="J2025">
        <v>1359</v>
      </c>
    </row>
    <row r="2026" spans="1:10" x14ac:dyDescent="0.25">
      <c r="A2026">
        <v>5236</v>
      </c>
      <c r="B2026" t="str">
        <v>Ramsons Projects</v>
      </c>
      <c r="C2026">
        <v>44.865946000000001</v>
      </c>
      <c r="D2026">
        <v>31.505050659179688</v>
      </c>
      <c r="E2026">
        <v>21.864404678344727</v>
      </c>
      <c r="F2026">
        <v>0.69399702548980713</v>
      </c>
      <c r="G2026">
        <v>87.087501525878906</v>
      </c>
      <c r="H2026">
        <v>0</v>
      </c>
      <c r="I2026">
        <v>26.209999084472656</v>
      </c>
      <c r="J2026">
        <v>696</v>
      </c>
    </row>
    <row r="2027" spans="1:10" x14ac:dyDescent="0.25">
      <c r="A2027">
        <v>3356</v>
      </c>
      <c r="B2027" t="str">
        <v>Rana Sugars</v>
      </c>
      <c r="C2027">
        <v>30.11534</v>
      </c>
      <c r="D2027">
        <v>19.451072692871094</v>
      </c>
      <c r="E2027">
        <v>8.8633556365966797</v>
      </c>
      <c r="F2027">
        <v>0.45567399263381958</v>
      </c>
      <c r="G2027">
        <v>15.792499542236328</v>
      </c>
      <c r="H2027">
        <v>0.67000001668930054</v>
      </c>
      <c r="I2027">
        <v>237.57000732421875</v>
      </c>
      <c r="J2027">
        <v>1359</v>
      </c>
    </row>
    <row r="2028" spans="1:10" x14ac:dyDescent="0.25">
      <c r="A2028">
        <v>29302</v>
      </c>
      <c r="B2028" t="str">
        <v>Rane Brake Lin.</v>
      </c>
      <c r="C2028">
        <v>0.65826499999999999</v>
      </c>
      <c r="D2028">
        <v>767.41082763671875</v>
      </c>
      <c r="E2028">
        <v>159.54705810546875</v>
      </c>
      <c r="F2028">
        <v>0.20790299773216248</v>
      </c>
      <c r="G2028">
        <v>745.5625</v>
      </c>
      <c r="H2028">
        <v>0</v>
      </c>
      <c r="I2028">
        <v>575.530029296875</v>
      </c>
      <c r="J2028">
        <v>1316</v>
      </c>
    </row>
    <row r="2029" spans="1:10" x14ac:dyDescent="0.25">
      <c r="A2029">
        <v>470</v>
      </c>
      <c r="B2029" t="str">
        <v>Rane Holdings</v>
      </c>
      <c r="C2029">
        <v>12.569509</v>
      </c>
      <c r="D2029">
        <v>930.55999755859375</v>
      </c>
      <c r="E2029">
        <v>435.17083740234375</v>
      </c>
      <c r="F2029">
        <v>0.46764400601387024</v>
      </c>
      <c r="G2029">
        <v>1529.887451171875</v>
      </c>
      <c r="H2029">
        <v>5.000000074505806E-2</v>
      </c>
      <c r="I2029">
        <v>2157.35009765625</v>
      </c>
      <c r="J2029">
        <v>1358</v>
      </c>
    </row>
    <row r="2030" spans="1:10" x14ac:dyDescent="0.25">
      <c r="A2030">
        <v>6931</v>
      </c>
      <c r="B2030" t="str">
        <v>Rap Corp</v>
      </c>
      <c r="C2030">
        <v>31.211611999999999</v>
      </c>
      <c r="D2030">
        <v>20.044744491577148</v>
      </c>
      <c r="E2030">
        <v>9.6087379455566406</v>
      </c>
      <c r="F2030">
        <v>0.47936400771141052</v>
      </c>
      <c r="G2030">
        <v>29.170000076293945</v>
      </c>
      <c r="H2030">
        <v>0.34000000357627869</v>
      </c>
      <c r="I2030">
        <v>16.299999237060547</v>
      </c>
      <c r="J2030">
        <v>931</v>
      </c>
    </row>
    <row r="2031" spans="1:10" x14ac:dyDescent="0.25">
      <c r="A2031">
        <v>1086</v>
      </c>
      <c r="B2031" t="str">
        <v>Rapicut Carbides</v>
      </c>
      <c r="C2031">
        <v>11.512146</v>
      </c>
      <c r="D2031">
        <v>62.254802703857422</v>
      </c>
      <c r="E2031">
        <v>35.557186126708984</v>
      </c>
      <c r="F2031">
        <v>0.57115602493286133</v>
      </c>
      <c r="G2031">
        <v>72.917503356933594</v>
      </c>
      <c r="H2031">
        <v>0.10999999940395355</v>
      </c>
      <c r="I2031">
        <v>38</v>
      </c>
      <c r="J2031">
        <v>1353</v>
      </c>
    </row>
    <row r="2032" spans="1:10" x14ac:dyDescent="0.25">
      <c r="A2032">
        <v>1953</v>
      </c>
      <c r="B2032" t="str">
        <v>Rapid Invest.</v>
      </c>
      <c r="C2032">
        <v>18.625254999999999</v>
      </c>
      <c r="D2032">
        <v>103.87565612792969</v>
      </c>
      <c r="E2032">
        <v>37.627819061279297</v>
      </c>
      <c r="F2032">
        <v>0.36223900318145752</v>
      </c>
      <c r="G2032">
        <v>79.949996948242188</v>
      </c>
      <c r="H2032">
        <v>0</v>
      </c>
      <c r="I2032">
        <v>17.610000610351563</v>
      </c>
      <c r="J2032">
        <v>225</v>
      </c>
    </row>
    <row r="2033" spans="1:10" x14ac:dyDescent="0.25">
      <c r="A2033">
        <v>1449</v>
      </c>
      <c r="B2033" t="str">
        <v>Ras Resorts</v>
      </c>
      <c r="C2033">
        <v>0.239039</v>
      </c>
      <c r="D2033">
        <v>37.582664489746094</v>
      </c>
      <c r="E2033">
        <v>9.6469430923461914</v>
      </c>
      <c r="F2033">
        <v>0.2566860020160675</v>
      </c>
      <c r="G2033">
        <v>44.272499084472656</v>
      </c>
      <c r="H2033">
        <v>0.6600000262260437</v>
      </c>
      <c r="I2033">
        <v>16.909999847412109</v>
      </c>
      <c r="J2033">
        <v>1023</v>
      </c>
    </row>
    <row r="2034" spans="1:10" x14ac:dyDescent="0.25">
      <c r="A2034">
        <v>3460</v>
      </c>
      <c r="B2034" t="str">
        <v>Rasandik Engg.</v>
      </c>
      <c r="C2034">
        <v>6.9676819999999999</v>
      </c>
      <c r="D2034">
        <v>88.350799560546875</v>
      </c>
      <c r="E2034">
        <v>28.044757843017578</v>
      </c>
      <c r="F2034">
        <v>0.31742501258850098</v>
      </c>
      <c r="G2034">
        <v>79.894996643066406</v>
      </c>
      <c r="H2034">
        <v>0.60000002384185791</v>
      </c>
      <c r="I2034">
        <v>46.409999847412109</v>
      </c>
      <c r="J2034">
        <v>1312</v>
      </c>
    </row>
    <row r="2035" spans="1:10" x14ac:dyDescent="0.25">
      <c r="A2035">
        <v>6135</v>
      </c>
      <c r="B2035" t="str">
        <v>Rasi Electrodes</v>
      </c>
      <c r="C2035">
        <v>35.824573999999998</v>
      </c>
      <c r="D2035">
        <v>14.242064476013184</v>
      </c>
      <c r="E2035">
        <v>10.357335090637207</v>
      </c>
      <c r="F2035">
        <v>0.72723597288131714</v>
      </c>
      <c r="G2035">
        <v>18.625</v>
      </c>
      <c r="H2035">
        <v>7.0000000298023224E-2</v>
      </c>
      <c r="I2035">
        <v>57.5</v>
      </c>
      <c r="J2035">
        <v>1353</v>
      </c>
    </row>
    <row r="2036" spans="1:10" x14ac:dyDescent="0.25">
      <c r="A2036">
        <v>24367</v>
      </c>
      <c r="B2036" t="str">
        <v>Rathi Bars</v>
      </c>
      <c r="C2036">
        <v>24.343036999999999</v>
      </c>
      <c r="D2036">
        <v>27.328878402709961</v>
      </c>
      <c r="E2036">
        <v>11.642298698425293</v>
      </c>
      <c r="F2036">
        <v>0.42600700259208679</v>
      </c>
      <c r="G2036">
        <v>34.020000457763672</v>
      </c>
      <c r="H2036">
        <v>0.75</v>
      </c>
      <c r="I2036">
        <v>55.639999389648438</v>
      </c>
      <c r="J2036">
        <v>1357</v>
      </c>
    </row>
    <row r="2037" spans="1:10" x14ac:dyDescent="0.25">
      <c r="A2037">
        <v>4302</v>
      </c>
      <c r="B2037" t="str">
        <v>Rathi Graphic</v>
      </c>
      <c r="C2037">
        <v>0</v>
      </c>
      <c r="D2037">
        <v>0.97000002861022949</v>
      </c>
      <c r="E2037">
        <v>0</v>
      </c>
      <c r="F2037">
        <v>0</v>
      </c>
      <c r="G2037">
        <v>0.97000002861022949</v>
      </c>
      <c r="H2037">
        <v>0.56999999284744263</v>
      </c>
      <c r="I2037">
        <v>1.5900000333786011</v>
      </c>
      <c r="J2037">
        <v>2</v>
      </c>
    </row>
    <row r="2038" spans="1:10" x14ac:dyDescent="0.25">
      <c r="A2038">
        <v>3124</v>
      </c>
      <c r="B2038" t="str">
        <v>Ratnamani Metals</v>
      </c>
      <c r="C2038">
        <v>25.821733999999999</v>
      </c>
      <c r="D2038">
        <v>2046.329345703125</v>
      </c>
      <c r="E2038">
        <v>943.71929931640625</v>
      </c>
      <c r="F2038">
        <v>0.46117699146270752</v>
      </c>
      <c r="G2038">
        <v>2834.1123046875</v>
      </c>
      <c r="H2038">
        <v>3.9999999105930328E-2</v>
      </c>
      <c r="I2038">
        <v>19845.5</v>
      </c>
      <c r="J2038">
        <v>1359</v>
      </c>
    </row>
    <row r="2039" spans="1:10" x14ac:dyDescent="0.25">
      <c r="A2039">
        <v>41487</v>
      </c>
      <c r="B2039" t="str">
        <v>RattanIndia Ent</v>
      </c>
      <c r="C2039">
        <v>66.101049000000003</v>
      </c>
      <c r="D2039">
        <v>43.006317138671875</v>
      </c>
      <c r="E2039">
        <v>24.892917633056641</v>
      </c>
      <c r="F2039">
        <v>0.57881999015808105</v>
      </c>
      <c r="G2039">
        <v>55.700000762939453</v>
      </c>
      <c r="H2039">
        <v>0.80000001192092896</v>
      </c>
      <c r="I2039">
        <v>7623.22021484375</v>
      </c>
      <c r="J2039">
        <v>1331</v>
      </c>
    </row>
    <row r="2040" spans="1:10" x14ac:dyDescent="0.25">
      <c r="A2040">
        <v>34819</v>
      </c>
      <c r="B2040" t="str">
        <v>RattanIndia Pow.</v>
      </c>
      <c r="C2040">
        <v>35.463098000000002</v>
      </c>
      <c r="D2040">
        <v>6.4366130828857422</v>
      </c>
      <c r="E2040">
        <v>4.3814520835876465</v>
      </c>
      <c r="F2040">
        <v>0.68070799112319946</v>
      </c>
      <c r="G2040">
        <v>13.027500152587891</v>
      </c>
      <c r="H2040">
        <v>0.61000001430511475</v>
      </c>
      <c r="I2040">
        <v>6846.8798828125</v>
      </c>
      <c r="J2040">
        <v>1359</v>
      </c>
    </row>
    <row r="2041" spans="1:10" x14ac:dyDescent="0.25">
      <c r="A2041">
        <v>12176</v>
      </c>
      <c r="B2041" t="str">
        <v>Raunaq Intl.</v>
      </c>
      <c r="C2041">
        <v>5.1437309999999998</v>
      </c>
      <c r="D2041">
        <v>26.832237243652344</v>
      </c>
      <c r="E2041">
        <v>7.5928440093994141</v>
      </c>
      <c r="F2041">
        <v>0.28297498822212219</v>
      </c>
      <c r="G2041">
        <v>54.172500610351563</v>
      </c>
      <c r="H2041">
        <v>1.9999999552965164E-2</v>
      </c>
      <c r="I2041">
        <v>18.110000610351563</v>
      </c>
      <c r="J2041">
        <v>784</v>
      </c>
    </row>
    <row r="2042" spans="1:10" x14ac:dyDescent="0.25">
      <c r="A2042">
        <v>25805</v>
      </c>
      <c r="B2042" t="str">
        <v>Ravikumar Distll</v>
      </c>
      <c r="C2042">
        <v>31.632622999999999</v>
      </c>
      <c r="D2042">
        <v>16.435577392578125</v>
      </c>
      <c r="E2042">
        <v>8.1685380935668945</v>
      </c>
      <c r="F2042">
        <v>0.4970029890537262</v>
      </c>
      <c r="G2042">
        <v>29.764999389648438</v>
      </c>
      <c r="H2042">
        <v>0.92000001668930054</v>
      </c>
      <c r="I2042">
        <v>71.089996337890625</v>
      </c>
      <c r="J2042">
        <v>1250</v>
      </c>
    </row>
    <row r="2043" spans="1:10" x14ac:dyDescent="0.25">
      <c r="A2043">
        <v>6582</v>
      </c>
      <c r="B2043" t="str">
        <v>Ravindra Energy</v>
      </c>
      <c r="C2043">
        <v>27.930091000000001</v>
      </c>
      <c r="D2043">
        <v>60.847820281982422</v>
      </c>
      <c r="E2043">
        <v>31.733497619628906</v>
      </c>
      <c r="F2043">
        <v>0.52152198553085327</v>
      </c>
      <c r="G2043">
        <v>135.46249389648438</v>
      </c>
      <c r="H2043">
        <v>9.0000003576278687E-2</v>
      </c>
      <c r="I2043">
        <v>2372.989990234375</v>
      </c>
      <c r="J2043">
        <v>1328</v>
      </c>
    </row>
    <row r="2044" spans="1:10" x14ac:dyDescent="0.25">
      <c r="A2044">
        <v>5975</v>
      </c>
      <c r="B2044" t="str">
        <v>Raymed Labs</v>
      </c>
      <c r="C2044">
        <v>9.2247719999999997</v>
      </c>
      <c r="D2044">
        <v>1.7912770509719849</v>
      </c>
      <c r="E2044">
        <v>0.63068199157714844</v>
      </c>
      <c r="F2044">
        <v>0.35208499431610107</v>
      </c>
      <c r="G2044">
        <v>3.4800000190734863</v>
      </c>
      <c r="H2044">
        <v>0</v>
      </c>
      <c r="I2044">
        <v>1.4900000095367432</v>
      </c>
      <c r="J2044">
        <v>141</v>
      </c>
    </row>
    <row r="2045" spans="1:10" x14ac:dyDescent="0.25">
      <c r="A2045">
        <v>12586</v>
      </c>
      <c r="B2045" t="str">
        <v>Redington</v>
      </c>
      <c r="C2045">
        <v>30.879925</v>
      </c>
      <c r="D2045">
        <v>147.59312438964844</v>
      </c>
      <c r="E2045">
        <v>59.376869201660156</v>
      </c>
      <c r="F2045">
        <v>0.40230101346969604</v>
      </c>
      <c r="G2045">
        <v>297.96249389648438</v>
      </c>
      <c r="H2045">
        <v>0.47999998927116394</v>
      </c>
      <c r="I2045">
        <v>23382.869140625</v>
      </c>
      <c r="J2045">
        <v>1359</v>
      </c>
    </row>
    <row r="2046" spans="1:10" x14ac:dyDescent="0.25">
      <c r="A2046">
        <v>27794</v>
      </c>
      <c r="B2046" t="str">
        <v>Refex Industries</v>
      </c>
      <c r="C2046">
        <v>75.050173000000001</v>
      </c>
      <c r="D2046">
        <v>117.61443328857422</v>
      </c>
      <c r="E2046">
        <v>152.52545166015625</v>
      </c>
      <c r="F2046">
        <v>1.2968260049819946</v>
      </c>
      <c r="G2046">
        <v>452.10000610351563</v>
      </c>
      <c r="H2046">
        <v>0.38999998569488525</v>
      </c>
      <c r="I2046">
        <v>5686.60009765625</v>
      </c>
      <c r="J2046">
        <v>1359</v>
      </c>
    </row>
    <row r="2047" spans="1:10" x14ac:dyDescent="0.25">
      <c r="A2047">
        <v>831</v>
      </c>
      <c r="B2047" t="str">
        <v>Regency Ceramics</v>
      </c>
      <c r="C2047">
        <v>65.828967000000006</v>
      </c>
      <c r="D2047">
        <v>35.542919158935547</v>
      </c>
      <c r="E2047">
        <v>19.450155258178711</v>
      </c>
      <c r="F2047">
        <v>0.54723000526428223</v>
      </c>
      <c r="G2047">
        <v>45.849998474121094</v>
      </c>
      <c r="H2047">
        <v>0</v>
      </c>
      <c r="I2047">
        <v>121.23000335693359</v>
      </c>
      <c r="J2047">
        <v>723</v>
      </c>
    </row>
    <row r="2048" spans="1:10" x14ac:dyDescent="0.25">
      <c r="A2048">
        <v>4519</v>
      </c>
      <c r="B2048" t="str">
        <v>Regent Enterp.</v>
      </c>
      <c r="C2048">
        <v>21.609901000000001</v>
      </c>
      <c r="D2048">
        <v>3.7149829864501953</v>
      </c>
      <c r="E2048">
        <v>1.8084709644317627</v>
      </c>
      <c r="F2048">
        <v>0.48680499196052551</v>
      </c>
      <c r="G2048">
        <v>5.630000114440918</v>
      </c>
      <c r="H2048">
        <v>3.9999999105930328E-2</v>
      </c>
      <c r="I2048">
        <v>18.770000457763672</v>
      </c>
      <c r="J2048">
        <v>1188</v>
      </c>
    </row>
    <row r="2049" spans="1:10" x14ac:dyDescent="0.25">
      <c r="A2049">
        <v>3082</v>
      </c>
      <c r="B2049" t="str">
        <v>Rekvina Labs</v>
      </c>
      <c r="C2049">
        <v>3.2780710000000002</v>
      </c>
      <c r="D2049">
        <v>4.0721879005432129</v>
      </c>
      <c r="E2049">
        <v>0.27135300636291504</v>
      </c>
      <c r="F2049">
        <v>6.663600355386734E-2</v>
      </c>
      <c r="G2049">
        <v>4.5</v>
      </c>
      <c r="H2049">
        <v>0</v>
      </c>
      <c r="I2049">
        <v>2.7100000381469727</v>
      </c>
      <c r="J2049">
        <v>24</v>
      </c>
    </row>
    <row r="2050" spans="1:10" x14ac:dyDescent="0.25">
      <c r="A2050">
        <v>2195</v>
      </c>
      <c r="B2050" t="str">
        <v>Rel. Indl. Infra</v>
      </c>
      <c r="C2050">
        <v>21.711141999999999</v>
      </c>
      <c r="D2050">
        <v>831.80535888671875</v>
      </c>
      <c r="E2050">
        <v>329.80661010742188</v>
      </c>
      <c r="F2050">
        <v>0.39649501442909241</v>
      </c>
      <c r="G2050">
        <v>946.5625</v>
      </c>
      <c r="H2050">
        <v>0</v>
      </c>
      <c r="I2050">
        <v>1401.280029296875</v>
      </c>
      <c r="J2050">
        <v>1359</v>
      </c>
    </row>
    <row r="2051" spans="1:10" x14ac:dyDescent="0.25">
      <c r="A2051">
        <v>5056</v>
      </c>
      <c r="B2051" t="str">
        <v>Relaxo Footwear</v>
      </c>
      <c r="C2051">
        <v>-7.2295819999999997</v>
      </c>
      <c r="D2051">
        <v>862.17474365234375</v>
      </c>
      <c r="E2051">
        <v>220.21324157714844</v>
      </c>
      <c r="F2051">
        <v>0.25541600584983826</v>
      </c>
      <c r="G2051">
        <v>414.02499389648438</v>
      </c>
      <c r="H2051">
        <v>0.10000000149011612</v>
      </c>
      <c r="I2051">
        <v>10171.6298828125</v>
      </c>
      <c r="J2051">
        <v>1359</v>
      </c>
    </row>
    <row r="2052" spans="1:10" x14ac:dyDescent="0.25">
      <c r="A2052">
        <v>7793</v>
      </c>
      <c r="B2052" t="str">
        <v>Reliable Ventur.</v>
      </c>
      <c r="C2052">
        <v>20.730694</v>
      </c>
      <c r="D2052">
        <v>15.064962387084961</v>
      </c>
      <c r="E2052">
        <v>6.0317258834838867</v>
      </c>
      <c r="F2052">
        <v>0.40038099884986877</v>
      </c>
      <c r="G2052">
        <v>39.259998321533203</v>
      </c>
      <c r="H2052">
        <v>1.9999999552965164E-2</v>
      </c>
      <c r="I2052">
        <v>43.229999542236328</v>
      </c>
      <c r="J2052">
        <v>1262</v>
      </c>
    </row>
    <row r="2053" spans="1:10" x14ac:dyDescent="0.25">
      <c r="A2053">
        <v>27206</v>
      </c>
      <c r="B2053" t="str">
        <v>Reliance Communi</v>
      </c>
      <c r="C2053">
        <v>13.26892</v>
      </c>
      <c r="D2053">
        <v>2.0652980804443359</v>
      </c>
      <c r="E2053">
        <v>0.82441401481628418</v>
      </c>
      <c r="F2053">
        <v>0.39917400479316711</v>
      </c>
      <c r="G2053">
        <v>1.7699999809265137</v>
      </c>
      <c r="H2053">
        <v>0</v>
      </c>
      <c r="I2053">
        <v>489.5</v>
      </c>
      <c r="J2053">
        <v>1088</v>
      </c>
    </row>
    <row r="2054" spans="1:10" x14ac:dyDescent="0.25">
      <c r="A2054">
        <v>38777</v>
      </c>
      <c r="B2054" t="str">
        <v>Reliance Home</v>
      </c>
      <c r="C2054">
        <v>17.213878999999999</v>
      </c>
      <c r="D2054">
        <v>3.2499959468841553</v>
      </c>
      <c r="E2054">
        <v>1.1670639514923096</v>
      </c>
      <c r="F2054">
        <v>0.35909700393676758</v>
      </c>
      <c r="G2054">
        <v>7.1100001335144043</v>
      </c>
      <c r="H2054">
        <v>0</v>
      </c>
      <c r="I2054">
        <v>344.8800048828125</v>
      </c>
      <c r="J2054">
        <v>1336</v>
      </c>
    </row>
    <row r="2055" spans="1:10" x14ac:dyDescent="0.25">
      <c r="A2055">
        <v>476</v>
      </c>
      <c r="B2055" t="str">
        <v>Reliance Industr</v>
      </c>
      <c r="C2055">
        <v>13.821712</v>
      </c>
      <c r="D2055">
        <v>1119.650634765625</v>
      </c>
      <c r="E2055">
        <v>231.99305725097656</v>
      </c>
      <c r="F2055">
        <v>0.20720100402832031</v>
      </c>
      <c r="G2055">
        <v>1432.375</v>
      </c>
      <c r="H2055">
        <v>0.43999999761581421</v>
      </c>
      <c r="I2055">
        <v>1940082.375</v>
      </c>
      <c r="J2055">
        <v>1359</v>
      </c>
    </row>
    <row r="2056" spans="1:10" x14ac:dyDescent="0.25">
      <c r="A2056">
        <v>88</v>
      </c>
      <c r="B2056" t="str">
        <v>Reliance Infra.</v>
      </c>
      <c r="C2056">
        <v>49.308881</v>
      </c>
      <c r="D2056">
        <v>134.08601379394531</v>
      </c>
      <c r="E2056">
        <v>87.263969421386719</v>
      </c>
      <c r="F2056">
        <v>0.6508060097694397</v>
      </c>
      <c r="G2056">
        <v>392.75</v>
      </c>
      <c r="H2056">
        <v>0.4699999988079071</v>
      </c>
      <c r="I2056">
        <v>15211.4404296875</v>
      </c>
      <c r="J2056">
        <v>1359</v>
      </c>
    </row>
    <row r="2057" spans="1:10" x14ac:dyDescent="0.25">
      <c r="A2057">
        <v>12653</v>
      </c>
      <c r="B2057" t="str">
        <v>Reliance Power</v>
      </c>
      <c r="C2057">
        <v>56.618344999999998</v>
      </c>
      <c r="D2057">
        <v>17.441781997680664</v>
      </c>
      <c r="E2057">
        <v>13.204071044921875</v>
      </c>
      <c r="F2057">
        <v>0.75703698396682739</v>
      </c>
      <c r="G2057">
        <v>65.017501831054688</v>
      </c>
      <c r="H2057">
        <v>0.52999997138977051</v>
      </c>
      <c r="I2057">
        <v>26295.23046875</v>
      </c>
      <c r="J2057">
        <v>1359</v>
      </c>
    </row>
    <row r="2058" spans="1:10" x14ac:dyDescent="0.25">
      <c r="A2058">
        <v>4616</v>
      </c>
      <c r="B2058" t="str">
        <v>Relic Tech.</v>
      </c>
      <c r="C2058">
        <v>29.105767</v>
      </c>
      <c r="D2058">
        <v>21.835611343383789</v>
      </c>
      <c r="E2058">
        <v>13.912653923034668</v>
      </c>
      <c r="F2058">
        <v>0.6371539831161499</v>
      </c>
      <c r="G2058">
        <v>72.915000915527344</v>
      </c>
      <c r="H2058">
        <v>2.9999999329447746E-2</v>
      </c>
      <c r="I2058">
        <v>37.680000305175781</v>
      </c>
      <c r="J2058">
        <v>1067</v>
      </c>
    </row>
    <row r="2059" spans="1:10" x14ac:dyDescent="0.25">
      <c r="A2059">
        <v>28150</v>
      </c>
      <c r="B2059" t="str">
        <v>Religare Enterp.</v>
      </c>
      <c r="C2059">
        <v>31.562688999999999</v>
      </c>
      <c r="D2059">
        <v>155.58668518066406</v>
      </c>
      <c r="E2059">
        <v>74.913459777832031</v>
      </c>
      <c r="F2059">
        <v>0.48148998618125916</v>
      </c>
      <c r="G2059">
        <v>226.76249694824219</v>
      </c>
      <c r="H2059">
        <v>5.9999998658895493E-2</v>
      </c>
      <c r="I2059">
        <v>7499.22998046875</v>
      </c>
      <c r="J2059">
        <v>1359</v>
      </c>
    </row>
    <row r="2060" spans="1:10" x14ac:dyDescent="0.25">
      <c r="A2060">
        <v>956</v>
      </c>
      <c r="B2060" t="str">
        <v>Remi Edelstahl</v>
      </c>
      <c r="C2060">
        <v>29.656230999999998</v>
      </c>
      <c r="D2060">
        <v>49.918998718261719</v>
      </c>
      <c r="E2060">
        <v>28.197483062744141</v>
      </c>
      <c r="F2060">
        <v>0.56486499309539795</v>
      </c>
      <c r="G2060">
        <v>90.652496337890625</v>
      </c>
      <c r="H2060">
        <v>0.34999999403953552</v>
      </c>
      <c r="I2060">
        <v>98.94000244140625</v>
      </c>
      <c r="J2060">
        <v>1238</v>
      </c>
    </row>
    <row r="2061" spans="1:10" x14ac:dyDescent="0.25">
      <c r="A2061">
        <v>5266</v>
      </c>
      <c r="B2061" t="str">
        <v>Remsons Ind</v>
      </c>
      <c r="C2061">
        <v>42.302346</v>
      </c>
      <c r="D2061">
        <v>77.575729370117188</v>
      </c>
      <c r="E2061">
        <v>60.726932525634766</v>
      </c>
      <c r="F2061">
        <v>0.78280800580978394</v>
      </c>
      <c r="G2061">
        <v>137.10000610351563</v>
      </c>
      <c r="H2061">
        <v>0.77999997138977051</v>
      </c>
      <c r="I2061">
        <v>469.989990234375</v>
      </c>
      <c r="J2061">
        <v>1286</v>
      </c>
    </row>
    <row r="2062" spans="1:10" x14ac:dyDescent="0.25">
      <c r="A2062">
        <v>27346</v>
      </c>
      <c r="B2062" t="str">
        <v>Renaiss. Global</v>
      </c>
      <c r="C2062">
        <v>10.345445</v>
      </c>
      <c r="D2062">
        <v>109.62579345703125</v>
      </c>
      <c r="E2062">
        <v>40.459789276123047</v>
      </c>
      <c r="F2062">
        <v>0.36907199025154114</v>
      </c>
      <c r="G2062">
        <v>120.46250152587891</v>
      </c>
      <c r="H2062">
        <v>0.52999997138977051</v>
      </c>
      <c r="I2062">
        <v>1285.6099853515625</v>
      </c>
      <c r="J2062">
        <v>1341</v>
      </c>
    </row>
    <row r="2063" spans="1:10" x14ac:dyDescent="0.25">
      <c r="A2063">
        <v>15934</v>
      </c>
      <c r="B2063" t="str">
        <v>Repro India</v>
      </c>
      <c r="C2063">
        <v>-3.8990550000000002</v>
      </c>
      <c r="D2063">
        <v>518.26593017578125</v>
      </c>
      <c r="E2063">
        <v>157.055908203125</v>
      </c>
      <c r="F2063">
        <v>0.303041011095047</v>
      </c>
      <c r="G2063">
        <v>511.89999389648438</v>
      </c>
      <c r="H2063">
        <v>0.2199999988079071</v>
      </c>
      <c r="I2063">
        <v>716.46002197265625</v>
      </c>
      <c r="J2063">
        <v>1349</v>
      </c>
    </row>
    <row r="2064" spans="1:10" x14ac:dyDescent="0.25">
      <c r="A2064">
        <v>2394</v>
      </c>
      <c r="B2064" t="str">
        <v>Resonance Speci.</v>
      </c>
      <c r="C2064">
        <v>23.585283</v>
      </c>
      <c r="D2064">
        <v>113.62601470947266</v>
      </c>
      <c r="E2064">
        <v>46.483257293701172</v>
      </c>
      <c r="F2064">
        <v>0.40909001231193542</v>
      </c>
      <c r="G2064">
        <v>115.13749694824219</v>
      </c>
      <c r="H2064">
        <v>5.9999998658895493E-2</v>
      </c>
      <c r="I2064">
        <v>133.22999572753906</v>
      </c>
      <c r="J2064">
        <v>1359</v>
      </c>
    </row>
    <row r="2065" spans="1:10" x14ac:dyDescent="0.25">
      <c r="A2065">
        <v>7102</v>
      </c>
      <c r="B2065" t="str">
        <v>Responsive Ind</v>
      </c>
      <c r="C2065">
        <v>14.501303999999999</v>
      </c>
      <c r="D2065">
        <v>182.56103515625</v>
      </c>
      <c r="E2065">
        <v>74.542633056640625</v>
      </c>
      <c r="F2065">
        <v>0.4083159863948822</v>
      </c>
      <c r="G2065">
        <v>202.63749694824219</v>
      </c>
      <c r="H2065">
        <v>0.23000000417232513</v>
      </c>
      <c r="I2065">
        <v>5350.830078125</v>
      </c>
      <c r="J2065">
        <v>1359</v>
      </c>
    </row>
    <row r="2066" spans="1:10" x14ac:dyDescent="0.25">
      <c r="A2066">
        <v>2348</v>
      </c>
      <c r="B2066" t="str">
        <v>Restile Ceramics</v>
      </c>
      <c r="C2066">
        <v>19.960778000000001</v>
      </c>
      <c r="D2066">
        <v>3.8168671131134033</v>
      </c>
      <c r="E2066">
        <v>1.6840980052947998</v>
      </c>
      <c r="F2066">
        <v>0.44122499227523804</v>
      </c>
      <c r="G2066">
        <v>6.6550002098083496</v>
      </c>
      <c r="H2066">
        <v>0</v>
      </c>
      <c r="I2066">
        <v>66.44000244140625</v>
      </c>
      <c r="J2066">
        <v>1244</v>
      </c>
    </row>
    <row r="2067" spans="1:10" x14ac:dyDescent="0.25">
      <c r="A2067">
        <v>2490</v>
      </c>
      <c r="B2067" t="str">
        <v>Retro Green</v>
      </c>
      <c r="C2067">
        <v>-15.303436</v>
      </c>
      <c r="D2067">
        <v>13.375993728637695</v>
      </c>
      <c r="E2067">
        <v>6.4264187812805176</v>
      </c>
      <c r="F2067">
        <v>0.48044401407241821</v>
      </c>
      <c r="G2067">
        <v>5.369999885559082</v>
      </c>
      <c r="H2067">
        <v>3.9999999105930328E-2</v>
      </c>
      <c r="I2067">
        <v>19.719999313354492</v>
      </c>
      <c r="J2067">
        <v>1250</v>
      </c>
    </row>
    <row r="2068" spans="1:10" x14ac:dyDescent="0.25">
      <c r="A2068">
        <v>5517</v>
      </c>
      <c r="B2068" t="str">
        <v>Rexnord Electr.</v>
      </c>
      <c r="C2068">
        <v>29.195772000000002</v>
      </c>
      <c r="D2068">
        <v>82.873870849609375</v>
      </c>
      <c r="E2068">
        <v>42.574008941650391</v>
      </c>
      <c r="F2068">
        <v>0.51371997594833374</v>
      </c>
      <c r="G2068">
        <v>101.22499847412109</v>
      </c>
      <c r="H2068">
        <v>0.2199999988079071</v>
      </c>
      <c r="I2068">
        <v>135.1199951171875</v>
      </c>
      <c r="J2068">
        <v>1356</v>
      </c>
    </row>
    <row r="2069" spans="1:10" x14ac:dyDescent="0.25">
      <c r="A2069">
        <v>7236</v>
      </c>
      <c r="B2069" t="str">
        <v>Riba Textiles</v>
      </c>
      <c r="C2069">
        <v>15.795246000000001</v>
      </c>
      <c r="D2069">
        <v>55.339160919189453</v>
      </c>
      <c r="E2069">
        <v>18.269084930419922</v>
      </c>
      <c r="F2069">
        <v>0.3301289975643158</v>
      </c>
      <c r="G2069">
        <v>73.957496643066406</v>
      </c>
      <c r="H2069">
        <v>0.75</v>
      </c>
      <c r="I2069">
        <v>70.819999694824219</v>
      </c>
      <c r="J2069">
        <v>1359</v>
      </c>
    </row>
    <row r="2070" spans="1:10" x14ac:dyDescent="0.25">
      <c r="A2070">
        <v>27331</v>
      </c>
      <c r="B2070" t="str">
        <v>Richa Industries</v>
      </c>
      <c r="C2070">
        <v>11.092027</v>
      </c>
      <c r="D2070">
        <v>1.7580870389938354</v>
      </c>
      <c r="E2070">
        <v>1.0066519975662231</v>
      </c>
      <c r="F2070">
        <v>0.57258397340774536</v>
      </c>
      <c r="G2070">
        <v>1.5625</v>
      </c>
      <c r="H2070">
        <v>0</v>
      </c>
      <c r="I2070">
        <v>3.7999999523162842</v>
      </c>
      <c r="J2070">
        <v>1176</v>
      </c>
    </row>
    <row r="2071" spans="1:10" x14ac:dyDescent="0.25">
      <c r="A2071">
        <v>14842</v>
      </c>
      <c r="B2071" t="str">
        <v>Richfield Fin</v>
      </c>
      <c r="C2071">
        <v>47.075938000000001</v>
      </c>
      <c r="D2071">
        <v>29.91740608215332</v>
      </c>
      <c r="E2071">
        <v>13.994942665100098</v>
      </c>
      <c r="F2071">
        <v>0.46778601408004761</v>
      </c>
      <c r="G2071">
        <v>41.040000915527344</v>
      </c>
      <c r="H2071">
        <v>7.0000000298023224E-2</v>
      </c>
      <c r="I2071">
        <v>30.860000610351563</v>
      </c>
      <c r="J2071">
        <v>373</v>
      </c>
    </row>
    <row r="2072" spans="1:10" x14ac:dyDescent="0.25">
      <c r="A2072">
        <v>702</v>
      </c>
      <c r="B2072" t="str">
        <v>Rico Auto Inds</v>
      </c>
      <c r="C2072">
        <v>8.7337249999999997</v>
      </c>
      <c r="D2072">
        <v>65.681098937988281</v>
      </c>
      <c r="E2072">
        <v>31.80735969543457</v>
      </c>
      <c r="F2072">
        <v>0.48427000641822815</v>
      </c>
      <c r="G2072">
        <v>74.260002136230469</v>
      </c>
      <c r="H2072">
        <v>0.9100000262260437</v>
      </c>
      <c r="I2072">
        <v>987.96002197265625</v>
      </c>
      <c r="J2072">
        <v>1359</v>
      </c>
    </row>
    <row r="2073" spans="1:10" x14ac:dyDescent="0.25">
      <c r="A2073">
        <v>3707</v>
      </c>
      <c r="B2073" t="str">
        <v>Riddhi Siddhi Gl</v>
      </c>
      <c r="C2073">
        <v>13.898501</v>
      </c>
      <c r="D2073">
        <v>405.02410888671875</v>
      </c>
      <c r="E2073">
        <v>134.25479125976563</v>
      </c>
      <c r="F2073">
        <v>0.33147400617599487</v>
      </c>
      <c r="G2073">
        <v>574.8125</v>
      </c>
      <c r="H2073">
        <v>3.9999999105930328E-2</v>
      </c>
      <c r="I2073">
        <v>405.67999267578125</v>
      </c>
      <c r="J2073">
        <v>1355</v>
      </c>
    </row>
    <row r="2074" spans="1:10" x14ac:dyDescent="0.25">
      <c r="A2074">
        <v>4071</v>
      </c>
      <c r="B2074" t="str">
        <v>Riga Sugar Co</v>
      </c>
      <c r="C2074">
        <v>9.3346900000000002</v>
      </c>
      <c r="D2074">
        <v>6.6089720726013184</v>
      </c>
      <c r="E2074">
        <v>2.4597001075744629</v>
      </c>
      <c r="F2074">
        <v>0.37217599153518677</v>
      </c>
      <c r="G2074">
        <v>5.054999828338623</v>
      </c>
      <c r="H2074">
        <v>0</v>
      </c>
      <c r="I2074">
        <v>7.5799999237060547</v>
      </c>
      <c r="J2074">
        <v>725</v>
      </c>
    </row>
    <row r="2075" spans="1:10" x14ac:dyDescent="0.25">
      <c r="A2075">
        <v>4928</v>
      </c>
      <c r="B2075" t="str">
        <v>Risa Internatio.</v>
      </c>
      <c r="C2075">
        <v>9.8382179999999995</v>
      </c>
      <c r="D2075">
        <v>0.78637999296188354</v>
      </c>
      <c r="E2075">
        <v>0.29113098978996277</v>
      </c>
      <c r="F2075">
        <v>0.3702160120010376</v>
      </c>
      <c r="G2075">
        <v>0.88499999046325684</v>
      </c>
      <c r="H2075">
        <v>0.10999999940395355</v>
      </c>
      <c r="I2075">
        <v>14.039999961853027</v>
      </c>
      <c r="J2075">
        <v>699</v>
      </c>
    </row>
    <row r="2076" spans="1:10" x14ac:dyDescent="0.25">
      <c r="A2076">
        <v>14177</v>
      </c>
      <c r="B2076" t="str">
        <v>Rish.Digh.Steel</v>
      </c>
      <c r="C2076">
        <v>12.935985000000001</v>
      </c>
      <c r="D2076">
        <v>26.703283309936523</v>
      </c>
      <c r="E2076">
        <v>9.21710205078125</v>
      </c>
      <c r="F2076">
        <v>0.34516701102256775</v>
      </c>
      <c r="G2076">
        <v>44.099998474121094</v>
      </c>
      <c r="H2076">
        <v>0.18000000715255737</v>
      </c>
      <c r="I2076">
        <v>23.579999923706055</v>
      </c>
      <c r="J2076">
        <v>1289</v>
      </c>
    </row>
    <row r="2077" spans="1:10" x14ac:dyDescent="0.25">
      <c r="A2077">
        <v>4748</v>
      </c>
      <c r="B2077" t="str">
        <v>Rishi Laser</v>
      </c>
      <c r="C2077">
        <v>49.270989999999998</v>
      </c>
      <c r="D2077">
        <v>52.02978515625</v>
      </c>
      <c r="E2077">
        <v>52.207294464111328</v>
      </c>
      <c r="F2077">
        <v>1.0034120082855225</v>
      </c>
      <c r="G2077">
        <v>147.375</v>
      </c>
      <c r="H2077">
        <v>0.54000002145767212</v>
      </c>
      <c r="I2077">
        <v>136.33000183105469</v>
      </c>
      <c r="J2077">
        <v>1301</v>
      </c>
    </row>
    <row r="2078" spans="1:10" x14ac:dyDescent="0.25">
      <c r="A2078">
        <v>829</v>
      </c>
      <c r="B2078" t="str">
        <v>Rishi Techtex</v>
      </c>
      <c r="C2078">
        <v>13.526535000000001</v>
      </c>
      <c r="D2078">
        <v>32.850627899169922</v>
      </c>
      <c r="E2078">
        <v>14.7423095703125</v>
      </c>
      <c r="F2078">
        <v>0.44876798987388611</v>
      </c>
      <c r="G2078">
        <v>58.157501220703125</v>
      </c>
      <c r="H2078">
        <v>0.81999999284744263</v>
      </c>
      <c r="I2078">
        <v>42.860000610351563</v>
      </c>
      <c r="J2078">
        <v>1330</v>
      </c>
    </row>
    <row r="2079" spans="1:10" x14ac:dyDescent="0.25">
      <c r="A2079">
        <v>3792</v>
      </c>
      <c r="B2079" t="str">
        <v>Rishiroop</v>
      </c>
      <c r="C2079">
        <v>26.639482999999998</v>
      </c>
      <c r="D2079">
        <v>112.89777374267578</v>
      </c>
      <c r="E2079">
        <v>52.670093536376953</v>
      </c>
      <c r="F2079">
        <v>0.46652901172637939</v>
      </c>
      <c r="G2079">
        <v>125.875</v>
      </c>
      <c r="H2079">
        <v>0</v>
      </c>
      <c r="I2079">
        <v>114.31999969482422</v>
      </c>
      <c r="J2079">
        <v>1349</v>
      </c>
    </row>
    <row r="2080" spans="1:10" x14ac:dyDescent="0.25">
      <c r="A2080">
        <v>24268</v>
      </c>
      <c r="B2080" t="str">
        <v>Rites</v>
      </c>
      <c r="C2080">
        <v>11.707832</v>
      </c>
      <c r="D2080">
        <v>193.9061279296875</v>
      </c>
      <c r="E2080">
        <v>78.985809326171875</v>
      </c>
      <c r="F2080">
        <v>0.40733999013900757</v>
      </c>
      <c r="G2080">
        <v>275.66250610351563</v>
      </c>
      <c r="H2080">
        <v>0</v>
      </c>
      <c r="I2080">
        <v>13007.5400390625</v>
      </c>
      <c r="J2080">
        <v>1359</v>
      </c>
    </row>
    <row r="2081" spans="1:10" x14ac:dyDescent="0.25">
      <c r="A2081">
        <v>1691</v>
      </c>
      <c r="B2081" t="str">
        <v>Ritesh Intl.</v>
      </c>
      <c r="C2081">
        <v>36.438614999999999</v>
      </c>
      <c r="D2081">
        <v>34.826412200927734</v>
      </c>
      <c r="E2081">
        <v>19.165317535400391</v>
      </c>
      <c r="F2081">
        <v>0.55031001567840576</v>
      </c>
      <c r="G2081">
        <v>40.4375</v>
      </c>
      <c r="H2081">
        <v>0.2800000011920929</v>
      </c>
      <c r="I2081">
        <v>33.939998626708984</v>
      </c>
      <c r="J2081">
        <v>1281</v>
      </c>
    </row>
    <row r="2082" spans="1:10" x14ac:dyDescent="0.25">
      <c r="A2082">
        <v>484</v>
      </c>
      <c r="B2082" t="str">
        <v>Rollatainers</v>
      </c>
      <c r="C2082">
        <v>-3.0845699999999998</v>
      </c>
      <c r="D2082">
        <v>2.1666369438171387</v>
      </c>
      <c r="E2082">
        <v>0.96114999055862427</v>
      </c>
      <c r="F2082">
        <v>0.44361400604248047</v>
      </c>
      <c r="G2082">
        <v>1.7875000238418579</v>
      </c>
      <c r="H2082">
        <v>0</v>
      </c>
      <c r="I2082">
        <v>44.270000457763672</v>
      </c>
      <c r="J2082">
        <v>1312</v>
      </c>
    </row>
    <row r="2083" spans="1:10" x14ac:dyDescent="0.25">
      <c r="A2083">
        <v>1909</v>
      </c>
      <c r="B2083" t="str">
        <v>Rolta India</v>
      </c>
      <c r="C2083">
        <v>-12.037660000000001</v>
      </c>
      <c r="D2083">
        <v>4.5540261268615723</v>
      </c>
      <c r="E2083">
        <v>1.5448739528656006</v>
      </c>
      <c r="F2083">
        <v>0.33923301100730896</v>
      </c>
      <c r="G2083">
        <v>2.2899999618530273</v>
      </c>
      <c r="H2083">
        <v>0</v>
      </c>
      <c r="I2083">
        <v>37.990001678466797</v>
      </c>
      <c r="J2083">
        <v>1057</v>
      </c>
    </row>
    <row r="2084" spans="1:10" x14ac:dyDescent="0.25">
      <c r="A2084">
        <v>6467</v>
      </c>
      <c r="B2084" t="str">
        <v>Roselabs Finance</v>
      </c>
      <c r="C2084">
        <v>15.464712</v>
      </c>
      <c r="D2084">
        <v>23.519992828369141</v>
      </c>
      <c r="E2084">
        <v>7.613436222076416</v>
      </c>
      <c r="F2084">
        <v>0.32370099425315857</v>
      </c>
      <c r="G2084">
        <v>33.5</v>
      </c>
      <c r="H2084">
        <v>0</v>
      </c>
      <c r="I2084">
        <v>33.5</v>
      </c>
      <c r="J2084">
        <v>919</v>
      </c>
    </row>
    <row r="2085" spans="1:10" x14ac:dyDescent="0.25">
      <c r="A2085">
        <v>5745</v>
      </c>
      <c r="B2085" t="str">
        <v>Rossell India</v>
      </c>
      <c r="C2085">
        <v>-1.8413310000000001</v>
      </c>
      <c r="D2085">
        <v>225.05776977539063</v>
      </c>
      <c r="E2085">
        <v>156.30364990234375</v>
      </c>
      <c r="F2085">
        <v>0.69450497627258301</v>
      </c>
      <c r="G2085">
        <v>69.717498779296875</v>
      </c>
      <c r="H2085">
        <v>0.61000001430511475</v>
      </c>
      <c r="I2085">
        <v>256.60000610351563</v>
      </c>
      <c r="J2085">
        <v>1354</v>
      </c>
    </row>
    <row r="2086" spans="1:10" x14ac:dyDescent="0.25">
      <c r="A2086">
        <v>4253</v>
      </c>
      <c r="B2086" t="str">
        <v>Roto Pumps</v>
      </c>
      <c r="C2086">
        <v>37.691400000000002</v>
      </c>
      <c r="D2086">
        <v>133.24189758300781</v>
      </c>
      <c r="E2086">
        <v>88.496284484863281</v>
      </c>
      <c r="F2086">
        <v>0.66417801380157471</v>
      </c>
      <c r="G2086">
        <v>280.77499389648438</v>
      </c>
      <c r="H2086">
        <v>0.27000001072883606</v>
      </c>
      <c r="I2086">
        <v>1738.0999755859375</v>
      </c>
      <c r="J2086">
        <v>1359</v>
      </c>
    </row>
    <row r="2087" spans="1:10" x14ac:dyDescent="0.25">
      <c r="A2087">
        <v>3207</v>
      </c>
      <c r="B2087" t="str">
        <v>Royal Cush. Vin.</v>
      </c>
      <c r="C2087">
        <v>29.292968999999999</v>
      </c>
      <c r="D2087">
        <v>17.571880340576172</v>
      </c>
      <c r="E2087">
        <v>11.285454750061035</v>
      </c>
      <c r="F2087">
        <v>0.64224499464035034</v>
      </c>
      <c r="G2087">
        <v>26.649999618530273</v>
      </c>
      <c r="H2087">
        <v>0</v>
      </c>
      <c r="I2087">
        <v>95.900001525878906</v>
      </c>
      <c r="J2087">
        <v>1156</v>
      </c>
    </row>
    <row r="2088" spans="1:10" x14ac:dyDescent="0.25">
      <c r="A2088">
        <v>6606</v>
      </c>
      <c r="B2088" t="str">
        <v>Royal India Corp</v>
      </c>
      <c r="C2088">
        <v>46.517076000000003</v>
      </c>
      <c r="D2088">
        <v>8.125676155090332</v>
      </c>
      <c r="E2088">
        <v>11.818087577819824</v>
      </c>
      <c r="F2088">
        <v>1.4544130563735962</v>
      </c>
      <c r="G2088">
        <v>8.7749996185302734</v>
      </c>
      <c r="H2088">
        <v>0</v>
      </c>
      <c r="I2088">
        <v>96.550003051757813</v>
      </c>
      <c r="J2088">
        <v>1226</v>
      </c>
    </row>
    <row r="2089" spans="1:10" x14ac:dyDescent="0.25">
      <c r="A2089">
        <v>22048</v>
      </c>
      <c r="B2089" t="str">
        <v>Royal Orch.Hotel</v>
      </c>
      <c r="C2089">
        <v>31.405670000000001</v>
      </c>
      <c r="D2089">
        <v>210.92460632324219</v>
      </c>
      <c r="E2089">
        <v>129.51264953613281</v>
      </c>
      <c r="F2089">
        <v>0.61402297019958496</v>
      </c>
      <c r="G2089">
        <v>379.27499389648438</v>
      </c>
      <c r="H2089">
        <v>0.6600000262260437</v>
      </c>
      <c r="I2089">
        <v>1030.22998046875</v>
      </c>
      <c r="J2089">
        <v>1359</v>
      </c>
    </row>
    <row r="2090" spans="1:10" x14ac:dyDescent="0.25">
      <c r="A2090">
        <v>4256</v>
      </c>
      <c r="B2090" t="str">
        <v>Royale Manor</v>
      </c>
      <c r="C2090">
        <v>29.549944</v>
      </c>
      <c r="D2090">
        <v>28.020759582519531</v>
      </c>
      <c r="E2090">
        <v>12.396553993225098</v>
      </c>
      <c r="F2090">
        <v>0.44240599870681763</v>
      </c>
      <c r="G2090">
        <v>51.302501678466797</v>
      </c>
      <c r="H2090">
        <v>0.15999999642372131</v>
      </c>
      <c r="I2090">
        <v>100.23000335693359</v>
      </c>
      <c r="J2090">
        <v>1354</v>
      </c>
    </row>
    <row r="2091" spans="1:10" x14ac:dyDescent="0.25">
      <c r="A2091">
        <v>4184</v>
      </c>
      <c r="B2091" t="str">
        <v>Rubfila Intl.</v>
      </c>
      <c r="C2091">
        <v>15.738727000000001</v>
      </c>
      <c r="D2091">
        <v>73.7386474609375</v>
      </c>
      <c r="E2091">
        <v>21.599363327026367</v>
      </c>
      <c r="F2091">
        <v>0.29291799664497375</v>
      </c>
      <c r="G2091">
        <v>76.617500305175781</v>
      </c>
      <c r="H2091">
        <v>0</v>
      </c>
      <c r="I2091">
        <v>411.55999755859375</v>
      </c>
      <c r="J2091">
        <v>1359</v>
      </c>
    </row>
    <row r="2092" spans="1:10" x14ac:dyDescent="0.25">
      <c r="A2092">
        <v>1437</v>
      </c>
      <c r="B2092" t="str">
        <v>Ruby Mills</v>
      </c>
      <c r="C2092">
        <v>16.387675000000002</v>
      </c>
      <c r="D2092">
        <v>175.557861328125</v>
      </c>
      <c r="E2092">
        <v>65.353630065917969</v>
      </c>
      <c r="F2092">
        <v>0.37226301431655884</v>
      </c>
      <c r="G2092">
        <v>232.02499389648438</v>
      </c>
      <c r="H2092">
        <v>0.38999998569488525</v>
      </c>
      <c r="I2092">
        <v>752.9000244140625</v>
      </c>
      <c r="J2092">
        <v>1352</v>
      </c>
    </row>
    <row r="2093" spans="1:10" x14ac:dyDescent="0.25">
      <c r="A2093">
        <v>1957</v>
      </c>
      <c r="B2093" t="str">
        <v>Ruchi Infrastr.</v>
      </c>
      <c r="C2093">
        <v>22.042646000000001</v>
      </c>
      <c r="D2093">
        <v>9.5835819244384766</v>
      </c>
      <c r="E2093">
        <v>3.2359740734100342</v>
      </c>
      <c r="F2093">
        <v>0.33765798807144165</v>
      </c>
      <c r="G2093">
        <v>7.682499885559082</v>
      </c>
      <c r="H2093">
        <v>7.0000000298023224E-2</v>
      </c>
      <c r="I2093">
        <v>175.83999633789063</v>
      </c>
      <c r="J2093">
        <v>1344</v>
      </c>
    </row>
    <row r="2094" spans="1:10" x14ac:dyDescent="0.25">
      <c r="A2094">
        <v>27415</v>
      </c>
      <c r="B2094" t="str">
        <v>Ruchira Papers</v>
      </c>
      <c r="C2094">
        <v>11.163911000000001</v>
      </c>
      <c r="D2094">
        <v>97.977157592773438</v>
      </c>
      <c r="E2094">
        <v>34.432102203369141</v>
      </c>
      <c r="F2094">
        <v>0.35142999887466431</v>
      </c>
      <c r="G2094">
        <v>134.75</v>
      </c>
      <c r="H2094">
        <v>0.10999999940395355</v>
      </c>
      <c r="I2094">
        <v>397.239990234375</v>
      </c>
      <c r="J2094">
        <v>1359</v>
      </c>
    </row>
    <row r="2095" spans="1:10" x14ac:dyDescent="0.25">
      <c r="A2095">
        <v>1603</v>
      </c>
      <c r="B2095" t="str">
        <v>Rudra Ecovation</v>
      </c>
      <c r="C2095">
        <v>76.488044000000002</v>
      </c>
      <c r="D2095">
        <v>19.418857574462891</v>
      </c>
      <c r="E2095">
        <v>23.458229064941406</v>
      </c>
      <c r="F2095">
        <v>1.2080130577087402</v>
      </c>
      <c r="G2095">
        <v>47.185001373291016</v>
      </c>
      <c r="H2095">
        <v>0.14000000059604645</v>
      </c>
      <c r="I2095">
        <v>526.54998779296875</v>
      </c>
      <c r="J2095">
        <v>1285</v>
      </c>
    </row>
    <row r="2096" spans="1:10" x14ac:dyDescent="0.25">
      <c r="A2096">
        <v>5171</v>
      </c>
      <c r="B2096" t="str">
        <v>Rungta Irrigatn.</v>
      </c>
      <c r="C2096">
        <v>33.264915000000002</v>
      </c>
      <c r="D2096">
        <v>45.171951293945313</v>
      </c>
      <c r="E2096">
        <v>29.104171752929688</v>
      </c>
      <c r="F2096">
        <v>0.64429700374603271</v>
      </c>
      <c r="G2096">
        <v>69.082496643066406</v>
      </c>
      <c r="H2096">
        <v>0.12999999523162842</v>
      </c>
      <c r="I2096">
        <v>130.14999389648438</v>
      </c>
      <c r="J2096">
        <v>1082</v>
      </c>
    </row>
    <row r="2097" spans="1:10" x14ac:dyDescent="0.25">
      <c r="A2097">
        <v>14270</v>
      </c>
      <c r="B2097" t="str">
        <v>Rupa &amp; Co</v>
      </c>
      <c r="C2097">
        <v>0.98373600000000005</v>
      </c>
      <c r="D2097">
        <v>293.85842895507813</v>
      </c>
      <c r="E2097">
        <v>97.862533569335938</v>
      </c>
      <c r="F2097">
        <v>0.33302599191665649</v>
      </c>
      <c r="G2097">
        <v>207.78750610351563</v>
      </c>
      <c r="H2097">
        <v>0.27000001072883606</v>
      </c>
      <c r="I2097">
        <v>1636.219970703125</v>
      </c>
      <c r="J2097">
        <v>1359</v>
      </c>
    </row>
    <row r="2098" spans="1:10" x14ac:dyDescent="0.25">
      <c r="A2098">
        <v>4706</v>
      </c>
      <c r="B2098" t="str">
        <v>Ruparel Food</v>
      </c>
      <c r="C2098">
        <v>63.743758999999997</v>
      </c>
      <c r="D2098">
        <v>136.13847351074219</v>
      </c>
      <c r="E2098">
        <v>61.715812683105469</v>
      </c>
      <c r="F2098">
        <v>0.45333099365234375</v>
      </c>
      <c r="G2098">
        <v>204.35000610351563</v>
      </c>
      <c r="H2098">
        <v>0</v>
      </c>
      <c r="I2098">
        <v>62.560001373291016</v>
      </c>
      <c r="J2098">
        <v>637</v>
      </c>
    </row>
    <row r="2099" spans="1:10" x14ac:dyDescent="0.25">
      <c r="A2099">
        <v>27989</v>
      </c>
      <c r="B2099" t="str">
        <v>Rushil Decor</v>
      </c>
      <c r="C2099">
        <v>21.872617999999999</v>
      </c>
      <c r="D2099">
        <v>27.539571762084961</v>
      </c>
      <c r="E2099">
        <v>11.245962142944336</v>
      </c>
      <c r="F2099">
        <v>0.40835601091384888</v>
      </c>
      <c r="G2099">
        <v>29.602500915527344</v>
      </c>
      <c r="H2099">
        <v>0.81000000238418579</v>
      </c>
      <c r="I2099">
        <v>842.3800048828125</v>
      </c>
      <c r="J2099">
        <v>1349</v>
      </c>
    </row>
    <row r="2100" spans="1:10" x14ac:dyDescent="0.25">
      <c r="A2100">
        <v>2595</v>
      </c>
      <c r="B2100" t="str">
        <v>S &amp; T Corporatio</v>
      </c>
      <c r="C2100">
        <v>28.968693999999999</v>
      </c>
      <c r="D2100">
        <v>24.220600128173828</v>
      </c>
      <c r="E2100">
        <v>20.589872360229492</v>
      </c>
      <c r="F2100">
        <v>0.85009801387786865</v>
      </c>
      <c r="G2100">
        <v>6.179999828338623</v>
      </c>
      <c r="H2100">
        <v>0.18000000715255737</v>
      </c>
      <c r="I2100">
        <v>19.260000228881836</v>
      </c>
      <c r="J2100">
        <v>1083</v>
      </c>
    </row>
    <row r="2101" spans="1:10" x14ac:dyDescent="0.25">
      <c r="A2101">
        <v>2299</v>
      </c>
      <c r="B2101" t="str">
        <v>S A I L</v>
      </c>
      <c r="C2101">
        <v>20.106331000000001</v>
      </c>
      <c r="D2101">
        <v>92.927841186523438</v>
      </c>
      <c r="E2101">
        <v>34.4908447265625</v>
      </c>
      <c r="F2101">
        <v>0.37115699052810669</v>
      </c>
      <c r="G2101">
        <v>125.84999847412109</v>
      </c>
      <c r="H2101">
        <v>0.62999999523162842</v>
      </c>
      <c r="I2101">
        <v>51631.5703125</v>
      </c>
      <c r="J2101">
        <v>1359</v>
      </c>
    </row>
    <row r="2102" spans="1:10" x14ac:dyDescent="0.25">
      <c r="A2102">
        <v>2347</v>
      </c>
      <c r="B2102" t="str">
        <v>S C I</v>
      </c>
      <c r="C2102">
        <v>28.638449999999999</v>
      </c>
      <c r="D2102">
        <v>121.09443664550781</v>
      </c>
      <c r="E2102">
        <v>68.23785400390625</v>
      </c>
      <c r="F2102">
        <v>0.56350898742675781</v>
      </c>
      <c r="G2102">
        <v>218.32499694824219</v>
      </c>
      <c r="H2102">
        <v>0.40999999642372131</v>
      </c>
      <c r="I2102">
        <v>10024.01953125</v>
      </c>
      <c r="J2102">
        <v>1359</v>
      </c>
    </row>
    <row r="2103" spans="1:10" x14ac:dyDescent="0.25">
      <c r="A2103">
        <v>19466</v>
      </c>
      <c r="B2103" t="str">
        <v>S Chand &amp; Compan</v>
      </c>
      <c r="C2103">
        <v>19.314779999999999</v>
      </c>
      <c r="D2103">
        <v>156.69474792480469</v>
      </c>
      <c r="E2103">
        <v>70.240455627441406</v>
      </c>
      <c r="F2103">
        <v>0.44826298952102661</v>
      </c>
      <c r="G2103">
        <v>246.57499694824219</v>
      </c>
      <c r="H2103">
        <v>0.11999999731779099</v>
      </c>
      <c r="I2103">
        <v>842.1099853515625</v>
      </c>
      <c r="J2103">
        <v>1359</v>
      </c>
    </row>
    <row r="2104" spans="1:10" x14ac:dyDescent="0.25">
      <c r="A2104">
        <v>23313</v>
      </c>
      <c r="B2104" t="str">
        <v>S H Kelkar &amp; Co.</v>
      </c>
      <c r="C2104">
        <v>14.183835</v>
      </c>
      <c r="D2104">
        <v>152.24050903320313</v>
      </c>
      <c r="E2104">
        <v>52.442424774169922</v>
      </c>
      <c r="F2104">
        <v>0.34447100758552551</v>
      </c>
      <c r="G2104">
        <v>238.875</v>
      </c>
      <c r="H2104">
        <v>0.12999999523162842</v>
      </c>
      <c r="I2104">
        <v>3275.72998046875</v>
      </c>
      <c r="J2104">
        <v>1359</v>
      </c>
    </row>
    <row r="2105" spans="1:10" x14ac:dyDescent="0.25">
      <c r="A2105">
        <v>4591</v>
      </c>
      <c r="B2105" t="str">
        <v>S I Paper Mills</v>
      </c>
      <c r="C2105">
        <v>2.872449</v>
      </c>
      <c r="D2105">
        <v>103.69998931884766</v>
      </c>
      <c r="E2105">
        <v>29.929706573486328</v>
      </c>
      <c r="F2105">
        <v>0.28861799836158752</v>
      </c>
      <c r="G2105">
        <v>85.959999084472656</v>
      </c>
      <c r="H2105">
        <v>0.86000001430511475</v>
      </c>
      <c r="I2105">
        <v>159.03999328613281</v>
      </c>
      <c r="J2105">
        <v>1352</v>
      </c>
    </row>
    <row r="2106" spans="1:10" x14ac:dyDescent="0.25">
      <c r="A2106">
        <v>34404</v>
      </c>
      <c r="B2106" t="str">
        <v>S P Apparels</v>
      </c>
      <c r="C2106">
        <v>26.695298999999999</v>
      </c>
      <c r="D2106">
        <v>431.2752685546875</v>
      </c>
      <c r="E2106">
        <v>251.675537109375</v>
      </c>
      <c r="F2106">
        <v>0.5835610032081604</v>
      </c>
      <c r="G2106">
        <v>842.2750244140625</v>
      </c>
      <c r="H2106">
        <v>0.2199999988079071</v>
      </c>
      <c r="I2106">
        <v>2055.080078125</v>
      </c>
      <c r="J2106">
        <v>1350</v>
      </c>
    </row>
    <row r="2107" spans="1:10" x14ac:dyDescent="0.25">
      <c r="A2107">
        <v>525</v>
      </c>
      <c r="B2107" t="str">
        <v>S P I C</v>
      </c>
      <c r="C2107">
        <v>27.547585999999999</v>
      </c>
      <c r="D2107">
        <v>56.789161682128906</v>
      </c>
      <c r="E2107">
        <v>23.531482696533203</v>
      </c>
      <c r="F2107">
        <v>0.41436600685119629</v>
      </c>
      <c r="G2107">
        <v>81.667503356933594</v>
      </c>
      <c r="H2107">
        <v>0.4699999988079071</v>
      </c>
      <c r="I2107">
        <v>1661.5</v>
      </c>
      <c r="J2107">
        <v>1359</v>
      </c>
    </row>
    <row r="2108" spans="1:10" x14ac:dyDescent="0.25">
      <c r="A2108">
        <v>3502</v>
      </c>
      <c r="B2108" t="str">
        <v>S R Industries</v>
      </c>
      <c r="C2108">
        <v>35.810467000000003</v>
      </c>
      <c r="D2108">
        <v>2.0077168941497803</v>
      </c>
      <c r="E2108">
        <v>0.72699999809265137</v>
      </c>
      <c r="F2108">
        <v>0.36210298538208008</v>
      </c>
      <c r="G2108">
        <v>3.0499999523162842</v>
      </c>
      <c r="H2108">
        <v>0</v>
      </c>
      <c r="I2108">
        <v>6.1399998664855957</v>
      </c>
      <c r="J2108">
        <v>1039</v>
      </c>
    </row>
    <row r="2109" spans="1:10" x14ac:dyDescent="0.25">
      <c r="A2109">
        <v>2300</v>
      </c>
      <c r="B2109" t="str">
        <v>S T C</v>
      </c>
      <c r="C2109">
        <v>21.842784999999999</v>
      </c>
      <c r="D2109">
        <v>102.79288482666016</v>
      </c>
      <c r="E2109">
        <v>39.477554321289063</v>
      </c>
      <c r="F2109">
        <v>0.38404899835586548</v>
      </c>
      <c r="G2109">
        <v>151.02499389648438</v>
      </c>
      <c r="H2109">
        <v>0</v>
      </c>
      <c r="I2109">
        <v>880.79998779296875</v>
      </c>
      <c r="J2109">
        <v>1359</v>
      </c>
    </row>
    <row r="2110" spans="1:10" x14ac:dyDescent="0.25">
      <c r="A2110">
        <v>36888</v>
      </c>
      <c r="B2110" t="str">
        <v>S V Global Mill</v>
      </c>
      <c r="C2110">
        <v>27.976641999999998</v>
      </c>
      <c r="D2110">
        <v>72.49267578125</v>
      </c>
      <c r="E2110">
        <v>35.8416748046875</v>
      </c>
      <c r="F2110">
        <v>0.49441799521446228</v>
      </c>
      <c r="G2110">
        <v>145.5</v>
      </c>
      <c r="H2110">
        <v>0</v>
      </c>
      <c r="I2110">
        <v>271.239990234375</v>
      </c>
      <c r="J2110">
        <v>1326</v>
      </c>
    </row>
    <row r="2111" spans="1:10" x14ac:dyDescent="0.25">
      <c r="A2111">
        <v>73300</v>
      </c>
      <c r="B2111" t="str">
        <v>S.M. Gold</v>
      </c>
      <c r="C2111">
        <v>-3.7564669999999998</v>
      </c>
      <c r="D2111">
        <v>55.277629852294922</v>
      </c>
      <c r="E2111">
        <v>68.228401184082031</v>
      </c>
      <c r="F2111">
        <v>1.2342859506607056</v>
      </c>
      <c r="G2111">
        <v>16.827499389648438</v>
      </c>
      <c r="H2111">
        <v>0.79000002145767212</v>
      </c>
      <c r="I2111">
        <v>22.209999084472656</v>
      </c>
      <c r="J2111">
        <v>1088</v>
      </c>
    </row>
    <row r="2112" spans="1:10" x14ac:dyDescent="0.25">
      <c r="A2112">
        <v>23176</v>
      </c>
      <c r="B2112" t="str">
        <v>SAB Industries</v>
      </c>
      <c r="C2112">
        <v>19.211046</v>
      </c>
      <c r="D2112">
        <v>106.90665435791016</v>
      </c>
      <c r="E2112">
        <v>55.9296875</v>
      </c>
      <c r="F2112">
        <v>0.52316397428512573</v>
      </c>
      <c r="G2112">
        <v>147.5</v>
      </c>
      <c r="H2112">
        <v>0.20000000298023224</v>
      </c>
      <c r="I2112">
        <v>222.07000732421875</v>
      </c>
      <c r="J2112">
        <v>1129</v>
      </c>
    </row>
    <row r="2113" spans="1:10" x14ac:dyDescent="0.25">
      <c r="A2113">
        <v>5829</v>
      </c>
      <c r="B2113" t="str">
        <v>SAL Automotive</v>
      </c>
      <c r="C2113">
        <v>24.59263</v>
      </c>
      <c r="D2113">
        <v>158.50218200683594</v>
      </c>
      <c r="E2113">
        <v>88.58941650390625</v>
      </c>
      <c r="F2113">
        <v>0.55891597270965576</v>
      </c>
      <c r="G2113">
        <v>283.67498779296875</v>
      </c>
      <c r="H2113">
        <v>0.88999998569488525</v>
      </c>
      <c r="I2113">
        <v>129.75999450683594</v>
      </c>
      <c r="J2113">
        <v>1351</v>
      </c>
    </row>
    <row r="2114" spans="1:10" x14ac:dyDescent="0.25">
      <c r="A2114">
        <v>13016</v>
      </c>
      <c r="B2114" t="str">
        <v>SBEC Sugar</v>
      </c>
      <c r="C2114">
        <v>40.685926000000002</v>
      </c>
      <c r="D2114">
        <v>32.451572418212891</v>
      </c>
      <c r="E2114">
        <v>18.080141067504883</v>
      </c>
      <c r="F2114">
        <v>0.55714201927185059</v>
      </c>
      <c r="G2114">
        <v>59.022499084472656</v>
      </c>
      <c r="H2114">
        <v>0</v>
      </c>
      <c r="I2114">
        <v>282.67999267578125</v>
      </c>
      <c r="J2114">
        <v>1265</v>
      </c>
    </row>
    <row r="2115" spans="1:10" x14ac:dyDescent="0.25">
      <c r="A2115">
        <v>22045</v>
      </c>
      <c r="B2115" t="str">
        <v>SBI Life Insuran</v>
      </c>
      <c r="C2115">
        <v>11.181976000000001</v>
      </c>
      <c r="D2115">
        <v>1208.97216796875</v>
      </c>
      <c r="E2115">
        <v>282.49026489257813</v>
      </c>
      <c r="F2115">
        <v>0.23366199433803558</v>
      </c>
      <c r="G2115">
        <v>1774.33740234375</v>
      </c>
      <c r="H2115">
        <v>0</v>
      </c>
      <c r="I2115">
        <v>179295.546875</v>
      </c>
      <c r="J2115">
        <v>1359</v>
      </c>
    </row>
    <row r="2116" spans="1:10" x14ac:dyDescent="0.25">
      <c r="A2116">
        <v>3098</v>
      </c>
      <c r="B2116" t="str">
        <v>SC Agrotech</v>
      </c>
      <c r="C2116">
        <v>44.791499999999999</v>
      </c>
      <c r="D2116">
        <v>12.058398246765137</v>
      </c>
      <c r="E2116">
        <v>4.9494538307189941</v>
      </c>
      <c r="F2116">
        <v>0.41045698523521423</v>
      </c>
      <c r="G2116">
        <v>15.920000076293945</v>
      </c>
      <c r="H2116">
        <v>0</v>
      </c>
      <c r="I2116">
        <v>10.039999961853027</v>
      </c>
      <c r="J2116">
        <v>1069</v>
      </c>
    </row>
    <row r="2117" spans="1:10" x14ac:dyDescent="0.25">
      <c r="A2117">
        <v>4760</v>
      </c>
      <c r="B2117" t="str">
        <v>SEAMEC Ltd</v>
      </c>
      <c r="C2117">
        <v>10.818314000000001</v>
      </c>
      <c r="D2117">
        <v>836.47418212890625</v>
      </c>
      <c r="E2117">
        <v>333.39572143554688</v>
      </c>
      <c r="F2117">
        <v>0.39857301115989685</v>
      </c>
      <c r="G2117">
        <v>840.8125</v>
      </c>
      <c r="H2117">
        <v>0.18999999761581421</v>
      </c>
      <c r="I2117">
        <v>2124.77001953125</v>
      </c>
      <c r="J2117">
        <v>1352</v>
      </c>
    </row>
    <row r="2118" spans="1:10" x14ac:dyDescent="0.25">
      <c r="A2118">
        <v>28369</v>
      </c>
      <c r="B2118" t="str">
        <v>SEPC</v>
      </c>
      <c r="C2118">
        <v>18.807328999999999</v>
      </c>
      <c r="D2118">
        <v>10.358501434326172</v>
      </c>
      <c r="E2118">
        <v>6.6810622215270996</v>
      </c>
      <c r="F2118">
        <v>0.64498299360275269</v>
      </c>
      <c r="G2118">
        <v>13.147500038146973</v>
      </c>
      <c r="H2118">
        <v>0.37999999523162842</v>
      </c>
      <c r="I2118">
        <v>2479.9599609375</v>
      </c>
      <c r="J2118">
        <v>1359</v>
      </c>
    </row>
    <row r="2119" spans="1:10" x14ac:dyDescent="0.25">
      <c r="A2119">
        <v>3966</v>
      </c>
      <c r="B2119" t="str">
        <v>SGL Resources</v>
      </c>
      <c r="C2119">
        <v>-18.903475</v>
      </c>
      <c r="D2119">
        <v>9.1065168380737305</v>
      </c>
      <c r="E2119">
        <v>3.2470901012420654</v>
      </c>
      <c r="F2119">
        <v>0.35656800866127014</v>
      </c>
      <c r="G2119">
        <v>4.7350001335144043</v>
      </c>
      <c r="H2119">
        <v>0.68999999761581421</v>
      </c>
      <c r="I2119">
        <v>118.73000335693359</v>
      </c>
      <c r="J2119">
        <v>1358</v>
      </c>
    </row>
    <row r="2120" spans="1:10" x14ac:dyDescent="0.25">
      <c r="A2120">
        <v>12608</v>
      </c>
      <c r="B2120" t="str">
        <v>SIL Investments</v>
      </c>
      <c r="C2120">
        <v>26.009687</v>
      </c>
      <c r="D2120">
        <v>346.72882080078125</v>
      </c>
      <c r="E2120">
        <v>157.34593200683594</v>
      </c>
      <c r="F2120">
        <v>0.45380100607872009</v>
      </c>
      <c r="G2120">
        <v>591.6875</v>
      </c>
      <c r="H2120">
        <v>9.9999997764825821E-3</v>
      </c>
      <c r="I2120">
        <v>626.40997314453125</v>
      </c>
      <c r="J2120">
        <v>1325</v>
      </c>
    </row>
    <row r="2121" spans="1:10" x14ac:dyDescent="0.25">
      <c r="A2121">
        <v>1045</v>
      </c>
      <c r="B2121" t="str">
        <v>SIP Industries</v>
      </c>
      <c r="C2121">
        <v>15.266120000000001</v>
      </c>
      <c r="D2121">
        <v>4.6008877754211426</v>
      </c>
      <c r="E2121">
        <v>1.6853049993515015</v>
      </c>
      <c r="F2121">
        <v>0.36629998683929443</v>
      </c>
      <c r="G2121">
        <v>5.9675002098083496</v>
      </c>
      <c r="H2121">
        <v>0</v>
      </c>
      <c r="I2121">
        <v>2.809999942779541</v>
      </c>
      <c r="J2121">
        <v>377</v>
      </c>
    </row>
    <row r="2122" spans="1:10" x14ac:dyDescent="0.25">
      <c r="A2122">
        <v>37791</v>
      </c>
      <c r="B2122" t="str">
        <v>SIS</v>
      </c>
      <c r="C2122">
        <v>-5.0783180000000003</v>
      </c>
      <c r="D2122">
        <v>422.68438720703125</v>
      </c>
      <c r="E2122">
        <v>52.998020172119141</v>
      </c>
      <c r="F2122">
        <v>0.12538400292396545</v>
      </c>
      <c r="G2122">
        <v>367.08749389648438</v>
      </c>
      <c r="H2122">
        <v>0.85000002384185791</v>
      </c>
      <c r="I2122">
        <v>5286.1201171875</v>
      </c>
      <c r="J2122">
        <v>1359</v>
      </c>
    </row>
    <row r="2123" spans="1:10" x14ac:dyDescent="0.25">
      <c r="A2123">
        <v>2184</v>
      </c>
      <c r="B2123" t="str">
        <v>SJ Corp</v>
      </c>
      <c r="C2123">
        <v>28.497745999999999</v>
      </c>
      <c r="D2123">
        <v>26.547527313232422</v>
      </c>
      <c r="E2123">
        <v>12.692349433898926</v>
      </c>
      <c r="F2123">
        <v>0.47809898853302002</v>
      </c>
      <c r="G2123">
        <v>56.139999389648438</v>
      </c>
      <c r="H2123">
        <v>3.9999999105930328E-2</v>
      </c>
      <c r="I2123">
        <v>46.900001525878906</v>
      </c>
      <c r="J2123">
        <v>182</v>
      </c>
    </row>
    <row r="2124" spans="1:10" x14ac:dyDescent="0.25">
      <c r="A2124">
        <v>12076</v>
      </c>
      <c r="B2124" t="str">
        <v>SJVN</v>
      </c>
      <c r="C2124">
        <v>24.618615999999999</v>
      </c>
      <c r="D2124">
        <v>55.450050354003906</v>
      </c>
      <c r="E2124">
        <v>40.155986785888672</v>
      </c>
      <c r="F2124">
        <v>0.72418302297592163</v>
      </c>
      <c r="G2124">
        <v>94.605003356933594</v>
      </c>
      <c r="H2124">
        <v>0.60000002384185791</v>
      </c>
      <c r="I2124">
        <v>36739.66015625</v>
      </c>
      <c r="J2124">
        <v>1359</v>
      </c>
    </row>
    <row r="2125" spans="1:10" x14ac:dyDescent="0.25">
      <c r="A2125">
        <v>37</v>
      </c>
      <c r="B2125" t="str">
        <v>SKF India</v>
      </c>
      <c r="C2125">
        <v>13.749706</v>
      </c>
      <c r="D2125">
        <v>3685.491943359375</v>
      </c>
      <c r="E2125">
        <v>1348.251708984375</v>
      </c>
      <c r="F2125">
        <v>0.36582699418067932</v>
      </c>
      <c r="G2125">
        <v>4575.8125</v>
      </c>
      <c r="H2125">
        <v>9.9999997764825821E-3</v>
      </c>
      <c r="I2125">
        <v>22565.9609375</v>
      </c>
      <c r="J2125">
        <v>1359</v>
      </c>
    </row>
    <row r="2126" spans="1:10" x14ac:dyDescent="0.25">
      <c r="A2126">
        <v>17399</v>
      </c>
      <c r="B2126" t="str">
        <v>SKM Egg Prod.</v>
      </c>
      <c r="C2126">
        <v>35.775773000000001</v>
      </c>
      <c r="D2126">
        <v>151.69146728515625</v>
      </c>
      <c r="E2126">
        <v>114.62800598144531</v>
      </c>
      <c r="F2126">
        <v>0.75566601753234863</v>
      </c>
      <c r="G2126">
        <v>247.5625</v>
      </c>
      <c r="H2126">
        <v>0.47999998927116394</v>
      </c>
      <c r="I2126">
        <v>647.719970703125</v>
      </c>
      <c r="J2126">
        <v>1353</v>
      </c>
    </row>
    <row r="2127" spans="1:10" x14ac:dyDescent="0.25">
      <c r="A2127">
        <v>6084</v>
      </c>
      <c r="B2127" t="str">
        <v>SKP Securities</v>
      </c>
      <c r="C2127">
        <v>25.584159</v>
      </c>
      <c r="D2127">
        <v>80.383049011230469</v>
      </c>
      <c r="E2127">
        <v>56.745475769042969</v>
      </c>
      <c r="F2127">
        <v>0.70593798160552979</v>
      </c>
      <c r="G2127">
        <v>108.59999847412109</v>
      </c>
      <c r="H2127">
        <v>3.9999999105930328E-2</v>
      </c>
      <c r="I2127">
        <v>74.220001220703125</v>
      </c>
      <c r="J2127">
        <v>1133</v>
      </c>
    </row>
    <row r="2128" spans="1:10" x14ac:dyDescent="0.25">
      <c r="A2128">
        <v>68575</v>
      </c>
      <c r="B2128" t="str">
        <v>SMS Lifesciences</v>
      </c>
      <c r="C2128">
        <v>27.092883</v>
      </c>
      <c r="D2128">
        <v>700.63446044921875</v>
      </c>
      <c r="E2128">
        <v>297.84072875976563</v>
      </c>
      <c r="F2128">
        <v>0.42510101199150085</v>
      </c>
      <c r="G2128">
        <v>1122.5875244140625</v>
      </c>
      <c r="H2128">
        <v>0.52999997138977051</v>
      </c>
      <c r="I2128">
        <v>335.54998779296875</v>
      </c>
      <c r="J2128">
        <v>1324</v>
      </c>
    </row>
    <row r="2129" spans="1:10" x14ac:dyDescent="0.25">
      <c r="A2129">
        <v>25807</v>
      </c>
      <c r="B2129" t="str">
        <v>SMS Pharma.</v>
      </c>
      <c r="C2129">
        <v>32.882049000000002</v>
      </c>
      <c r="D2129">
        <v>136.83735656738281</v>
      </c>
      <c r="E2129">
        <v>73.528274536132813</v>
      </c>
      <c r="F2129">
        <v>0.53734099864959717</v>
      </c>
      <c r="G2129">
        <v>232.07499694824219</v>
      </c>
      <c r="H2129">
        <v>0.5</v>
      </c>
      <c r="I2129">
        <v>1995.1099853515625</v>
      </c>
      <c r="J2129">
        <v>1359</v>
      </c>
    </row>
    <row r="2130" spans="1:10" x14ac:dyDescent="0.25">
      <c r="A2130">
        <v>5985</v>
      </c>
      <c r="B2130" t="str">
        <v>SNL Bearings</v>
      </c>
      <c r="C2130">
        <v>13.725652</v>
      </c>
      <c r="D2130">
        <v>278.35931396484375</v>
      </c>
      <c r="E2130">
        <v>90.078895568847656</v>
      </c>
      <c r="F2130">
        <v>0.32360699772834778</v>
      </c>
      <c r="G2130">
        <v>385.64999389648438</v>
      </c>
      <c r="H2130">
        <v>0</v>
      </c>
      <c r="I2130">
        <v>138.99000549316406</v>
      </c>
      <c r="J2130">
        <v>1352</v>
      </c>
    </row>
    <row r="2131" spans="1:10" x14ac:dyDescent="0.25">
      <c r="A2131">
        <v>27675</v>
      </c>
      <c r="B2131" t="str">
        <v>SPARC</v>
      </c>
      <c r="C2131">
        <v>-0.178536</v>
      </c>
      <c r="D2131">
        <v>219.52638244628906</v>
      </c>
      <c r="E2131">
        <v>58.973636627197266</v>
      </c>
      <c r="F2131">
        <v>0.26864001154899597</v>
      </c>
      <c r="G2131">
        <v>155.32499694824219</v>
      </c>
      <c r="H2131">
        <v>0.10999999940395355</v>
      </c>
      <c r="I2131">
        <v>4885.669921875</v>
      </c>
      <c r="J2131">
        <v>1359</v>
      </c>
    </row>
    <row r="2132" spans="1:10" x14ac:dyDescent="0.25">
      <c r="A2132">
        <v>3598</v>
      </c>
      <c r="B2132" t="str">
        <v>SPL Industries</v>
      </c>
      <c r="C2132">
        <v>2.6508039999999999</v>
      </c>
      <c r="D2132">
        <v>51.656074523925781</v>
      </c>
      <c r="E2132">
        <v>15.235403060913086</v>
      </c>
      <c r="F2132">
        <v>0.29493901133537292</v>
      </c>
      <c r="G2132">
        <v>39.75</v>
      </c>
      <c r="H2132">
        <v>2.9999999329447746E-2</v>
      </c>
      <c r="I2132">
        <v>115.27999877929688</v>
      </c>
      <c r="J2132">
        <v>1344</v>
      </c>
    </row>
    <row r="2133" spans="1:10" x14ac:dyDescent="0.25">
      <c r="A2133">
        <v>513</v>
      </c>
      <c r="B2133" t="str">
        <v>SRF</v>
      </c>
      <c r="C2133">
        <v>28.125769999999999</v>
      </c>
      <c r="D2133">
        <v>1992.4161376953125</v>
      </c>
      <c r="E2133">
        <v>698.40521240234375</v>
      </c>
      <c r="F2133">
        <v>0.35053199529647827</v>
      </c>
      <c r="G2133">
        <v>3043.22509765625</v>
      </c>
      <c r="H2133">
        <v>0.31999999284744263</v>
      </c>
      <c r="I2133">
        <v>89182.3671875</v>
      </c>
      <c r="J2133">
        <v>1359</v>
      </c>
    </row>
    <row r="2134" spans="1:10" x14ac:dyDescent="0.25">
      <c r="A2134">
        <v>1142</v>
      </c>
      <c r="B2134" t="str">
        <v>SRM Energy Ltd</v>
      </c>
      <c r="C2134">
        <v>34.939627999999999</v>
      </c>
      <c r="D2134">
        <v>12.180573463439941</v>
      </c>
      <c r="E2134">
        <v>8.292266845703125</v>
      </c>
      <c r="F2134">
        <v>0.68077802658081055</v>
      </c>
      <c r="G2134">
        <v>13.720000267028809</v>
      </c>
      <c r="H2134">
        <v>0</v>
      </c>
      <c r="I2134">
        <v>12.109999656677246</v>
      </c>
      <c r="J2134">
        <v>638</v>
      </c>
    </row>
    <row r="2135" spans="1:10" x14ac:dyDescent="0.25">
      <c r="A2135">
        <v>17208</v>
      </c>
      <c r="B2135" t="str">
        <v>STEL Holdings</v>
      </c>
      <c r="C2135">
        <v>35.564884999999997</v>
      </c>
      <c r="D2135">
        <v>201.04266357421875</v>
      </c>
      <c r="E2135">
        <v>142.18887329101563</v>
      </c>
      <c r="F2135">
        <v>0.7072569727897644</v>
      </c>
      <c r="G2135">
        <v>407.6875</v>
      </c>
      <c r="H2135">
        <v>0</v>
      </c>
      <c r="I2135">
        <v>753.16998291015625</v>
      </c>
      <c r="J2135">
        <v>1349</v>
      </c>
    </row>
    <row r="2136" spans="1:10" x14ac:dyDescent="0.25">
      <c r="A2136">
        <v>23869</v>
      </c>
      <c r="B2136" t="str">
        <v>STL Global</v>
      </c>
      <c r="C2136">
        <v>17.962772999999999</v>
      </c>
      <c r="D2136">
        <v>15.818788528442383</v>
      </c>
      <c r="E2136">
        <v>6.4570198059082031</v>
      </c>
      <c r="F2136">
        <v>0.40818700194358826</v>
      </c>
      <c r="G2136">
        <v>16.167499542236328</v>
      </c>
      <c r="H2136">
        <v>0.67000001668930054</v>
      </c>
      <c r="I2136">
        <v>42.689998626708984</v>
      </c>
      <c r="J2136">
        <v>1329</v>
      </c>
    </row>
    <row r="2137" spans="1:10" x14ac:dyDescent="0.25">
      <c r="A2137">
        <v>3605</v>
      </c>
      <c r="B2137" t="str">
        <v>SVC Industries</v>
      </c>
      <c r="C2137">
        <v>28.350660999999999</v>
      </c>
      <c r="D2137">
        <v>3.0525400638580322</v>
      </c>
      <c r="E2137">
        <v>1.5547809600830078</v>
      </c>
      <c r="F2137">
        <v>0.50933998823165894</v>
      </c>
      <c r="G2137">
        <v>4.117499828338623</v>
      </c>
      <c r="H2137">
        <v>0.64999997615814209</v>
      </c>
      <c r="I2137">
        <v>65.55999755859375</v>
      </c>
      <c r="J2137">
        <v>1353</v>
      </c>
    </row>
    <row r="2138" spans="1:10" x14ac:dyDescent="0.25">
      <c r="A2138">
        <v>24588</v>
      </c>
      <c r="B2138" t="str">
        <v>SVP Global</v>
      </c>
      <c r="C2138">
        <v>-40.648826999999997</v>
      </c>
      <c r="D2138">
        <v>36.912822723388672</v>
      </c>
      <c r="E2138">
        <v>34.076549530029297</v>
      </c>
      <c r="F2138">
        <v>0.92316299676895142</v>
      </c>
      <c r="G2138">
        <v>3.5299999713897705</v>
      </c>
      <c r="H2138">
        <v>0.73000001907348633</v>
      </c>
      <c r="I2138">
        <v>44.650001525878906</v>
      </c>
      <c r="J2138">
        <v>1352</v>
      </c>
    </row>
    <row r="2139" spans="1:10" x14ac:dyDescent="0.25">
      <c r="A2139">
        <v>5030</v>
      </c>
      <c r="B2139" t="str">
        <v>Saboo Sodium</v>
      </c>
      <c r="C2139">
        <v>27.788976000000002</v>
      </c>
      <c r="D2139">
        <v>14.694944381713867</v>
      </c>
      <c r="E2139">
        <v>7.333247184753418</v>
      </c>
      <c r="F2139">
        <v>0.49903199076652527</v>
      </c>
      <c r="G2139">
        <v>17.047500610351563</v>
      </c>
      <c r="H2139">
        <v>0.37000000476837158</v>
      </c>
      <c r="I2139">
        <v>70.470001220703125</v>
      </c>
      <c r="J2139">
        <v>1358</v>
      </c>
    </row>
    <row r="2140" spans="1:10" x14ac:dyDescent="0.25">
      <c r="A2140">
        <v>7256</v>
      </c>
      <c r="B2140" t="str">
        <v>Sacheta Metals</v>
      </c>
      <c r="C2140">
        <v>4.8990559999999999</v>
      </c>
      <c r="D2140">
        <v>3.974682092666626</v>
      </c>
      <c r="E2140">
        <v>0.97766000032424927</v>
      </c>
      <c r="F2140">
        <v>0.24597199261188507</v>
      </c>
      <c r="G2140">
        <v>4.4574999809265137</v>
      </c>
      <c r="H2140">
        <v>0.46000000834465027</v>
      </c>
      <c r="I2140">
        <v>55.380001068115234</v>
      </c>
      <c r="J2140">
        <v>1359</v>
      </c>
    </row>
    <row r="2141" spans="1:10" x14ac:dyDescent="0.25">
      <c r="A2141">
        <v>42049</v>
      </c>
      <c r="B2141" t="str">
        <v>Sadbhav Infra.</v>
      </c>
      <c r="C2141">
        <v>-34.448197999999998</v>
      </c>
      <c r="D2141">
        <v>11.771743774414063</v>
      </c>
      <c r="E2141">
        <v>8.4414196014404297</v>
      </c>
      <c r="F2141">
        <v>0.71709197759628296</v>
      </c>
      <c r="G2141">
        <v>5.2824997901916504</v>
      </c>
      <c r="H2141">
        <v>0.67000001668930054</v>
      </c>
      <c r="I2141">
        <v>179.6300048828125</v>
      </c>
      <c r="J2141">
        <v>1359</v>
      </c>
    </row>
    <row r="2142" spans="1:10" x14ac:dyDescent="0.25">
      <c r="A2142">
        <v>491</v>
      </c>
      <c r="B2142" t="str">
        <v>Sadhana Nitro</v>
      </c>
      <c r="C2142">
        <v>12.296887</v>
      </c>
      <c r="D2142">
        <v>45.810111999511719</v>
      </c>
      <c r="E2142">
        <v>28.729841232299805</v>
      </c>
      <c r="F2142">
        <v>0.6271510124206543</v>
      </c>
      <c r="G2142">
        <v>12.920000076293945</v>
      </c>
      <c r="H2142">
        <v>0.81000000238418579</v>
      </c>
      <c r="I2142">
        <v>425.60000610351563</v>
      </c>
      <c r="J2142">
        <v>1359</v>
      </c>
    </row>
    <row r="2143" spans="1:10" x14ac:dyDescent="0.25">
      <c r="A2143">
        <v>710</v>
      </c>
      <c r="B2143" t="str">
        <v>Safari Inds.</v>
      </c>
      <c r="C2143">
        <v>36.73021</v>
      </c>
      <c r="D2143">
        <v>1079.503662109375</v>
      </c>
      <c r="E2143">
        <v>830.7498779296875</v>
      </c>
      <c r="F2143">
        <v>0.76956701278686523</v>
      </c>
      <c r="G2143">
        <v>2137.71240234375</v>
      </c>
      <c r="H2143">
        <v>0.18999999761581421</v>
      </c>
      <c r="I2143">
        <v>10466.1201171875</v>
      </c>
      <c r="J2143">
        <v>1359</v>
      </c>
    </row>
    <row r="2144" spans="1:10" x14ac:dyDescent="0.25">
      <c r="A2144">
        <v>13589</v>
      </c>
      <c r="B2144" t="str">
        <v>Saffron Industri</v>
      </c>
      <c r="C2144">
        <v>10.342936</v>
      </c>
      <c r="D2144">
        <v>5.4535517692565918</v>
      </c>
      <c r="E2144">
        <v>2.0894870758056641</v>
      </c>
      <c r="F2144">
        <v>0.38314199447631836</v>
      </c>
      <c r="G2144">
        <v>11.520000457763672</v>
      </c>
      <c r="H2144">
        <v>0</v>
      </c>
      <c r="I2144">
        <v>7.869999885559082</v>
      </c>
      <c r="J2144">
        <v>780</v>
      </c>
    </row>
    <row r="2145" spans="1:10" x14ac:dyDescent="0.25">
      <c r="A2145">
        <v>1000</v>
      </c>
      <c r="B2145" t="str">
        <v>Sagar Cements</v>
      </c>
      <c r="C2145">
        <v>13.298731</v>
      </c>
      <c r="D2145">
        <v>198.35270690917969</v>
      </c>
      <c r="E2145">
        <v>60.163181304931641</v>
      </c>
      <c r="F2145">
        <v>0.30331400036811829</v>
      </c>
      <c r="G2145">
        <v>218.48750305175781</v>
      </c>
      <c r="H2145">
        <v>0.30000001192092896</v>
      </c>
      <c r="I2145">
        <v>2859.8798828125</v>
      </c>
      <c r="J2145">
        <v>1357</v>
      </c>
    </row>
    <row r="2146" spans="1:10" x14ac:dyDescent="0.25">
      <c r="A2146">
        <v>16884</v>
      </c>
      <c r="B2146" t="str">
        <v>SagarSoft (India</v>
      </c>
      <c r="C2146">
        <v>23.074518999999999</v>
      </c>
      <c r="D2146">
        <v>149.77476501464844</v>
      </c>
      <c r="E2146">
        <v>59.664794921875</v>
      </c>
      <c r="F2146">
        <v>0.39836299419403076</v>
      </c>
      <c r="G2146">
        <v>146.89999389648438</v>
      </c>
      <c r="H2146">
        <v>0.14000000059604645</v>
      </c>
      <c r="I2146">
        <v>92.94000244140625</v>
      </c>
      <c r="J2146">
        <v>1359</v>
      </c>
    </row>
    <row r="2147" spans="1:10" x14ac:dyDescent="0.25">
      <c r="A2147">
        <v>6310</v>
      </c>
      <c r="B2147" t="str">
        <v>Sahara Housing</v>
      </c>
      <c r="C2147">
        <v>9.1558709999999994</v>
      </c>
      <c r="D2147">
        <v>44.187568664550781</v>
      </c>
      <c r="E2147">
        <v>12.796485900878906</v>
      </c>
      <c r="F2147">
        <v>0.28959500789642334</v>
      </c>
      <c r="G2147">
        <v>41.147499084472656</v>
      </c>
      <c r="H2147">
        <v>0.93000000715255737</v>
      </c>
      <c r="I2147">
        <v>28.690000534057617</v>
      </c>
      <c r="J2147">
        <v>1343</v>
      </c>
    </row>
    <row r="2148" spans="1:10" x14ac:dyDescent="0.25">
      <c r="A2148">
        <v>6124</v>
      </c>
      <c r="B2148" t="str">
        <v>Sahara One Media</v>
      </c>
      <c r="C2148">
        <v>14.80057</v>
      </c>
      <c r="D2148">
        <v>26.288040161132813</v>
      </c>
      <c r="E2148">
        <v>7.4380478858947754</v>
      </c>
      <c r="F2148">
        <v>0.28294399380683899</v>
      </c>
      <c r="G2148">
        <v>15.649999618530273</v>
      </c>
      <c r="H2148">
        <v>0</v>
      </c>
      <c r="I2148">
        <v>33.689998626708984</v>
      </c>
      <c r="J2148">
        <v>366</v>
      </c>
    </row>
    <row r="2149" spans="1:10" x14ac:dyDescent="0.25">
      <c r="A2149">
        <v>27311</v>
      </c>
      <c r="B2149" t="str">
        <v>Sahyadri Industr</v>
      </c>
      <c r="C2149">
        <v>18.510548</v>
      </c>
      <c r="D2149">
        <v>366.2244873046875</v>
      </c>
      <c r="E2149">
        <v>141.66157531738281</v>
      </c>
      <c r="F2149">
        <v>0.38681599497795105</v>
      </c>
      <c r="G2149">
        <v>305.125</v>
      </c>
      <c r="H2149">
        <v>0.34999999403953552</v>
      </c>
      <c r="I2149">
        <v>330.85000610351563</v>
      </c>
      <c r="J2149">
        <v>1359</v>
      </c>
    </row>
    <row r="2150" spans="1:10" x14ac:dyDescent="0.25">
      <c r="A2150">
        <v>7405</v>
      </c>
      <c r="B2150" t="str">
        <v>Sai Capital</v>
      </c>
      <c r="C2150">
        <v>54.249544</v>
      </c>
      <c r="D2150">
        <v>157.34492492675781</v>
      </c>
      <c r="E2150">
        <v>78.079948425292969</v>
      </c>
      <c r="F2150">
        <v>0.49623399972915649</v>
      </c>
      <c r="G2150">
        <v>237.17500305175781</v>
      </c>
      <c r="H2150">
        <v>0</v>
      </c>
      <c r="I2150">
        <v>68.459999084472656</v>
      </c>
      <c r="J2150">
        <v>815</v>
      </c>
    </row>
    <row r="2151" spans="1:10" x14ac:dyDescent="0.25">
      <c r="A2151">
        <v>1228</v>
      </c>
      <c r="B2151" t="str">
        <v>Saint-Gob. Sekur</v>
      </c>
      <c r="C2151">
        <v>14.515703</v>
      </c>
      <c r="D2151">
        <v>91.060592651367188</v>
      </c>
      <c r="E2151">
        <v>29.537979125976563</v>
      </c>
      <c r="F2151">
        <v>0.32437700033187866</v>
      </c>
      <c r="G2151">
        <v>109.55000305175781</v>
      </c>
      <c r="H2151">
        <v>1.9999999552965164E-2</v>
      </c>
      <c r="I2151">
        <v>984.44000244140625</v>
      </c>
      <c r="J2151">
        <v>1359</v>
      </c>
    </row>
    <row r="2152" spans="1:10" x14ac:dyDescent="0.25">
      <c r="A2152">
        <v>26503</v>
      </c>
      <c r="B2152" t="str">
        <v>Saksoft</v>
      </c>
      <c r="C2152">
        <v>48.516838</v>
      </c>
      <c r="D2152">
        <v>123.62827301025391</v>
      </c>
      <c r="E2152">
        <v>89.8995361328125</v>
      </c>
      <c r="F2152">
        <v>0.7271760106086731</v>
      </c>
      <c r="G2152">
        <v>201.39999389648438</v>
      </c>
      <c r="H2152">
        <v>2.9999999329447746E-2</v>
      </c>
      <c r="I2152">
        <v>2517.81005859375</v>
      </c>
      <c r="J2152">
        <v>1352</v>
      </c>
    </row>
    <row r="2153" spans="1:10" x14ac:dyDescent="0.25">
      <c r="A2153">
        <v>26864</v>
      </c>
      <c r="B2153" t="str">
        <v>Sakuma Exports</v>
      </c>
      <c r="C2153">
        <v>14.869415999999999</v>
      </c>
      <c r="D2153">
        <v>2.9024760723114014</v>
      </c>
      <c r="E2153">
        <v>1.4992959499359131</v>
      </c>
      <c r="F2153">
        <v>0.51655697822570801</v>
      </c>
      <c r="G2153">
        <v>3.0174999237060547</v>
      </c>
      <c r="H2153">
        <v>0.20000000298023224</v>
      </c>
      <c r="I2153">
        <v>478.14999389648438</v>
      </c>
      <c r="J2153">
        <v>1359</v>
      </c>
    </row>
    <row r="2154" spans="1:10" x14ac:dyDescent="0.25">
      <c r="A2154">
        <v>70118</v>
      </c>
      <c r="B2154" t="str">
        <v>Salasar Techno</v>
      </c>
      <c r="C2154">
        <v>37.782659000000002</v>
      </c>
      <c r="D2154">
        <v>8.468017578125</v>
      </c>
      <c r="E2154">
        <v>6.2507362365722656</v>
      </c>
      <c r="F2154">
        <v>0.73815798759460449</v>
      </c>
      <c r="G2154">
        <v>7.8575000762939453</v>
      </c>
      <c r="H2154">
        <v>0.73000001907348633</v>
      </c>
      <c r="I2154">
        <v>1338.25</v>
      </c>
      <c r="J2154">
        <v>1358</v>
      </c>
    </row>
    <row r="2155" spans="1:10" x14ac:dyDescent="0.25">
      <c r="A2155">
        <v>3007</v>
      </c>
      <c r="B2155" t="str">
        <v>Salora Intl.</v>
      </c>
      <c r="C2155">
        <v>25.920715999999999</v>
      </c>
      <c r="D2155">
        <v>43.004177093505859</v>
      </c>
      <c r="E2155">
        <v>15.175830841064453</v>
      </c>
      <c r="F2155">
        <v>0.35289201140403748</v>
      </c>
      <c r="G2155">
        <v>43.902500152587891</v>
      </c>
      <c r="H2155">
        <v>0.30000001192092896</v>
      </c>
      <c r="I2155">
        <v>38.240001678466797</v>
      </c>
      <c r="J2155">
        <v>1249</v>
      </c>
    </row>
    <row r="2156" spans="1:10" x14ac:dyDescent="0.25">
      <c r="A2156">
        <v>1889</v>
      </c>
      <c r="B2156" t="str">
        <v>Salzer Electron.</v>
      </c>
      <c r="C2156">
        <v>40.381996000000001</v>
      </c>
      <c r="D2156">
        <v>397.87344360351563</v>
      </c>
      <c r="E2156">
        <v>360.049560546875</v>
      </c>
      <c r="F2156">
        <v>0.90493500232696533</v>
      </c>
      <c r="G2156">
        <v>892.9000244140625</v>
      </c>
      <c r="H2156">
        <v>0.67000001668930054</v>
      </c>
      <c r="I2156">
        <v>1560.5899658203125</v>
      </c>
      <c r="J2156">
        <v>1359</v>
      </c>
    </row>
    <row r="2157" spans="1:10" x14ac:dyDescent="0.25">
      <c r="A2157">
        <v>14207</v>
      </c>
      <c r="B2157" t="str">
        <v>Sam Industries</v>
      </c>
      <c r="C2157">
        <v>39.632837000000002</v>
      </c>
      <c r="D2157">
        <v>47.456638336181641</v>
      </c>
      <c r="E2157">
        <v>25.321294784545898</v>
      </c>
      <c r="F2157">
        <v>0.53356701135635376</v>
      </c>
      <c r="G2157">
        <v>66.782501220703125</v>
      </c>
      <c r="H2157">
        <v>0.2199999988079071</v>
      </c>
      <c r="I2157">
        <v>75.339996337890625</v>
      </c>
      <c r="J2157">
        <v>1175</v>
      </c>
    </row>
    <row r="2158" spans="1:10" x14ac:dyDescent="0.25">
      <c r="A2158">
        <v>4476</v>
      </c>
      <c r="B2158" t="str">
        <v>Sambhaav Media</v>
      </c>
      <c r="C2158">
        <v>18.442767</v>
      </c>
      <c r="D2158">
        <v>4.0423951148986816</v>
      </c>
      <c r="E2158">
        <v>1.5678960084915161</v>
      </c>
      <c r="F2158">
        <v>0.38786301016807556</v>
      </c>
      <c r="G2158">
        <v>6.992499828338623</v>
      </c>
      <c r="H2158">
        <v>0.20000000298023224</v>
      </c>
      <c r="I2158">
        <v>133.77999877929688</v>
      </c>
      <c r="J2158">
        <v>1289</v>
      </c>
    </row>
    <row r="2159" spans="1:10" x14ac:dyDescent="0.25">
      <c r="A2159">
        <v>1333</v>
      </c>
      <c r="B2159" t="str">
        <v>Samkrg Pistons</v>
      </c>
      <c r="C2159">
        <v>2.156933</v>
      </c>
      <c r="D2159">
        <v>151.09732055664063</v>
      </c>
      <c r="E2159">
        <v>28.09178352355957</v>
      </c>
      <c r="F2159">
        <v>0.18591800332069397</v>
      </c>
      <c r="G2159">
        <v>140.16250610351563</v>
      </c>
      <c r="H2159">
        <v>0.12999999523162842</v>
      </c>
      <c r="I2159">
        <v>136.94000244140625</v>
      </c>
      <c r="J2159">
        <v>1359</v>
      </c>
    </row>
    <row r="2160" spans="1:10" x14ac:dyDescent="0.25">
      <c r="A2160">
        <v>5158</v>
      </c>
      <c r="B2160" t="str">
        <v>Sampre Nutrition</v>
      </c>
      <c r="C2160">
        <v>9.774184</v>
      </c>
      <c r="D2160">
        <v>55.867156982421875</v>
      </c>
      <c r="E2160">
        <v>45.034999847412109</v>
      </c>
      <c r="F2160">
        <v>0.80610901117324829</v>
      </c>
      <c r="G2160">
        <v>30</v>
      </c>
      <c r="H2160">
        <v>0.77999997138977051</v>
      </c>
      <c r="I2160">
        <v>63.020000457763672</v>
      </c>
      <c r="J2160">
        <v>1241</v>
      </c>
    </row>
    <row r="2161" spans="1:10" x14ac:dyDescent="0.25">
      <c r="A2161">
        <v>4878</v>
      </c>
      <c r="B2161" t="str">
        <v>Samrat Pharma</v>
      </c>
      <c r="C2161">
        <v>24.113599000000001</v>
      </c>
      <c r="D2161">
        <v>357.92019653320313</v>
      </c>
      <c r="E2161">
        <v>212.58241271972656</v>
      </c>
      <c r="F2161">
        <v>0.59393799304962158</v>
      </c>
      <c r="G2161">
        <v>339.4375</v>
      </c>
      <c r="H2161">
        <v>0.20999999344348907</v>
      </c>
      <c r="I2161">
        <v>103.83999633789063</v>
      </c>
      <c r="J2161">
        <v>1359</v>
      </c>
    </row>
    <row r="2162" spans="1:10" x14ac:dyDescent="0.25">
      <c r="A2162">
        <v>15462</v>
      </c>
      <c r="B2162" t="str">
        <v>Samsrita Labs</v>
      </c>
      <c r="C2162">
        <v>-20.46078</v>
      </c>
      <c r="D2162">
        <v>26.756805419921875</v>
      </c>
      <c r="E2162">
        <v>10.663158416748047</v>
      </c>
      <c r="F2162">
        <v>0.39852100610733032</v>
      </c>
      <c r="G2162">
        <v>22.209999084472656</v>
      </c>
      <c r="H2162">
        <v>0.17000000178813934</v>
      </c>
      <c r="I2162">
        <v>32.560001373291016</v>
      </c>
      <c r="J2162">
        <v>1211</v>
      </c>
    </row>
    <row r="2163" spans="1:10" x14ac:dyDescent="0.25">
      <c r="A2163">
        <v>2966</v>
      </c>
      <c r="B2163" t="str">
        <v>Samvardh. Mothe.</v>
      </c>
      <c r="C2163">
        <v>11.302422999999999</v>
      </c>
      <c r="D2163">
        <v>105.53730773925781</v>
      </c>
      <c r="E2163">
        <v>39.039806365966797</v>
      </c>
      <c r="F2163">
        <v>0.36991500854492188</v>
      </c>
      <c r="G2163">
        <v>149.08749389648438</v>
      </c>
      <c r="H2163">
        <v>0.15999999642372131</v>
      </c>
      <c r="I2163">
        <v>103926.078125</v>
      </c>
      <c r="J2163">
        <v>1359</v>
      </c>
    </row>
    <row r="2164" spans="1:10" x14ac:dyDescent="0.25">
      <c r="A2164">
        <v>54</v>
      </c>
      <c r="B2164" t="str">
        <v>Sanathnagar Ent.</v>
      </c>
      <c r="C2164">
        <v>32.389248000000002</v>
      </c>
      <c r="D2164">
        <v>27.884294509887695</v>
      </c>
      <c r="E2164">
        <v>15.308327674865723</v>
      </c>
      <c r="F2164">
        <v>0.54899501800537109</v>
      </c>
      <c r="G2164">
        <v>46.604999542236328</v>
      </c>
      <c r="H2164">
        <v>0</v>
      </c>
      <c r="I2164">
        <v>14.869999885559082</v>
      </c>
      <c r="J2164">
        <v>1065</v>
      </c>
    </row>
    <row r="2165" spans="1:10" x14ac:dyDescent="0.25">
      <c r="A2165">
        <v>4449</v>
      </c>
      <c r="B2165" t="str">
        <v>Sanblue Corp.</v>
      </c>
      <c r="C2165">
        <v>46.382539999999999</v>
      </c>
      <c r="D2165">
        <v>34.695205688476563</v>
      </c>
      <c r="E2165">
        <v>15.07904052734375</v>
      </c>
      <c r="F2165">
        <v>0.43461498618125916</v>
      </c>
      <c r="G2165">
        <v>61.157501220703125</v>
      </c>
      <c r="H2165">
        <v>0</v>
      </c>
      <c r="I2165">
        <v>30.260000228881836</v>
      </c>
      <c r="J2165">
        <v>949</v>
      </c>
    </row>
    <row r="2166" spans="1:10" x14ac:dyDescent="0.25">
      <c r="A2166">
        <v>1854</v>
      </c>
      <c r="B2166" t="str">
        <v>Sanco Trans</v>
      </c>
      <c r="C2166">
        <v>27.477703999999999</v>
      </c>
      <c r="D2166">
        <v>567.18682861328125</v>
      </c>
      <c r="E2166">
        <v>231.28187561035156</v>
      </c>
      <c r="F2166">
        <v>0.40777000784873962</v>
      </c>
      <c r="G2166">
        <v>718.5374755859375</v>
      </c>
      <c r="H2166">
        <v>0.10000000149011612</v>
      </c>
      <c r="I2166">
        <v>129.60000610351563</v>
      </c>
      <c r="J2166">
        <v>1158</v>
      </c>
    </row>
    <row r="2167" spans="1:10" x14ac:dyDescent="0.25">
      <c r="A2167">
        <v>4537</v>
      </c>
      <c r="B2167" t="str">
        <v>Sandesh</v>
      </c>
      <c r="C2167">
        <v>11.403938</v>
      </c>
      <c r="D2167">
        <v>938.614990234375</v>
      </c>
      <c r="E2167">
        <v>345.50485229492188</v>
      </c>
      <c r="F2167">
        <v>0.36810100078582764</v>
      </c>
      <c r="G2167">
        <v>1151.1875</v>
      </c>
      <c r="H2167">
        <v>0</v>
      </c>
      <c r="I2167">
        <v>864.19000244140625</v>
      </c>
      <c r="J2167">
        <v>1325</v>
      </c>
    </row>
    <row r="2168" spans="1:10" x14ac:dyDescent="0.25">
      <c r="A2168">
        <v>25069</v>
      </c>
      <c r="B2168" t="str">
        <v>Sandhar Tech</v>
      </c>
      <c r="C2168">
        <v>14.301442</v>
      </c>
      <c r="D2168">
        <v>324.06402587890625</v>
      </c>
      <c r="E2168">
        <v>130.85287475585938</v>
      </c>
      <c r="F2168">
        <v>0.40378698706626892</v>
      </c>
      <c r="G2168">
        <v>534.38751220703125</v>
      </c>
      <c r="H2168">
        <v>0.18000000715255737</v>
      </c>
      <c r="I2168">
        <v>3211.169921875</v>
      </c>
      <c r="J2168">
        <v>1356</v>
      </c>
    </row>
    <row r="2169" spans="1:10" x14ac:dyDescent="0.25">
      <c r="A2169">
        <v>4291</v>
      </c>
      <c r="B2169" t="str">
        <v>Sandu Pharma.</v>
      </c>
      <c r="C2169">
        <v>23.832785000000001</v>
      </c>
      <c r="D2169">
        <v>51.639823913574219</v>
      </c>
      <c r="E2169">
        <v>17.131437301635742</v>
      </c>
      <c r="F2169">
        <v>0.33174899220466614</v>
      </c>
      <c r="G2169">
        <v>50.107498168945313</v>
      </c>
      <c r="H2169">
        <v>0</v>
      </c>
      <c r="I2169">
        <v>48.270000457763672</v>
      </c>
      <c r="J2169">
        <v>1346</v>
      </c>
    </row>
    <row r="2170" spans="1:10" x14ac:dyDescent="0.25">
      <c r="A2170">
        <v>2158</v>
      </c>
      <c r="B2170" t="str">
        <v>Sandur Manganese</v>
      </c>
      <c r="C2170">
        <v>47.117941999999999</v>
      </c>
      <c r="D2170">
        <v>218.81027221679688</v>
      </c>
      <c r="E2170">
        <v>171.19371032714844</v>
      </c>
      <c r="F2170">
        <v>0.78238397836685181</v>
      </c>
      <c r="G2170">
        <v>454.79998779296875</v>
      </c>
      <c r="H2170">
        <v>7.9999998211860657E-2</v>
      </c>
      <c r="I2170">
        <v>7340.18017578125</v>
      </c>
      <c r="J2170">
        <v>1359</v>
      </c>
    </row>
    <row r="2171" spans="1:10" x14ac:dyDescent="0.25">
      <c r="A2171">
        <v>4252</v>
      </c>
      <c r="B2171" t="str">
        <v>Sangal Papers</v>
      </c>
      <c r="C2171">
        <v>18.434801</v>
      </c>
      <c r="D2171">
        <v>148.68766784667969</v>
      </c>
      <c r="E2171">
        <v>65.934829711914063</v>
      </c>
      <c r="F2171">
        <v>0.44344499707221985</v>
      </c>
      <c r="G2171">
        <v>179.01249694824219</v>
      </c>
      <c r="H2171">
        <v>0.64999997615814209</v>
      </c>
      <c r="I2171">
        <v>23.489999771118164</v>
      </c>
      <c r="J2171">
        <v>1229</v>
      </c>
    </row>
    <row r="2172" spans="1:10" x14ac:dyDescent="0.25">
      <c r="A2172">
        <v>26395</v>
      </c>
      <c r="B2172" t="str">
        <v>Sangam Finserv</v>
      </c>
      <c r="C2172">
        <v>27.593192999999999</v>
      </c>
      <c r="D2172">
        <v>18.230905532836914</v>
      </c>
      <c r="E2172">
        <v>13.473250389099121</v>
      </c>
      <c r="F2172">
        <v>0.73903399705886841</v>
      </c>
      <c r="G2172">
        <v>38.154998779296875</v>
      </c>
      <c r="H2172">
        <v>0.23999999463558197</v>
      </c>
      <c r="I2172">
        <v>180.02000427246094</v>
      </c>
      <c r="J2172">
        <v>1039</v>
      </c>
    </row>
    <row r="2173" spans="1:10" x14ac:dyDescent="0.25">
      <c r="A2173">
        <v>2831</v>
      </c>
      <c r="B2173" t="str">
        <v>Sangam India</v>
      </c>
      <c r="C2173">
        <v>36.522455999999998</v>
      </c>
      <c r="D2173">
        <v>257.14068603515625</v>
      </c>
      <c r="E2173">
        <v>139.77546691894531</v>
      </c>
      <c r="F2173">
        <v>0.54357600212097168</v>
      </c>
      <c r="G2173">
        <v>414.20001220703125</v>
      </c>
      <c r="H2173">
        <v>0.97000002861022949</v>
      </c>
      <c r="I2173">
        <v>2064.8798828125</v>
      </c>
      <c r="J2173">
        <v>1342</v>
      </c>
    </row>
    <row r="2174" spans="1:10" x14ac:dyDescent="0.25">
      <c r="A2174">
        <v>4478</v>
      </c>
      <c r="B2174" t="str">
        <v>Sanghi Corp.Serv</v>
      </c>
      <c r="C2174">
        <v>-6.8578619999999999</v>
      </c>
      <c r="D2174">
        <v>5.0980000495910645</v>
      </c>
      <c r="E2174">
        <v>0.2309110015630722</v>
      </c>
      <c r="F2174">
        <v>4.5294001698493958E-2</v>
      </c>
      <c r="G2174">
        <v>4.9000000953674316</v>
      </c>
      <c r="H2174">
        <v>0</v>
      </c>
      <c r="I2174">
        <v>1.4700000286102295</v>
      </c>
      <c r="J2174">
        <v>5</v>
      </c>
    </row>
    <row r="2175" spans="1:10" x14ac:dyDescent="0.25">
      <c r="A2175">
        <v>3924</v>
      </c>
      <c r="B2175" t="str">
        <v>Sanghi Industrie</v>
      </c>
      <c r="C2175">
        <v>8.3981130000000004</v>
      </c>
      <c r="D2175">
        <v>63.279121398925781</v>
      </c>
      <c r="E2175">
        <v>28.268409729003906</v>
      </c>
      <c r="F2175">
        <v>0.446725994348526</v>
      </c>
      <c r="G2175">
        <v>59.424999237060547</v>
      </c>
      <c r="H2175">
        <v>0.61000001430511475</v>
      </c>
      <c r="I2175">
        <v>1520.77001953125</v>
      </c>
      <c r="J2175">
        <v>1359</v>
      </c>
    </row>
    <row r="2176" spans="1:10" x14ac:dyDescent="0.25">
      <c r="A2176">
        <v>4820</v>
      </c>
      <c r="B2176" t="str">
        <v>Sanghvi Movers</v>
      </c>
      <c r="C2176">
        <v>37.130792999999997</v>
      </c>
      <c r="D2176">
        <v>204.39060974121094</v>
      </c>
      <c r="E2176">
        <v>169.04153442382813</v>
      </c>
      <c r="F2176">
        <v>0.82705098390579224</v>
      </c>
      <c r="G2176">
        <v>287.39999389648438</v>
      </c>
      <c r="H2176">
        <v>0.25999999046325684</v>
      </c>
      <c r="I2176">
        <v>2422.39990234375</v>
      </c>
      <c r="J2176">
        <v>1359</v>
      </c>
    </row>
    <row r="2177" spans="1:10" x14ac:dyDescent="0.25">
      <c r="A2177">
        <v>6771</v>
      </c>
      <c r="B2177" t="str">
        <v>Sanguine Media</v>
      </c>
      <c r="C2177">
        <v>0</v>
      </c>
      <c r="D2177">
        <v>0.18999999761581421</v>
      </c>
      <c r="E2177">
        <v>0</v>
      </c>
      <c r="F2177">
        <v>0</v>
      </c>
      <c r="G2177">
        <v>0.18999999761581421</v>
      </c>
      <c r="H2177">
        <v>5.000000074505806E-2</v>
      </c>
      <c r="I2177">
        <v>2.1700000762939453</v>
      </c>
      <c r="J2177">
        <v>1</v>
      </c>
    </row>
    <row r="2178" spans="1:10" x14ac:dyDescent="0.25">
      <c r="A2178">
        <v>6710</v>
      </c>
      <c r="B2178" t="str">
        <v>Sanjiv.Parant.</v>
      </c>
      <c r="C2178">
        <v>64.144262999999995</v>
      </c>
      <c r="D2178">
        <v>116.00357818603516</v>
      </c>
      <c r="E2178">
        <v>102.66239929199219</v>
      </c>
      <c r="F2178">
        <v>0.88499301671981812</v>
      </c>
      <c r="G2178">
        <v>223.66250610351563</v>
      </c>
      <c r="H2178">
        <v>0.14000000059604645</v>
      </c>
      <c r="I2178">
        <v>259.5</v>
      </c>
      <c r="J2178">
        <v>1082</v>
      </c>
    </row>
    <row r="2179" spans="1:10" x14ac:dyDescent="0.25">
      <c r="A2179">
        <v>20954</v>
      </c>
      <c r="B2179" t="str">
        <v>Sankhya Infotech</v>
      </c>
      <c r="C2179">
        <v>28.265222999999999</v>
      </c>
      <c r="D2179">
        <v>5.9918761253356934</v>
      </c>
      <c r="E2179">
        <v>3.0635709762573242</v>
      </c>
      <c r="F2179">
        <v>0.51128697395324707</v>
      </c>
      <c r="G2179">
        <v>7.752500057220459</v>
      </c>
      <c r="H2179">
        <v>0.81999999284744263</v>
      </c>
      <c r="I2179">
        <v>10.800000190734863</v>
      </c>
      <c r="J2179">
        <v>721</v>
      </c>
    </row>
    <row r="2180" spans="1:10" x14ac:dyDescent="0.25">
      <c r="A2180">
        <v>21311</v>
      </c>
      <c r="B2180" t="str">
        <v>Sanmit Infra</v>
      </c>
      <c r="C2180">
        <v>15.247419000000001</v>
      </c>
      <c r="D2180">
        <v>31.409673690795898</v>
      </c>
      <c r="E2180">
        <v>26.566059112548828</v>
      </c>
      <c r="F2180">
        <v>0.84579199552536011</v>
      </c>
      <c r="G2180">
        <v>11.122500419616699</v>
      </c>
      <c r="H2180">
        <v>0.27000001072883606</v>
      </c>
      <c r="I2180">
        <v>173.97000122070313</v>
      </c>
      <c r="J2180">
        <v>1342</v>
      </c>
    </row>
    <row r="2181" spans="1:10" x14ac:dyDescent="0.25">
      <c r="A2181">
        <v>256</v>
      </c>
      <c r="B2181" t="str">
        <v>Sanofi India</v>
      </c>
      <c r="C2181">
        <v>-2.7129479999999999</v>
      </c>
      <c r="D2181">
        <v>7187.361328125</v>
      </c>
      <c r="E2181">
        <v>1006.4882202148438</v>
      </c>
      <c r="F2181">
        <v>0.14003600180149078</v>
      </c>
      <c r="G2181">
        <v>6047.775390625</v>
      </c>
      <c r="H2181">
        <v>1.9999999552965164E-2</v>
      </c>
      <c r="I2181">
        <v>13908.509765625</v>
      </c>
      <c r="J2181">
        <v>1359</v>
      </c>
    </row>
    <row r="2182" spans="1:10" x14ac:dyDescent="0.25">
      <c r="A2182">
        <v>3025</v>
      </c>
      <c r="B2182" t="str">
        <v>Sanrhea Tech.</v>
      </c>
      <c r="C2182">
        <v>34.822411000000002</v>
      </c>
      <c r="D2182">
        <v>102.20327758789063</v>
      </c>
      <c r="E2182">
        <v>43.544612884521484</v>
      </c>
      <c r="F2182">
        <v>0.42605900764465332</v>
      </c>
      <c r="G2182">
        <v>152.67500305175781</v>
      </c>
      <c r="H2182">
        <v>0.34000000357627869</v>
      </c>
      <c r="I2182">
        <v>88.370002746582031</v>
      </c>
      <c r="J2182">
        <v>1022</v>
      </c>
    </row>
    <row r="2183" spans="1:10" x14ac:dyDescent="0.25">
      <c r="A2183">
        <v>4821</v>
      </c>
      <c r="B2183" t="str">
        <v>Santosh Fin Fab</v>
      </c>
      <c r="C2183">
        <v>30.037030000000001</v>
      </c>
      <c r="D2183">
        <v>17.967819213867188</v>
      </c>
      <c r="E2183">
        <v>8.5367727279663086</v>
      </c>
      <c r="F2183">
        <v>0.47511500120162964</v>
      </c>
      <c r="G2183">
        <v>34.720001220703125</v>
      </c>
      <c r="H2183">
        <v>0.76999998092651367</v>
      </c>
      <c r="I2183">
        <v>12.239999771118164</v>
      </c>
      <c r="J2183">
        <v>587</v>
      </c>
    </row>
    <row r="2184" spans="1:10" x14ac:dyDescent="0.25">
      <c r="A2184">
        <v>3173</v>
      </c>
      <c r="B2184" t="str">
        <v>Sanwaria Consum.</v>
      </c>
      <c r="C2184">
        <v>-22.429435000000002</v>
      </c>
      <c r="D2184">
        <v>1.0000239610671997</v>
      </c>
      <c r="E2184">
        <v>0.6634020209312439</v>
      </c>
      <c r="F2184">
        <v>0.66338497400283813</v>
      </c>
      <c r="G2184">
        <v>0.49000000953674316</v>
      </c>
      <c r="H2184">
        <v>0</v>
      </c>
      <c r="I2184">
        <v>36.069999694824219</v>
      </c>
      <c r="J2184">
        <v>1129</v>
      </c>
    </row>
    <row r="2185" spans="1:10" x14ac:dyDescent="0.25">
      <c r="A2185">
        <v>394</v>
      </c>
      <c r="B2185" t="str">
        <v>Saptak Chem &amp;</v>
      </c>
      <c r="C2185">
        <v>3.571018</v>
      </c>
      <c r="D2185">
        <v>3.2420690059661865</v>
      </c>
      <c r="E2185">
        <v>0.78887802362442017</v>
      </c>
      <c r="F2185">
        <v>0.24332499504089355</v>
      </c>
      <c r="G2185">
        <v>3.0125000476837158</v>
      </c>
      <c r="H2185">
        <v>0</v>
      </c>
      <c r="I2185">
        <v>3.5799999237060547</v>
      </c>
      <c r="J2185">
        <v>685</v>
      </c>
    </row>
    <row r="2186" spans="1:10" x14ac:dyDescent="0.25">
      <c r="A2186">
        <v>3033</v>
      </c>
      <c r="B2186" t="str">
        <v>Saptarishi Agro</v>
      </c>
      <c r="C2186">
        <v>32.338785000000001</v>
      </c>
      <c r="D2186">
        <v>21.343826293945313</v>
      </c>
      <c r="E2186">
        <v>10.338371276855469</v>
      </c>
      <c r="F2186">
        <v>0.48437300324440002</v>
      </c>
      <c r="G2186">
        <v>35.389999389648438</v>
      </c>
      <c r="H2186">
        <v>0.43000000715255737</v>
      </c>
      <c r="I2186">
        <v>115.77999877929688</v>
      </c>
      <c r="J2186">
        <v>866</v>
      </c>
    </row>
    <row r="2187" spans="1:10" x14ac:dyDescent="0.25">
      <c r="A2187">
        <v>18555</v>
      </c>
      <c r="B2187" t="str">
        <v>Sar Auto Prod.</v>
      </c>
      <c r="C2187">
        <v>28.323575000000002</v>
      </c>
      <c r="D2187">
        <v>1078.619384765625</v>
      </c>
      <c r="E2187">
        <v>735.84991455078125</v>
      </c>
      <c r="F2187">
        <v>0.68221497535705566</v>
      </c>
      <c r="G2187">
        <v>1593.324951171875</v>
      </c>
      <c r="H2187">
        <v>0.69999998807907104</v>
      </c>
      <c r="I2187">
        <v>767.1199951171875</v>
      </c>
      <c r="J2187">
        <v>691</v>
      </c>
    </row>
    <row r="2188" spans="1:10" x14ac:dyDescent="0.25">
      <c r="A2188">
        <v>1140</v>
      </c>
      <c r="B2188" t="str">
        <v>Sarda Energy</v>
      </c>
      <c r="C2188">
        <v>58.323472000000002</v>
      </c>
      <c r="D2188">
        <v>159.1689453125</v>
      </c>
      <c r="E2188">
        <v>145.6243896484375</v>
      </c>
      <c r="F2188">
        <v>0.91490501165390015</v>
      </c>
      <c r="G2188">
        <v>447.25</v>
      </c>
      <c r="H2188">
        <v>3.9999999105930328E-2</v>
      </c>
      <c r="I2188">
        <v>15487.16015625</v>
      </c>
      <c r="J2188">
        <v>1359</v>
      </c>
    </row>
    <row r="2189" spans="1:10" x14ac:dyDescent="0.25">
      <c r="A2189">
        <v>4202</v>
      </c>
      <c r="B2189" t="str">
        <v>Sarda Proteins</v>
      </c>
      <c r="C2189">
        <v>49.468949000000002</v>
      </c>
      <c r="D2189">
        <v>57.635631561279297</v>
      </c>
      <c r="E2189">
        <v>44.972293853759766</v>
      </c>
      <c r="F2189">
        <v>0.78028601408004761</v>
      </c>
      <c r="G2189">
        <v>137.44999694824219</v>
      </c>
      <c r="H2189">
        <v>0</v>
      </c>
      <c r="I2189">
        <v>23.719999313354492</v>
      </c>
      <c r="J2189">
        <v>723</v>
      </c>
    </row>
    <row r="2190" spans="1:10" x14ac:dyDescent="0.25">
      <c r="A2190">
        <v>204</v>
      </c>
      <c r="B2190" t="str">
        <v>Saregama India</v>
      </c>
      <c r="C2190">
        <v>49.782783000000002</v>
      </c>
      <c r="D2190">
        <v>321.67828369140625</v>
      </c>
      <c r="E2190">
        <v>166.58236694335938</v>
      </c>
      <c r="F2190">
        <v>0.51785397529602051</v>
      </c>
      <c r="G2190">
        <v>526.5625</v>
      </c>
      <c r="H2190">
        <v>0</v>
      </c>
      <c r="I2190">
        <v>9953.5</v>
      </c>
      <c r="J2190">
        <v>1357</v>
      </c>
    </row>
    <row r="2191" spans="1:10" x14ac:dyDescent="0.25">
      <c r="A2191">
        <v>4761</v>
      </c>
      <c r="B2191" t="str">
        <v>Sarla Performanc</v>
      </c>
      <c r="C2191">
        <v>31.019997</v>
      </c>
      <c r="D2191">
        <v>52.072059631347656</v>
      </c>
      <c r="E2191">
        <v>26.651952743530273</v>
      </c>
      <c r="F2191">
        <v>0.51182800531387329</v>
      </c>
      <c r="G2191">
        <v>110.23750305175781</v>
      </c>
      <c r="H2191">
        <v>0.31999999284744263</v>
      </c>
      <c r="I2191">
        <v>921.03997802734375</v>
      </c>
      <c r="J2191">
        <v>1358</v>
      </c>
    </row>
    <row r="2192" spans="1:10" x14ac:dyDescent="0.25">
      <c r="A2192">
        <v>36094</v>
      </c>
      <c r="B2192" t="str">
        <v>Sarthak Metals</v>
      </c>
      <c r="C2192">
        <v>37.669803000000002</v>
      </c>
      <c r="D2192">
        <v>143.42182922363281</v>
      </c>
      <c r="E2192">
        <v>73.059837341308594</v>
      </c>
      <c r="F2192">
        <v>0.50940501689910889</v>
      </c>
      <c r="G2192">
        <v>120.42500305175781</v>
      </c>
      <c r="H2192">
        <v>0</v>
      </c>
      <c r="I2192">
        <v>163.72999572753906</v>
      </c>
      <c r="J2192">
        <v>1117</v>
      </c>
    </row>
    <row r="2193" spans="1:10" x14ac:dyDescent="0.25">
      <c r="A2193">
        <v>3997</v>
      </c>
      <c r="B2193" t="str">
        <v>Sarup Industries</v>
      </c>
      <c r="C2193">
        <v>19.715526000000001</v>
      </c>
      <c r="D2193">
        <v>35.091941833496094</v>
      </c>
      <c r="E2193">
        <v>26.578706741333008</v>
      </c>
      <c r="F2193">
        <v>0.75740200281143188</v>
      </c>
      <c r="G2193">
        <v>88.300003051757813</v>
      </c>
      <c r="H2193">
        <v>0</v>
      </c>
      <c r="I2193">
        <v>28.700000762939453</v>
      </c>
      <c r="J2193">
        <v>733</v>
      </c>
    </row>
    <row r="2194" spans="1:10" x14ac:dyDescent="0.25">
      <c r="A2194">
        <v>6837</v>
      </c>
      <c r="B2194" t="str">
        <v>Sashwat Technoc</v>
      </c>
      <c r="C2194">
        <v>29.713327</v>
      </c>
      <c r="D2194">
        <v>109.34489440917969</v>
      </c>
      <c r="E2194">
        <v>41.897953033447266</v>
      </c>
      <c r="F2194">
        <v>0.38317200541496277</v>
      </c>
      <c r="G2194">
        <v>218.60000610351563</v>
      </c>
      <c r="H2194">
        <v>2.9999999329447746E-2</v>
      </c>
      <c r="I2194">
        <v>6.7800002098083496</v>
      </c>
      <c r="J2194">
        <v>76</v>
      </c>
    </row>
    <row r="2195" spans="1:10" x14ac:dyDescent="0.25">
      <c r="A2195">
        <v>20648</v>
      </c>
      <c r="B2195" t="str">
        <v>Sasken Technol.</v>
      </c>
      <c r="C2195">
        <v>16.872395999999998</v>
      </c>
      <c r="D2195">
        <v>1093.540283203125</v>
      </c>
      <c r="E2195">
        <v>421.43853759765625</v>
      </c>
      <c r="F2195">
        <v>0.38538900017738342</v>
      </c>
      <c r="G2195">
        <v>1414.3125</v>
      </c>
      <c r="H2195">
        <v>0</v>
      </c>
      <c r="I2195">
        <v>2137.06005859375</v>
      </c>
      <c r="J2195">
        <v>1359</v>
      </c>
    </row>
    <row r="2196" spans="1:10" x14ac:dyDescent="0.25">
      <c r="A2196">
        <v>29112</v>
      </c>
      <c r="B2196" t="str">
        <v>Sastasundar Ven.</v>
      </c>
      <c r="C2196">
        <v>26.499103000000002</v>
      </c>
      <c r="D2196">
        <v>268.76699829101563</v>
      </c>
      <c r="E2196">
        <v>111.61811828613281</v>
      </c>
      <c r="F2196">
        <v>0.4152970016002655</v>
      </c>
      <c r="G2196">
        <v>300.67498779296875</v>
      </c>
      <c r="H2196">
        <v>0</v>
      </c>
      <c r="I2196">
        <v>936.82000732421875</v>
      </c>
      <c r="J2196">
        <v>1334</v>
      </c>
    </row>
    <row r="2197" spans="1:10" x14ac:dyDescent="0.25">
      <c r="A2197">
        <v>1972</v>
      </c>
      <c r="B2197" t="str">
        <v>Sat Industries</v>
      </c>
      <c r="C2197">
        <v>21.824399</v>
      </c>
      <c r="D2197">
        <v>61.296249389648438</v>
      </c>
      <c r="E2197">
        <v>37.376777648925781</v>
      </c>
      <c r="F2197">
        <v>0.60977298021316528</v>
      </c>
      <c r="G2197">
        <v>95.510002136230469</v>
      </c>
      <c r="H2197">
        <v>0.14000000059604645</v>
      </c>
      <c r="I2197">
        <v>1099.97998046875</v>
      </c>
      <c r="J2197">
        <v>1347</v>
      </c>
    </row>
    <row r="2198" spans="1:10" x14ac:dyDescent="0.25">
      <c r="A2198">
        <v>28894</v>
      </c>
      <c r="B2198" t="str">
        <v>Satchmo Holdings</v>
      </c>
      <c r="C2198">
        <v>18.422091000000002</v>
      </c>
      <c r="D2198">
        <v>2.8243999481201172</v>
      </c>
      <c r="E2198">
        <v>1.0968919992446899</v>
      </c>
      <c r="F2198">
        <v>0.38836300373077393</v>
      </c>
      <c r="G2198">
        <v>4.0250000953674316</v>
      </c>
      <c r="H2198">
        <v>0</v>
      </c>
      <c r="I2198">
        <v>55.709999084472656</v>
      </c>
      <c r="J2198">
        <v>1359</v>
      </c>
    </row>
    <row r="2199" spans="1:10" x14ac:dyDescent="0.25">
      <c r="A2199">
        <v>3099</v>
      </c>
      <c r="B2199" t="str">
        <v>Sathavaha. Ispat</v>
      </c>
      <c r="C2199">
        <v>-0.89413200000000004</v>
      </c>
      <c r="D2199">
        <v>2.5847818851470947</v>
      </c>
      <c r="E2199">
        <v>0.542930006980896</v>
      </c>
      <c r="F2199">
        <v>0.21004900336265564</v>
      </c>
      <c r="G2199">
        <v>2.380000114440918</v>
      </c>
      <c r="H2199">
        <v>0</v>
      </c>
      <c r="I2199">
        <v>11.609999656677246</v>
      </c>
      <c r="J2199">
        <v>252</v>
      </c>
    </row>
    <row r="2200" spans="1:10" x14ac:dyDescent="0.25">
      <c r="A2200">
        <v>7772</v>
      </c>
      <c r="B2200" t="str">
        <v>Satia Industries</v>
      </c>
      <c r="C2200">
        <v>-0.19509199999999999</v>
      </c>
      <c r="D2200">
        <v>106.63886260986328</v>
      </c>
      <c r="E2200">
        <v>20.260047912597656</v>
      </c>
      <c r="F2200">
        <v>0.18998700380325317</v>
      </c>
      <c r="G2200">
        <v>80.819999694824219</v>
      </c>
      <c r="H2200">
        <v>0.44999998807907104</v>
      </c>
      <c r="I2200">
        <v>794.4000244140625</v>
      </c>
      <c r="J2200">
        <v>1357</v>
      </c>
    </row>
    <row r="2201" spans="1:10" x14ac:dyDescent="0.25">
      <c r="A2201">
        <v>67368</v>
      </c>
      <c r="B2201" t="str">
        <v>Sattva Sukun</v>
      </c>
      <c r="C2201">
        <v>13.002050000000001</v>
      </c>
      <c r="D2201">
        <v>1.3916130065917969</v>
      </c>
      <c r="E2201">
        <v>0.87527400255203247</v>
      </c>
      <c r="F2201">
        <v>0.62896400690078735</v>
      </c>
      <c r="G2201">
        <v>1.125</v>
      </c>
      <c r="H2201">
        <v>9.9999997764825821E-3</v>
      </c>
      <c r="I2201">
        <v>75.94000244140625</v>
      </c>
      <c r="J2201">
        <v>1116</v>
      </c>
    </row>
    <row r="2202" spans="1:10" x14ac:dyDescent="0.25">
      <c r="A2202">
        <v>7578</v>
      </c>
      <c r="B2202" t="str">
        <v>Saumya Cons</v>
      </c>
      <c r="C2202">
        <v>18.699749000000001</v>
      </c>
      <c r="D2202">
        <v>136.27397155761719</v>
      </c>
      <c r="E2202">
        <v>72.423538208007813</v>
      </c>
      <c r="F2202">
        <v>0.53145498037338257</v>
      </c>
      <c r="G2202">
        <v>140</v>
      </c>
      <c r="H2202">
        <v>0</v>
      </c>
      <c r="I2202">
        <v>96.699996948242188</v>
      </c>
      <c r="J2202">
        <v>960</v>
      </c>
    </row>
    <row r="2203" spans="1:10" x14ac:dyDescent="0.25">
      <c r="A2203">
        <v>499</v>
      </c>
      <c r="B2203" t="str">
        <v>Saurashtra Cem.</v>
      </c>
      <c r="C2203">
        <v>14.691063</v>
      </c>
      <c r="D2203">
        <v>75.498283386230469</v>
      </c>
      <c r="E2203">
        <v>27.088573455810547</v>
      </c>
      <c r="F2203">
        <v>0.35879701375961304</v>
      </c>
      <c r="G2203">
        <v>84.639999389648438</v>
      </c>
      <c r="H2203">
        <v>7.9999998211860657E-2</v>
      </c>
      <c r="I2203">
        <v>935.95001220703125</v>
      </c>
      <c r="J2203">
        <v>1359</v>
      </c>
    </row>
    <row r="2204" spans="1:10" x14ac:dyDescent="0.25">
      <c r="A2204">
        <v>21329</v>
      </c>
      <c r="B2204" t="str">
        <v>Saven Tech.</v>
      </c>
      <c r="C2204">
        <v>22.420601999999999</v>
      </c>
      <c r="D2204">
        <v>39.603954315185547</v>
      </c>
      <c r="E2204">
        <v>14.229558944702148</v>
      </c>
      <c r="F2204">
        <v>0.35929599404335022</v>
      </c>
      <c r="G2204">
        <v>44.169998168945313</v>
      </c>
      <c r="H2204">
        <v>0</v>
      </c>
      <c r="I2204">
        <v>47.569999694824219</v>
      </c>
      <c r="J2204">
        <v>1359</v>
      </c>
    </row>
    <row r="2205" spans="1:10" x14ac:dyDescent="0.25">
      <c r="A2205">
        <v>4753</v>
      </c>
      <c r="B2205" t="str">
        <v>Savera Industrie</v>
      </c>
      <c r="C2205">
        <v>21.967177</v>
      </c>
      <c r="D2205">
        <v>79.08319091796875</v>
      </c>
      <c r="E2205">
        <v>43.709117889404297</v>
      </c>
      <c r="F2205">
        <v>0.55269801616668701</v>
      </c>
      <c r="G2205">
        <v>147.97500610351563</v>
      </c>
      <c r="H2205">
        <v>5.000000074505806E-2</v>
      </c>
      <c r="I2205">
        <v>175.42999267578125</v>
      </c>
      <c r="J2205">
        <v>1355</v>
      </c>
    </row>
    <row r="2206" spans="1:10" x14ac:dyDescent="0.25">
      <c r="A2206">
        <v>4149</v>
      </c>
      <c r="B2206" t="str">
        <v>Savita Oil Tech</v>
      </c>
      <c r="C2206">
        <v>16.447483999999999</v>
      </c>
      <c r="D2206">
        <v>304.87680053710938</v>
      </c>
      <c r="E2206">
        <v>132.91064453125</v>
      </c>
      <c r="F2206">
        <v>0.43594899773597717</v>
      </c>
      <c r="G2206">
        <v>410.13751220703125</v>
      </c>
      <c r="H2206">
        <v>0</v>
      </c>
      <c r="I2206">
        <v>2798.570068359375</v>
      </c>
      <c r="J2206">
        <v>1348</v>
      </c>
    </row>
    <row r="2207" spans="1:10" x14ac:dyDescent="0.25">
      <c r="A2207">
        <v>7199</v>
      </c>
      <c r="B2207" t="str">
        <v>Sawaca Enterpri.</v>
      </c>
      <c r="C2207">
        <v>37.214804000000001</v>
      </c>
      <c r="D2207">
        <v>0.6918330192565918</v>
      </c>
      <c r="E2207">
        <v>0.48332700133323669</v>
      </c>
      <c r="F2207">
        <v>0.69861900806427002</v>
      </c>
      <c r="G2207">
        <v>0.49000000953674316</v>
      </c>
      <c r="H2207">
        <v>3.9999999105930328E-2</v>
      </c>
      <c r="I2207">
        <v>27.459999084472656</v>
      </c>
      <c r="J2207">
        <v>1240</v>
      </c>
    </row>
    <row r="2208" spans="1:10" x14ac:dyDescent="0.25">
      <c r="A2208">
        <v>2719</v>
      </c>
      <c r="B2208" t="str">
        <v>Sayaji Hotels</v>
      </c>
      <c r="C2208">
        <v>4.7535749999999997</v>
      </c>
      <c r="D2208">
        <v>267.54904174804688</v>
      </c>
      <c r="E2208">
        <v>65.927780151367188</v>
      </c>
      <c r="F2208">
        <v>0.24641400575637817</v>
      </c>
      <c r="G2208">
        <v>284.26251220703125</v>
      </c>
      <c r="H2208">
        <v>0.56000000238418579</v>
      </c>
      <c r="I2208">
        <v>507.85000610351563</v>
      </c>
      <c r="J2208">
        <v>1332</v>
      </c>
    </row>
    <row r="2209" spans="1:10" x14ac:dyDescent="0.25">
      <c r="A2209">
        <v>4549</v>
      </c>
      <c r="B2209" t="str">
        <v>Scan Steels</v>
      </c>
      <c r="C2209">
        <v>13.281704</v>
      </c>
      <c r="D2209">
        <v>39.684909820556641</v>
      </c>
      <c r="E2209">
        <v>17.230316162109375</v>
      </c>
      <c r="F2209">
        <v>0.43417799472808838</v>
      </c>
      <c r="G2209">
        <v>36.764999389648438</v>
      </c>
      <c r="H2209">
        <v>0.27000001072883606</v>
      </c>
      <c r="I2209">
        <v>211.32000732421875</v>
      </c>
      <c r="J2209">
        <v>1353</v>
      </c>
    </row>
    <row r="2210" spans="1:10" x14ac:dyDescent="0.25">
      <c r="A2210">
        <v>446</v>
      </c>
      <c r="B2210" t="str">
        <v>Schaeffler India</v>
      </c>
      <c r="C2210">
        <v>27.168769000000001</v>
      </c>
      <c r="D2210">
        <v>2323.253662109375</v>
      </c>
      <c r="E2210">
        <v>1148.721435546875</v>
      </c>
      <c r="F2210">
        <v>0.49444499611854553</v>
      </c>
      <c r="G2210">
        <v>3945.837646484375</v>
      </c>
      <c r="H2210">
        <v>9.9999997764825821E-3</v>
      </c>
      <c r="I2210">
        <v>60312.12109375</v>
      </c>
      <c r="J2210">
        <v>1359</v>
      </c>
    </row>
    <row r="2211" spans="1:10" x14ac:dyDescent="0.25">
      <c r="A2211">
        <v>41218</v>
      </c>
      <c r="B2211" t="str">
        <v>Schneider Elect.</v>
      </c>
      <c r="C2211">
        <v>47.175581000000001</v>
      </c>
      <c r="D2211">
        <v>299.99612426757813</v>
      </c>
      <c r="E2211">
        <v>270.12478637695313</v>
      </c>
      <c r="F2211">
        <v>0.90042799711227417</v>
      </c>
      <c r="G2211">
        <v>766.73760986328125</v>
      </c>
      <c r="H2211">
        <v>0.97000002861022949</v>
      </c>
      <c r="I2211">
        <v>18007.8203125</v>
      </c>
      <c r="J2211">
        <v>1359</v>
      </c>
    </row>
    <row r="2212" spans="1:10" x14ac:dyDescent="0.25">
      <c r="A2212">
        <v>2931</v>
      </c>
      <c r="B2212" t="str">
        <v>Seasons Textiles</v>
      </c>
      <c r="C2212">
        <v>19.013265000000001</v>
      </c>
      <c r="D2212">
        <v>12.483325958251953</v>
      </c>
      <c r="E2212">
        <v>5.1832342147827148</v>
      </c>
      <c r="F2212">
        <v>0.4152120053768158</v>
      </c>
      <c r="G2212">
        <v>19.492500305175781</v>
      </c>
      <c r="H2212">
        <v>0.68999999761581421</v>
      </c>
      <c r="I2212">
        <v>14.010000228881836</v>
      </c>
      <c r="J2212">
        <v>1147</v>
      </c>
    </row>
    <row r="2213" spans="1:10" x14ac:dyDescent="0.25">
      <c r="A2213">
        <v>24603</v>
      </c>
      <c r="B2213" t="str">
        <v>SecureKloud Tech</v>
      </c>
      <c r="C2213">
        <v>-4.1765819999999998</v>
      </c>
      <c r="D2213">
        <v>65.800483703613281</v>
      </c>
      <c r="E2213">
        <v>38.306648254394531</v>
      </c>
      <c r="F2213">
        <v>0.58216398954391479</v>
      </c>
      <c r="G2213">
        <v>25.784999847412109</v>
      </c>
      <c r="H2213">
        <v>0.56999999284744263</v>
      </c>
      <c r="I2213">
        <v>86.129997253417969</v>
      </c>
      <c r="J2213">
        <v>1209</v>
      </c>
    </row>
    <row r="2214" spans="1:10" x14ac:dyDescent="0.25">
      <c r="A2214">
        <v>4822</v>
      </c>
      <c r="B2214" t="str">
        <v>Selan Expl. Tech</v>
      </c>
      <c r="C2214">
        <v>28.256926</v>
      </c>
      <c r="D2214">
        <v>331.35769653320313</v>
      </c>
      <c r="E2214">
        <v>245.94123840332031</v>
      </c>
      <c r="F2214">
        <v>0.74222302436828613</v>
      </c>
      <c r="G2214">
        <v>707.48760986328125</v>
      </c>
      <c r="H2214">
        <v>9.9999997764825821E-3</v>
      </c>
      <c r="I2214">
        <v>1079.5799560546875</v>
      </c>
      <c r="J2214">
        <v>1359</v>
      </c>
    </row>
    <row r="2215" spans="1:10" x14ac:dyDescent="0.25">
      <c r="A2215">
        <v>478</v>
      </c>
      <c r="B2215" t="str">
        <v>Semac Consul</v>
      </c>
      <c r="C2215">
        <v>8.3197869999999998</v>
      </c>
      <c r="D2215">
        <v>660.22552490234375</v>
      </c>
      <c r="E2215">
        <v>473.41287231445313</v>
      </c>
      <c r="F2215">
        <v>0.71704697608947754</v>
      </c>
      <c r="G2215">
        <v>405.75</v>
      </c>
      <c r="H2215">
        <v>0.14000000059604645</v>
      </c>
      <c r="I2215">
        <v>123.90000152587891</v>
      </c>
      <c r="J2215">
        <v>1291</v>
      </c>
    </row>
    <row r="2216" spans="1:10" x14ac:dyDescent="0.25">
      <c r="A2216">
        <v>7336</v>
      </c>
      <c r="B2216" t="str">
        <v>Senthil Infotek</v>
      </c>
      <c r="C2216">
        <v>28.955524</v>
      </c>
      <c r="D2216">
        <v>12.960315704345703</v>
      </c>
      <c r="E2216">
        <v>6.8889961242675781</v>
      </c>
      <c r="F2216">
        <v>0.53154498338699341</v>
      </c>
      <c r="G2216">
        <v>26.979999542236328</v>
      </c>
      <c r="H2216">
        <v>0</v>
      </c>
      <c r="I2216">
        <v>13.619999885559082</v>
      </c>
      <c r="J2216">
        <v>460</v>
      </c>
    </row>
    <row r="2217" spans="1:10" x14ac:dyDescent="0.25">
      <c r="A2217">
        <v>2086</v>
      </c>
      <c r="B2217" t="str">
        <v>Sequent Scien.</v>
      </c>
      <c r="C2217">
        <v>18.587568000000001</v>
      </c>
      <c r="D2217">
        <v>142.77490234375</v>
      </c>
      <c r="E2217">
        <v>57.338264465332031</v>
      </c>
      <c r="F2217">
        <v>0.40159898996353149</v>
      </c>
      <c r="G2217">
        <v>191.64999389648438</v>
      </c>
      <c r="H2217">
        <v>2.9999999329447746E-2</v>
      </c>
      <c r="I2217">
        <v>4741.97021484375</v>
      </c>
      <c r="J2217">
        <v>1359</v>
      </c>
    </row>
    <row r="2218" spans="1:10" x14ac:dyDescent="0.25">
      <c r="A2218">
        <v>5690</v>
      </c>
      <c r="B2218" t="str">
        <v>Sera Investments</v>
      </c>
      <c r="C2218">
        <v>22.432956000000001</v>
      </c>
      <c r="D2218">
        <v>25.618711471557617</v>
      </c>
      <c r="E2218">
        <v>16.534746170043945</v>
      </c>
      <c r="F2218">
        <v>0.6454169750213623</v>
      </c>
      <c r="G2218">
        <v>37.294998168945313</v>
      </c>
      <c r="H2218">
        <v>0.51999998092651367</v>
      </c>
      <c r="I2218">
        <v>240.69999694824219</v>
      </c>
      <c r="J2218">
        <v>1012</v>
      </c>
    </row>
    <row r="2219" spans="1:10" x14ac:dyDescent="0.25">
      <c r="A2219">
        <v>503</v>
      </c>
      <c r="B2219" t="str">
        <v>Seshasayee Paper</v>
      </c>
      <c r="C2219">
        <v>9.5458149999999993</v>
      </c>
      <c r="D2219">
        <v>237.755126953125</v>
      </c>
      <c r="E2219">
        <v>78.667839050292969</v>
      </c>
      <c r="F2219">
        <v>0.33087798953056335</v>
      </c>
      <c r="G2219">
        <v>283.83749389648438</v>
      </c>
      <c r="H2219">
        <v>2.9999999329447746E-2</v>
      </c>
      <c r="I2219">
        <v>1795.8699951171875</v>
      </c>
      <c r="J2219">
        <v>1359</v>
      </c>
    </row>
    <row r="2220" spans="1:10" x14ac:dyDescent="0.25">
      <c r="A2220">
        <v>214</v>
      </c>
      <c r="B2220" t="str">
        <v>Setco Automotive</v>
      </c>
      <c r="C2220">
        <v>4.1762980000000001</v>
      </c>
      <c r="D2220">
        <v>12.736743927001953</v>
      </c>
      <c r="E2220">
        <v>4.4049501419067383</v>
      </c>
      <c r="F2220">
        <v>0.34584599733352661</v>
      </c>
      <c r="G2220">
        <v>17.434999465942383</v>
      </c>
      <c r="H2220">
        <v>0.92000001668930054</v>
      </c>
      <c r="I2220">
        <v>233.02000427246094</v>
      </c>
      <c r="J2220">
        <v>1359</v>
      </c>
    </row>
    <row r="2221" spans="1:10" x14ac:dyDescent="0.25">
      <c r="A2221">
        <v>4714</v>
      </c>
      <c r="B2221" t="str">
        <v>Seven Hill Inds.</v>
      </c>
      <c r="C2221">
        <v>17.382154</v>
      </c>
      <c r="D2221">
        <v>0.73872900009155273</v>
      </c>
      <c r="E2221">
        <v>0.2149679958820343</v>
      </c>
      <c r="F2221">
        <v>0.29099801182746887</v>
      </c>
      <c r="G2221">
        <v>0.75999999046325684</v>
      </c>
      <c r="H2221">
        <v>0.86000001430511475</v>
      </c>
      <c r="I2221">
        <v>9.880000114440918</v>
      </c>
      <c r="J2221">
        <v>909</v>
      </c>
    </row>
    <row r="2222" spans="1:10" x14ac:dyDescent="0.25">
      <c r="A2222">
        <v>2882</v>
      </c>
      <c r="B2222" t="str">
        <v>Seya Industries</v>
      </c>
      <c r="C2222">
        <v>-28.560524999999998</v>
      </c>
      <c r="D2222">
        <v>44.240085601806641</v>
      </c>
      <c r="E2222">
        <v>22.651052474975586</v>
      </c>
      <c r="F2222">
        <v>0.51200300455093384</v>
      </c>
      <c r="G2222">
        <v>21.120000839233398</v>
      </c>
      <c r="H2222">
        <v>0.93000000715255737</v>
      </c>
      <c r="I2222">
        <v>58.270000457763672</v>
      </c>
      <c r="J2222">
        <v>1127</v>
      </c>
    </row>
    <row r="2223" spans="1:10" x14ac:dyDescent="0.25">
      <c r="A2223">
        <v>7728</v>
      </c>
      <c r="B2223" t="str">
        <v>Sh. Ajit Pulp</v>
      </c>
      <c r="C2223">
        <v>9.1240299999999994</v>
      </c>
      <c r="D2223">
        <v>187.69013977050781</v>
      </c>
      <c r="E2223">
        <v>42.840915679931641</v>
      </c>
      <c r="F2223">
        <v>0.22825300693511963</v>
      </c>
      <c r="G2223">
        <v>196.27499389648438</v>
      </c>
      <c r="H2223">
        <v>0.92000001668930054</v>
      </c>
      <c r="I2223">
        <v>173.5</v>
      </c>
      <c r="J2223">
        <v>1313</v>
      </c>
    </row>
    <row r="2224" spans="1:10" x14ac:dyDescent="0.25">
      <c r="A2224">
        <v>510</v>
      </c>
      <c r="B2224" t="str">
        <v>Sh. Digvijay Cem</v>
      </c>
      <c r="C2224">
        <v>20.004791000000001</v>
      </c>
      <c r="D2224">
        <v>73.736457824707031</v>
      </c>
      <c r="E2224">
        <v>21.016582489013672</v>
      </c>
      <c r="F2224">
        <v>0.28502300381660461</v>
      </c>
      <c r="G2224">
        <v>76.449996948242188</v>
      </c>
      <c r="H2224">
        <v>0</v>
      </c>
      <c r="I2224">
        <v>1126.489990234375</v>
      </c>
      <c r="J2224">
        <v>1359</v>
      </c>
    </row>
    <row r="2225" spans="1:10" x14ac:dyDescent="0.25">
      <c r="A2225">
        <v>512</v>
      </c>
      <c r="B2225" t="str">
        <v>Sh. Dinesh Mills</v>
      </c>
      <c r="C2225">
        <v>21.933501</v>
      </c>
      <c r="D2225">
        <v>457.49957275390625</v>
      </c>
      <c r="E2225">
        <v>202.05548095703125</v>
      </c>
      <c r="F2225">
        <v>0.44165199995040894</v>
      </c>
      <c r="G2225">
        <v>335.23748779296875</v>
      </c>
      <c r="H2225">
        <v>9.9999997764825821E-3</v>
      </c>
      <c r="I2225">
        <v>188.28999328613281</v>
      </c>
      <c r="J2225">
        <v>1330</v>
      </c>
    </row>
    <row r="2226" spans="1:10" x14ac:dyDescent="0.25">
      <c r="A2226">
        <v>5259</v>
      </c>
      <c r="B2226" t="str">
        <v>Sh. Ganesh Elas.</v>
      </c>
      <c r="C2226">
        <v>8.5974419999999991</v>
      </c>
      <c r="D2226">
        <v>19.381538391113281</v>
      </c>
      <c r="E2226">
        <v>7.4828281402587891</v>
      </c>
      <c r="F2226">
        <v>0.38607999682426453</v>
      </c>
      <c r="G2226">
        <v>24.600000381469727</v>
      </c>
      <c r="H2226">
        <v>0.10999999940395355</v>
      </c>
      <c r="I2226">
        <v>13.529999732971191</v>
      </c>
      <c r="J2226">
        <v>911</v>
      </c>
    </row>
    <row r="2227" spans="1:10" x14ac:dyDescent="0.25">
      <c r="A2227">
        <v>1874</v>
      </c>
      <c r="B2227" t="str">
        <v>Sh. Jagdamba Pol</v>
      </c>
      <c r="C2227">
        <v>31.030586</v>
      </c>
      <c r="D2227">
        <v>686.1348876953125</v>
      </c>
      <c r="E2227">
        <v>273.04299926757813</v>
      </c>
      <c r="F2227">
        <v>0.39794400334358215</v>
      </c>
      <c r="G2227">
        <v>1119.512451171875</v>
      </c>
      <c r="H2227">
        <v>9.0000003576278687E-2</v>
      </c>
      <c r="I2227">
        <v>952.90997314453125</v>
      </c>
      <c r="J2227">
        <v>1350</v>
      </c>
    </row>
    <row r="2228" spans="1:10" x14ac:dyDescent="0.25">
      <c r="A2228">
        <v>5696</v>
      </c>
      <c r="B2228" t="str">
        <v>Sh. Krishna Pap.</v>
      </c>
      <c r="C2228">
        <v>10.659196</v>
      </c>
      <c r="D2228">
        <v>30.25452995300293</v>
      </c>
      <c r="E2228">
        <v>11.00010871887207</v>
      </c>
      <c r="F2228">
        <v>0.36358600854873657</v>
      </c>
      <c r="G2228">
        <v>47.939998626708984</v>
      </c>
      <c r="H2228">
        <v>0.8399999737739563</v>
      </c>
      <c r="I2228">
        <v>64.819999694824219</v>
      </c>
      <c r="J2228">
        <v>922</v>
      </c>
    </row>
    <row r="2229" spans="1:10" x14ac:dyDescent="0.25">
      <c r="A2229">
        <v>971</v>
      </c>
      <c r="B2229" t="str">
        <v>Sh. Rajas. Synt.</v>
      </c>
      <c r="C2229">
        <v>35.869967000000003</v>
      </c>
      <c r="D2229">
        <v>9.2723102569580078</v>
      </c>
      <c r="E2229">
        <v>7.3041338920593262</v>
      </c>
      <c r="F2229">
        <v>0.78773599863052368</v>
      </c>
      <c r="G2229">
        <v>14.082500457763672</v>
      </c>
      <c r="H2229">
        <v>0</v>
      </c>
      <c r="I2229">
        <v>37.169998168945313</v>
      </c>
      <c r="J2229">
        <v>554</v>
      </c>
    </row>
    <row r="2230" spans="1:10" x14ac:dyDescent="0.25">
      <c r="A2230">
        <v>4108</v>
      </c>
      <c r="B2230" t="str">
        <v>Sh. Rajeshw. Pap</v>
      </c>
      <c r="C2230">
        <v>-43.522556999999999</v>
      </c>
      <c r="D2230">
        <v>2.8588359355926514</v>
      </c>
      <c r="E2230">
        <v>0.77117198705673218</v>
      </c>
      <c r="F2230">
        <v>0.26974999904632568</v>
      </c>
      <c r="G2230">
        <v>1.7549999952316284</v>
      </c>
      <c r="H2230">
        <v>0</v>
      </c>
      <c r="I2230">
        <v>2.130000114440918</v>
      </c>
      <c r="J2230">
        <v>352</v>
      </c>
    </row>
    <row r="2231" spans="1:10" x14ac:dyDescent="0.25">
      <c r="A2231">
        <v>8008</v>
      </c>
      <c r="B2231" t="str">
        <v>Sh. Rama Multi.</v>
      </c>
      <c r="C2231">
        <v>44.818683</v>
      </c>
      <c r="D2231">
        <v>17.151514053344727</v>
      </c>
      <c r="E2231">
        <v>11.556679725646973</v>
      </c>
      <c r="F2231">
        <v>0.67379897832870483</v>
      </c>
      <c r="G2231">
        <v>44.604999542236328</v>
      </c>
      <c r="H2231">
        <v>0.54000002145767212</v>
      </c>
      <c r="I2231">
        <v>580.16998291015625</v>
      </c>
      <c r="J2231">
        <v>1347</v>
      </c>
    </row>
    <row r="2232" spans="1:10" x14ac:dyDescent="0.25">
      <c r="A2232">
        <v>3329</v>
      </c>
      <c r="B2232" t="str">
        <v>Sh. Steel Wire</v>
      </c>
      <c r="C2232">
        <v>15.837308999999999</v>
      </c>
      <c r="D2232">
        <v>28.900136947631836</v>
      </c>
      <c r="E2232">
        <v>7.915855884552002</v>
      </c>
      <c r="F2232">
        <v>0.27390399575233459</v>
      </c>
      <c r="G2232">
        <v>30.899999618530273</v>
      </c>
      <c r="H2232">
        <v>0</v>
      </c>
      <c r="I2232">
        <v>9.9600000381469727</v>
      </c>
      <c r="J2232">
        <v>1305</v>
      </c>
    </row>
    <row r="2233" spans="1:10" x14ac:dyDescent="0.25">
      <c r="A2233">
        <v>34793</v>
      </c>
      <c r="B2233" t="str">
        <v>Sh.Pushkar Chem.</v>
      </c>
      <c r="C2233">
        <v>20.626345000000001</v>
      </c>
      <c r="D2233">
        <v>196.26765441894531</v>
      </c>
      <c r="E2233">
        <v>62.491573333740234</v>
      </c>
      <c r="F2233">
        <v>0.31839999556541443</v>
      </c>
      <c r="G2233">
        <v>311.04998779296875</v>
      </c>
      <c r="H2233">
        <v>0.10999999940395355</v>
      </c>
      <c r="I2233">
        <v>983.8699951171875</v>
      </c>
      <c r="J2233">
        <v>1359</v>
      </c>
    </row>
    <row r="2234" spans="1:10" x14ac:dyDescent="0.25">
      <c r="A2234">
        <v>23875</v>
      </c>
      <c r="B2234" t="str">
        <v>Sh.Renuka Sugar</v>
      </c>
      <c r="C2234">
        <v>23.356475</v>
      </c>
      <c r="D2234">
        <v>34.033611297607422</v>
      </c>
      <c r="E2234">
        <v>16.904888153076172</v>
      </c>
      <c r="F2234">
        <v>0.49671199917793274</v>
      </c>
      <c r="G2234">
        <v>31.447500228881836</v>
      </c>
      <c r="H2234">
        <v>0</v>
      </c>
      <c r="I2234">
        <v>6623.85986328125</v>
      </c>
      <c r="J2234">
        <v>1359</v>
      </c>
    </row>
    <row r="2235" spans="1:10" x14ac:dyDescent="0.25">
      <c r="A2235">
        <v>967</v>
      </c>
      <c r="B2235" t="str">
        <v>Shah Foods</v>
      </c>
      <c r="C2235">
        <v>23.707246000000001</v>
      </c>
      <c r="D2235">
        <v>110.70182037353516</v>
      </c>
      <c r="E2235">
        <v>81.744590759277344</v>
      </c>
      <c r="F2235">
        <v>0.73842102289199829</v>
      </c>
      <c r="G2235">
        <v>127.80000305175781</v>
      </c>
      <c r="H2235">
        <v>0</v>
      </c>
      <c r="I2235">
        <v>7.6700000762939453</v>
      </c>
      <c r="J2235">
        <v>465</v>
      </c>
    </row>
    <row r="2236" spans="1:10" x14ac:dyDescent="0.25">
      <c r="A2236">
        <v>6740</v>
      </c>
      <c r="B2236" t="str">
        <v>Shaily Engineer.</v>
      </c>
      <c r="C2236">
        <v>51.485900999999998</v>
      </c>
      <c r="D2236">
        <v>479.13995361328125</v>
      </c>
      <c r="E2236">
        <v>443.68994140625</v>
      </c>
      <c r="F2236">
        <v>0.92601299285888672</v>
      </c>
      <c r="G2236">
        <v>1750.324951171875</v>
      </c>
      <c r="H2236">
        <v>0.47999998927116394</v>
      </c>
      <c r="I2236">
        <v>7906.7998046875</v>
      </c>
      <c r="J2236">
        <v>1359</v>
      </c>
    </row>
    <row r="2237" spans="1:10" x14ac:dyDescent="0.25">
      <c r="A2237">
        <v>6580</v>
      </c>
      <c r="B2237" t="str">
        <v>Shakti Pumps</v>
      </c>
      <c r="C2237">
        <v>66.877357000000003</v>
      </c>
      <c r="D2237">
        <v>240.40928649902344</v>
      </c>
      <c r="E2237">
        <v>303.06088256835938</v>
      </c>
      <c r="F2237">
        <v>1.2606040239334106</v>
      </c>
      <c r="G2237">
        <v>976.9375</v>
      </c>
      <c r="H2237">
        <v>0.15000000596046448</v>
      </c>
      <c r="I2237">
        <v>11465.6904296875</v>
      </c>
      <c r="J2237">
        <v>1359</v>
      </c>
    </row>
    <row r="2238" spans="1:10" x14ac:dyDescent="0.25">
      <c r="A2238">
        <v>40217</v>
      </c>
      <c r="B2238" t="str">
        <v>Shalby</v>
      </c>
      <c r="C2238">
        <v>12.599788</v>
      </c>
      <c r="D2238">
        <v>168.17021179199219</v>
      </c>
      <c r="E2238">
        <v>70.237762451171875</v>
      </c>
      <c r="F2238">
        <v>0.41765901446342468</v>
      </c>
      <c r="G2238">
        <v>183.33749389648438</v>
      </c>
      <c r="H2238">
        <v>7.9999998211860657E-2</v>
      </c>
      <c r="I2238">
        <v>1960.3800048828125</v>
      </c>
      <c r="J2238">
        <v>1359</v>
      </c>
    </row>
    <row r="2239" spans="1:10" x14ac:dyDescent="0.25">
      <c r="A2239">
        <v>4692</v>
      </c>
      <c r="B2239" t="str">
        <v>Shalibhadra Fin.</v>
      </c>
      <c r="C2239">
        <v>34.799353000000004</v>
      </c>
      <c r="D2239">
        <v>69.098068237304688</v>
      </c>
      <c r="E2239">
        <v>58.257755279541016</v>
      </c>
      <c r="F2239">
        <v>0.84311699867248535</v>
      </c>
      <c r="G2239">
        <v>122.98750305175781</v>
      </c>
      <c r="H2239">
        <v>0.64999997615814209</v>
      </c>
      <c r="I2239">
        <v>372.04998779296875</v>
      </c>
      <c r="J2239">
        <v>1308</v>
      </c>
    </row>
    <row r="2240" spans="1:10" x14ac:dyDescent="0.25">
      <c r="A2240">
        <v>26355</v>
      </c>
      <c r="B2240" t="str">
        <v>Shalimar Agencie</v>
      </c>
      <c r="C2240">
        <v>61.490254</v>
      </c>
      <c r="D2240">
        <v>9.1165742874145508</v>
      </c>
      <c r="E2240">
        <v>6.3095521926879883</v>
      </c>
      <c r="F2240">
        <v>0.692097008228302</v>
      </c>
      <c r="G2240">
        <v>27.690000534057617</v>
      </c>
      <c r="H2240">
        <v>0</v>
      </c>
      <c r="I2240">
        <v>1930.3299560546875</v>
      </c>
      <c r="J2240">
        <v>235</v>
      </c>
    </row>
    <row r="2241" spans="1:10" x14ac:dyDescent="0.25">
      <c r="A2241">
        <v>505</v>
      </c>
      <c r="B2241" t="str">
        <v>Shalimar Paints</v>
      </c>
      <c r="C2241">
        <v>2.8111229999999998</v>
      </c>
      <c r="D2241">
        <v>124.40309906005859</v>
      </c>
      <c r="E2241">
        <v>37.068313598632813</v>
      </c>
      <c r="F2241">
        <v>0.29796901345252991</v>
      </c>
      <c r="G2241">
        <v>96.412498474121094</v>
      </c>
      <c r="H2241">
        <v>0.5</v>
      </c>
      <c r="I2241">
        <v>803.96002197265625</v>
      </c>
      <c r="J2241">
        <v>1359</v>
      </c>
    </row>
    <row r="2242" spans="1:10" x14ac:dyDescent="0.25">
      <c r="A2242">
        <v>1466</v>
      </c>
      <c r="B2242" t="str">
        <v>Shalimar Prod.</v>
      </c>
      <c r="C2242">
        <v>0</v>
      </c>
      <c r="D2242">
        <v>0.55661201477050781</v>
      </c>
      <c r="E2242">
        <v>0.11255200207233429</v>
      </c>
      <c r="F2242">
        <v>0.2022089958190918</v>
      </c>
      <c r="G2242">
        <v>0.49000000953674316</v>
      </c>
      <c r="H2242">
        <v>9.9999997764825821E-3</v>
      </c>
      <c r="I2242">
        <v>48.229999542236328</v>
      </c>
      <c r="J2242">
        <v>1295</v>
      </c>
    </row>
    <row r="2243" spans="1:10" x14ac:dyDescent="0.25">
      <c r="A2243">
        <v>73586</v>
      </c>
      <c r="B2243" t="str">
        <v>Shankar Lal Ram.</v>
      </c>
      <c r="C2243">
        <v>48.571120999999998</v>
      </c>
      <c r="D2243">
        <v>87.999099731445313</v>
      </c>
      <c r="E2243">
        <v>48.371490478515625</v>
      </c>
      <c r="F2243">
        <v>0.54968202114105225</v>
      </c>
      <c r="G2243">
        <v>68.489997863769531</v>
      </c>
      <c r="H2243">
        <v>0.11999999731779099</v>
      </c>
      <c r="I2243">
        <v>440.989990234375</v>
      </c>
      <c r="J2243">
        <v>1080</v>
      </c>
    </row>
    <row r="2244" spans="1:10" x14ac:dyDescent="0.25">
      <c r="A2244">
        <v>28590</v>
      </c>
      <c r="B2244" t="str">
        <v>Shankara Build.</v>
      </c>
      <c r="C2244">
        <v>22.136323000000001</v>
      </c>
      <c r="D2244">
        <v>586.45703125</v>
      </c>
      <c r="E2244">
        <v>161.42398071289063</v>
      </c>
      <c r="F2244">
        <v>0.27525299787521362</v>
      </c>
      <c r="G2244">
        <v>1023.375</v>
      </c>
      <c r="H2244">
        <v>0.10999999940395355</v>
      </c>
      <c r="I2244">
        <v>2439.60009765625</v>
      </c>
      <c r="J2244">
        <v>1359</v>
      </c>
    </row>
    <row r="2245" spans="1:10" x14ac:dyDescent="0.25">
      <c r="A2245">
        <v>6825</v>
      </c>
      <c r="B2245" t="str">
        <v>Shantai Indust.</v>
      </c>
      <c r="C2245">
        <v>12.767581</v>
      </c>
      <c r="D2245">
        <v>8.1739988327026367</v>
      </c>
      <c r="E2245">
        <v>3.0645530223846436</v>
      </c>
      <c r="F2245">
        <v>0.37491500377655029</v>
      </c>
      <c r="G2245">
        <v>14.027500152587891</v>
      </c>
      <c r="H2245">
        <v>0</v>
      </c>
      <c r="I2245">
        <v>10.420000076293945</v>
      </c>
      <c r="J2245">
        <v>517</v>
      </c>
    </row>
    <row r="2246" spans="1:10" x14ac:dyDescent="0.25">
      <c r="A2246">
        <v>968</v>
      </c>
      <c r="B2246" t="str">
        <v>Shanthi Gears</v>
      </c>
      <c r="C2246">
        <v>30.613806</v>
      </c>
      <c r="D2246">
        <v>313.87014770507813</v>
      </c>
      <c r="E2246">
        <v>181.97625732421875</v>
      </c>
      <c r="F2246">
        <v>0.57978200912475586</v>
      </c>
      <c r="G2246">
        <v>508.10000610351563</v>
      </c>
      <c r="H2246">
        <v>0</v>
      </c>
      <c r="I2246">
        <v>3845</v>
      </c>
      <c r="J2246">
        <v>1356</v>
      </c>
    </row>
    <row r="2247" spans="1:10" x14ac:dyDescent="0.25">
      <c r="A2247">
        <v>35410</v>
      </c>
      <c r="B2247" t="str">
        <v>Sharda Cropchem</v>
      </c>
      <c r="C2247">
        <v>23.495588000000001</v>
      </c>
      <c r="D2247">
        <v>432.66372680664063</v>
      </c>
      <c r="E2247">
        <v>156.87554931640625</v>
      </c>
      <c r="F2247">
        <v>0.36258101463317871</v>
      </c>
      <c r="G2247">
        <v>796.5250244140625</v>
      </c>
      <c r="H2247">
        <v>0</v>
      </c>
      <c r="I2247">
        <v>7079.14990234375</v>
      </c>
      <c r="J2247">
        <v>1359</v>
      </c>
    </row>
    <row r="2248" spans="1:10" x14ac:dyDescent="0.25">
      <c r="A2248">
        <v>3585</v>
      </c>
      <c r="B2248" t="str">
        <v>Sharda Ispat</v>
      </c>
      <c r="C2248">
        <v>38.004109999999997</v>
      </c>
      <c r="D2248">
        <v>157.06715393066406</v>
      </c>
      <c r="E2248">
        <v>143.12965393066406</v>
      </c>
      <c r="F2248">
        <v>0.91126400232315063</v>
      </c>
      <c r="G2248">
        <v>306.5</v>
      </c>
      <c r="H2248">
        <v>0.46000000834465027</v>
      </c>
      <c r="I2248">
        <v>149.86000061035156</v>
      </c>
      <c r="J2248">
        <v>1240</v>
      </c>
    </row>
    <row r="2249" spans="1:10" x14ac:dyDescent="0.25">
      <c r="A2249">
        <v>7065</v>
      </c>
      <c r="B2249" t="str">
        <v>Sharda Motor</v>
      </c>
      <c r="C2249">
        <v>41.519509999999997</v>
      </c>
      <c r="D2249">
        <v>928.01678466796875</v>
      </c>
      <c r="E2249">
        <v>645.75738525390625</v>
      </c>
      <c r="F2249">
        <v>0.69584697484970093</v>
      </c>
      <c r="G2249">
        <v>1880.83740234375</v>
      </c>
      <c r="H2249">
        <v>2.9999999329447746E-2</v>
      </c>
      <c r="I2249">
        <v>5510.60986328125</v>
      </c>
      <c r="J2249">
        <v>1356</v>
      </c>
    </row>
    <row r="2250" spans="1:10" x14ac:dyDescent="0.25">
      <c r="A2250">
        <v>2052</v>
      </c>
      <c r="B2250" t="str">
        <v>Shardul Sec.</v>
      </c>
      <c r="C2250">
        <v>28.960754999999999</v>
      </c>
      <c r="D2250">
        <v>27.694700241088867</v>
      </c>
      <c r="E2250">
        <v>22.171085357666016</v>
      </c>
      <c r="F2250">
        <v>0.80055302381515503</v>
      </c>
      <c r="G2250">
        <v>44.439998626708984</v>
      </c>
      <c r="H2250">
        <v>9.9999997764825821E-3</v>
      </c>
      <c r="I2250">
        <v>392.66000366210938</v>
      </c>
      <c r="J2250">
        <v>1275</v>
      </c>
    </row>
    <row r="2251" spans="1:10" x14ac:dyDescent="0.25">
      <c r="A2251">
        <v>71477</v>
      </c>
      <c r="B2251" t="str">
        <v>Share India Sec.</v>
      </c>
      <c r="C2251">
        <v>46.429566999999999</v>
      </c>
      <c r="D2251">
        <v>189.48681640625</v>
      </c>
      <c r="E2251">
        <v>113.37191009521484</v>
      </c>
      <c r="F2251">
        <v>0.59830999374389648</v>
      </c>
      <c r="G2251">
        <v>173.58749389648438</v>
      </c>
      <c r="H2251">
        <v>0.17000000178813934</v>
      </c>
      <c r="I2251">
        <v>3826.5</v>
      </c>
      <c r="J2251">
        <v>1358</v>
      </c>
    </row>
    <row r="2252" spans="1:10" x14ac:dyDescent="0.25">
      <c r="A2252">
        <v>71696</v>
      </c>
      <c r="B2252" t="str">
        <v>Sharika Enterpr.</v>
      </c>
      <c r="C2252">
        <v>17.926674999999999</v>
      </c>
      <c r="D2252">
        <v>12.138930320739746</v>
      </c>
      <c r="E2252">
        <v>6.304905891418457</v>
      </c>
      <c r="F2252">
        <v>0.51939600706100464</v>
      </c>
      <c r="G2252">
        <v>17.395000457763672</v>
      </c>
      <c r="H2252">
        <v>0.40999999642372131</v>
      </c>
      <c r="I2252">
        <v>75</v>
      </c>
      <c r="J2252">
        <v>1161</v>
      </c>
    </row>
    <row r="2253" spans="1:10" x14ac:dyDescent="0.25">
      <c r="A2253">
        <v>2220</v>
      </c>
      <c r="B2253" t="str">
        <v>Sharp India</v>
      </c>
      <c r="C2253">
        <v>25.734375</v>
      </c>
      <c r="D2253">
        <v>46.681758880615234</v>
      </c>
      <c r="E2253">
        <v>19.273208618164063</v>
      </c>
      <c r="F2253">
        <v>0.41286399960517883</v>
      </c>
      <c r="G2253">
        <v>59.1875</v>
      </c>
      <c r="H2253">
        <v>0</v>
      </c>
      <c r="I2253">
        <v>154.41999816894531</v>
      </c>
      <c r="J2253">
        <v>1091</v>
      </c>
    </row>
    <row r="2254" spans="1:10" x14ac:dyDescent="0.25">
      <c r="A2254">
        <v>26357</v>
      </c>
      <c r="B2254" t="str">
        <v>Sharp Investment</v>
      </c>
      <c r="C2254">
        <v>17.125001000000001</v>
      </c>
      <c r="D2254">
        <v>1.0963419675827026</v>
      </c>
      <c r="E2254">
        <v>0.93070101737976074</v>
      </c>
      <c r="F2254">
        <v>0.8489149808883667</v>
      </c>
      <c r="G2254">
        <v>0.62000000476837158</v>
      </c>
      <c r="H2254">
        <v>0</v>
      </c>
      <c r="I2254">
        <v>15.010000228881836</v>
      </c>
      <c r="J2254">
        <v>1261</v>
      </c>
    </row>
    <row r="2255" spans="1:10" x14ac:dyDescent="0.25">
      <c r="A2255">
        <v>26840</v>
      </c>
      <c r="B2255" t="str">
        <v>Sheela Foam</v>
      </c>
      <c r="C2255">
        <v>2.5438909999999999</v>
      </c>
      <c r="D2255">
        <v>1073.0166015625</v>
      </c>
      <c r="E2255">
        <v>302.33230590820313</v>
      </c>
      <c r="F2255">
        <v>0.28175899386405945</v>
      </c>
      <c r="G2255">
        <v>743.01251220703125</v>
      </c>
      <c r="H2255">
        <v>0.2800000011920929</v>
      </c>
      <c r="I2255">
        <v>8000.56982421875</v>
      </c>
      <c r="J2255">
        <v>1354</v>
      </c>
    </row>
    <row r="2256" spans="1:10" x14ac:dyDescent="0.25">
      <c r="A2256">
        <v>71647</v>
      </c>
      <c r="B2256" t="str">
        <v>Sheetal Cool</v>
      </c>
      <c r="C2256">
        <v>16.237031000000002</v>
      </c>
      <c r="D2256">
        <v>336.82711791992188</v>
      </c>
      <c r="E2256">
        <v>154.70013427734375</v>
      </c>
      <c r="F2256">
        <v>0.45928600430488586</v>
      </c>
      <c r="G2256">
        <v>317.38751220703125</v>
      </c>
      <c r="H2256">
        <v>0.81000000238418579</v>
      </c>
      <c r="I2256">
        <v>329.3900146484375</v>
      </c>
      <c r="J2256">
        <v>1303</v>
      </c>
    </row>
    <row r="2257" spans="1:10" x14ac:dyDescent="0.25">
      <c r="A2257">
        <v>37447</v>
      </c>
      <c r="B2257" t="str">
        <v>Shekhawati Inds</v>
      </c>
      <c r="C2257">
        <v>36.526477999999997</v>
      </c>
      <c r="D2257">
        <v>19.218193054199219</v>
      </c>
      <c r="E2257">
        <v>19.097953796386719</v>
      </c>
      <c r="F2257">
        <v>0.99374300241470337</v>
      </c>
      <c r="G2257">
        <v>24.229999542236328</v>
      </c>
      <c r="H2257">
        <v>0</v>
      </c>
      <c r="I2257">
        <v>81.25</v>
      </c>
      <c r="J2257">
        <v>729</v>
      </c>
    </row>
    <row r="2258" spans="1:10" x14ac:dyDescent="0.25">
      <c r="A2258">
        <v>41398</v>
      </c>
      <c r="B2258" t="str">
        <v>Shemaroo Entert.</v>
      </c>
      <c r="C2258">
        <v>-4.7789869999999999</v>
      </c>
      <c r="D2258">
        <v>124.43966674804688</v>
      </c>
      <c r="E2258">
        <v>37.597576141357422</v>
      </c>
      <c r="F2258">
        <v>0.30213499069213867</v>
      </c>
      <c r="G2258">
        <v>110.30000305175781</v>
      </c>
      <c r="H2258">
        <v>0.56999999284744263</v>
      </c>
      <c r="I2258">
        <v>304.35000610351563</v>
      </c>
      <c r="J2258">
        <v>1354</v>
      </c>
    </row>
    <row r="2259" spans="1:10" x14ac:dyDescent="0.25">
      <c r="A2259">
        <v>3190</v>
      </c>
      <c r="B2259" t="str">
        <v>Shervani Indl Sy</v>
      </c>
      <c r="C2259">
        <v>-2.4631090000000002</v>
      </c>
      <c r="D2259">
        <v>368.82659912109375</v>
      </c>
      <c r="E2259">
        <v>127.21744537353516</v>
      </c>
      <c r="F2259">
        <v>0.34492498636245728</v>
      </c>
      <c r="G2259">
        <v>432.8125</v>
      </c>
      <c r="H2259">
        <v>0.11999999731779099</v>
      </c>
      <c r="I2259">
        <v>110.93000030517578</v>
      </c>
      <c r="J2259">
        <v>1353</v>
      </c>
    </row>
    <row r="2260" spans="1:10" x14ac:dyDescent="0.25">
      <c r="A2260">
        <v>6082</v>
      </c>
      <c r="B2260" t="str">
        <v>Shilchar Tech.</v>
      </c>
      <c r="C2260">
        <v>95.606153000000006</v>
      </c>
      <c r="D2260">
        <v>1310.2777099609375</v>
      </c>
      <c r="E2260">
        <v>1757.7049560546875</v>
      </c>
      <c r="F2260">
        <v>1.3414750099182129</v>
      </c>
      <c r="G2260">
        <v>5245.10009765625</v>
      </c>
      <c r="H2260">
        <v>0</v>
      </c>
      <c r="I2260">
        <v>5908.85986328125</v>
      </c>
      <c r="J2260">
        <v>1328</v>
      </c>
    </row>
    <row r="2261" spans="1:10" x14ac:dyDescent="0.25">
      <c r="A2261">
        <v>4479</v>
      </c>
      <c r="B2261" t="str">
        <v>Shilp Gravures</v>
      </c>
      <c r="C2261">
        <v>27.396066000000001</v>
      </c>
      <c r="D2261">
        <v>123.67359161376953</v>
      </c>
      <c r="E2261">
        <v>64.666900634765625</v>
      </c>
      <c r="F2261">
        <v>0.52288401126861572</v>
      </c>
      <c r="G2261">
        <v>252.91250610351563</v>
      </c>
      <c r="H2261">
        <v>2.9999999329447746E-2</v>
      </c>
      <c r="I2261">
        <v>155.03999328613281</v>
      </c>
      <c r="J2261">
        <v>1357</v>
      </c>
    </row>
    <row r="2262" spans="1:10" x14ac:dyDescent="0.25">
      <c r="A2262">
        <v>5031</v>
      </c>
      <c r="B2262" t="str">
        <v>Shilpa Medicare</v>
      </c>
      <c r="C2262">
        <v>21.686284000000001</v>
      </c>
      <c r="D2262">
        <v>480.8043212890625</v>
      </c>
      <c r="E2262">
        <v>168.1912841796875</v>
      </c>
      <c r="F2262">
        <v>0.34981200098991394</v>
      </c>
      <c r="G2262">
        <v>900.92498779296875</v>
      </c>
      <c r="H2262">
        <v>0.10000000149011612</v>
      </c>
      <c r="I2262">
        <v>8701.4296875</v>
      </c>
      <c r="J2262">
        <v>1359</v>
      </c>
    </row>
    <row r="2263" spans="1:10" x14ac:dyDescent="0.25">
      <c r="A2263">
        <v>18695</v>
      </c>
      <c r="B2263" t="str">
        <v>Shirpur Gold</v>
      </c>
      <c r="C2263">
        <v>-18.912614000000001</v>
      </c>
      <c r="D2263">
        <v>8.2776298522949219</v>
      </c>
      <c r="E2263">
        <v>1.9642560482025146</v>
      </c>
      <c r="F2263">
        <v>0.23729699850082397</v>
      </c>
      <c r="G2263">
        <v>5.130000114440918</v>
      </c>
      <c r="H2263">
        <v>0</v>
      </c>
      <c r="I2263">
        <v>14.630000114440918</v>
      </c>
      <c r="J2263">
        <v>308</v>
      </c>
    </row>
    <row r="2264" spans="1:10" x14ac:dyDescent="0.25">
      <c r="A2264">
        <v>71359</v>
      </c>
      <c r="B2264" t="str">
        <v>Shish Industries</v>
      </c>
      <c r="C2264">
        <v>49.038544999999999</v>
      </c>
      <c r="D2264">
        <v>7.3296399116516113</v>
      </c>
      <c r="E2264">
        <v>4.3909478187561035</v>
      </c>
      <c r="F2264">
        <v>0.59906697273254395</v>
      </c>
      <c r="G2264">
        <v>7.9499998092651367</v>
      </c>
      <c r="H2264">
        <v>0.2199999988079071</v>
      </c>
      <c r="I2264">
        <v>300.20001220703125</v>
      </c>
      <c r="J2264">
        <v>1147</v>
      </c>
    </row>
    <row r="2265" spans="1:10" x14ac:dyDescent="0.25">
      <c r="A2265">
        <v>26361</v>
      </c>
      <c r="B2265" t="str">
        <v>Shiv Om Invst &amp;</v>
      </c>
      <c r="C2265">
        <v>-50.807884000000001</v>
      </c>
      <c r="D2265">
        <v>0.66312998533248901</v>
      </c>
      <c r="E2265">
        <v>0.3405430018901825</v>
      </c>
      <c r="F2265">
        <v>0.51353901624679565</v>
      </c>
      <c r="G2265">
        <v>0.43000000715255737</v>
      </c>
      <c r="H2265">
        <v>0.44999998807907104</v>
      </c>
      <c r="I2265">
        <v>2.940000057220459</v>
      </c>
      <c r="J2265">
        <v>349</v>
      </c>
    </row>
    <row r="2266" spans="1:10" x14ac:dyDescent="0.25">
      <c r="A2266">
        <v>15700</v>
      </c>
      <c r="B2266" t="str">
        <v>Shiva Cement</v>
      </c>
      <c r="C2266">
        <v>17.121632000000002</v>
      </c>
      <c r="D2266">
        <v>35.3787841796875</v>
      </c>
      <c r="E2266">
        <v>14.53663158416748</v>
      </c>
      <c r="F2266">
        <v>0.41088598966598511</v>
      </c>
      <c r="G2266">
        <v>31.924999237060547</v>
      </c>
      <c r="H2266">
        <v>0</v>
      </c>
      <c r="I2266">
        <v>918.34002685546875</v>
      </c>
      <c r="J2266">
        <v>1359</v>
      </c>
    </row>
    <row r="2267" spans="1:10" x14ac:dyDescent="0.25">
      <c r="A2267">
        <v>5034</v>
      </c>
      <c r="B2267" t="str">
        <v>Shiva Global</v>
      </c>
      <c r="C2267">
        <v>15.509067999999999</v>
      </c>
      <c r="D2267">
        <v>59.306411743164063</v>
      </c>
      <c r="E2267">
        <v>27.281705856323242</v>
      </c>
      <c r="F2267">
        <v>0.4600130021572113</v>
      </c>
      <c r="G2267">
        <v>39.744998931884766</v>
      </c>
      <c r="H2267">
        <v>0.49000000953674316</v>
      </c>
      <c r="I2267">
        <v>38.720001220703125</v>
      </c>
      <c r="J2267">
        <v>1358</v>
      </c>
    </row>
    <row r="2268" spans="1:10" x14ac:dyDescent="0.25">
      <c r="A2268">
        <v>67231</v>
      </c>
      <c r="B2268" t="str">
        <v>Shiva Mills</v>
      </c>
      <c r="C2268">
        <v>17.615013999999999</v>
      </c>
      <c r="D2268">
        <v>80.158584594726563</v>
      </c>
      <c r="E2268">
        <v>32.027908325195313</v>
      </c>
      <c r="F2268">
        <v>0.39955699443817139</v>
      </c>
      <c r="G2268">
        <v>75.114997863769531</v>
      </c>
      <c r="H2268">
        <v>5.000000074505806E-2</v>
      </c>
      <c r="I2268">
        <v>65.269996643066406</v>
      </c>
      <c r="J2268">
        <v>1303</v>
      </c>
    </row>
    <row r="2269" spans="1:10" x14ac:dyDescent="0.25">
      <c r="A2269">
        <v>1258</v>
      </c>
      <c r="B2269" t="str">
        <v>Shiva Texyarn</v>
      </c>
      <c r="C2269">
        <v>14.963668999999999</v>
      </c>
      <c r="D2269">
        <v>160.30551147460938</v>
      </c>
      <c r="E2269">
        <v>48.508007049560547</v>
      </c>
      <c r="F2269">
        <v>0.30259698629379272</v>
      </c>
      <c r="G2269">
        <v>203.53750610351563</v>
      </c>
      <c r="H2269">
        <v>0.81000000238418579</v>
      </c>
      <c r="I2269">
        <v>262.3699951171875</v>
      </c>
      <c r="J2269">
        <v>1324</v>
      </c>
    </row>
    <row r="2270" spans="1:10" x14ac:dyDescent="0.25">
      <c r="A2270">
        <v>1336</v>
      </c>
      <c r="B2270" t="str">
        <v>Shivalik Bimetal</v>
      </c>
      <c r="C2270">
        <v>50.812510000000003</v>
      </c>
      <c r="D2270">
        <v>332.39437866210938</v>
      </c>
      <c r="E2270">
        <v>222.64768981933594</v>
      </c>
      <c r="F2270">
        <v>0.66983002424240112</v>
      </c>
      <c r="G2270">
        <v>480.78750610351563</v>
      </c>
      <c r="H2270">
        <v>0.14000000059604645</v>
      </c>
      <c r="I2270">
        <v>2754.340087890625</v>
      </c>
      <c r="J2270">
        <v>1359</v>
      </c>
    </row>
    <row r="2271" spans="1:10" x14ac:dyDescent="0.25">
      <c r="A2271">
        <v>23236</v>
      </c>
      <c r="B2271" t="str">
        <v>Shivalik Rasayan</v>
      </c>
      <c r="C2271">
        <v>12.557948</v>
      </c>
      <c r="D2271">
        <v>668.58673095703125</v>
      </c>
      <c r="E2271">
        <v>201.28340148925781</v>
      </c>
      <c r="F2271">
        <v>0.30105799436569214</v>
      </c>
      <c r="G2271">
        <v>525.2874755859375</v>
      </c>
      <c r="H2271">
        <v>0.14000000059604645</v>
      </c>
      <c r="I2271">
        <v>823.9000244140625</v>
      </c>
      <c r="J2271">
        <v>1358</v>
      </c>
    </row>
    <row r="2272" spans="1:10" x14ac:dyDescent="0.25">
      <c r="A2272">
        <v>508</v>
      </c>
      <c r="B2272" t="str">
        <v>Shree Cement</v>
      </c>
      <c r="C2272">
        <v>6.6629899999999997</v>
      </c>
      <c r="D2272">
        <v>25016.087890625</v>
      </c>
      <c r="E2272">
        <v>2963.551025390625</v>
      </c>
      <c r="F2272">
        <v>0.11846599727869034</v>
      </c>
      <c r="G2272">
        <v>29289.703125</v>
      </c>
      <c r="H2272">
        <v>0.11999999731779099</v>
      </c>
      <c r="I2272">
        <v>105638.4765625</v>
      </c>
      <c r="J2272">
        <v>1359</v>
      </c>
    </row>
    <row r="2273" spans="1:10" x14ac:dyDescent="0.25">
      <c r="A2273">
        <v>41344</v>
      </c>
      <c r="B2273" t="str">
        <v>Shree Ganesh Bio</v>
      </c>
      <c r="C2273">
        <v>-34.578332000000003</v>
      </c>
      <c r="D2273">
        <v>3.0906031131744385</v>
      </c>
      <c r="E2273">
        <v>2.4235539436340332</v>
      </c>
      <c r="F2273">
        <v>0.78416901826858521</v>
      </c>
      <c r="G2273">
        <v>0.87000000476837158</v>
      </c>
      <c r="H2273">
        <v>0</v>
      </c>
      <c r="I2273">
        <v>34.680000305175781</v>
      </c>
      <c r="J2273">
        <v>1219</v>
      </c>
    </row>
    <row r="2274" spans="1:10" x14ac:dyDescent="0.25">
      <c r="A2274">
        <v>71615</v>
      </c>
      <c r="B2274" t="str">
        <v>Shree Ganesh Rem</v>
      </c>
      <c r="C2274">
        <v>46.412781000000003</v>
      </c>
      <c r="D2274">
        <v>403.88644409179688</v>
      </c>
      <c r="E2274">
        <v>236.7977294921875</v>
      </c>
      <c r="F2274">
        <v>0.58629798889160156</v>
      </c>
      <c r="G2274">
        <v>611.1875</v>
      </c>
      <c r="H2274">
        <v>0.33000001311302185</v>
      </c>
      <c r="I2274">
        <v>777.260009765625</v>
      </c>
      <c r="J2274">
        <v>1268</v>
      </c>
    </row>
    <row r="2275" spans="1:10" x14ac:dyDescent="0.25">
      <c r="A2275">
        <v>7302</v>
      </c>
      <c r="B2275" t="str">
        <v>Shree Metalloys</v>
      </c>
      <c r="C2275">
        <v>26.376078</v>
      </c>
      <c r="D2275">
        <v>30.381303787231445</v>
      </c>
      <c r="E2275">
        <v>8.4285211563110352</v>
      </c>
      <c r="F2275">
        <v>0.27742499113082886</v>
      </c>
      <c r="G2275">
        <v>38.697498321533203</v>
      </c>
      <c r="H2275">
        <v>0</v>
      </c>
      <c r="I2275">
        <v>20.659999847412109</v>
      </c>
      <c r="J2275">
        <v>1175</v>
      </c>
    </row>
    <row r="2276" spans="1:10" x14ac:dyDescent="0.25">
      <c r="A2276">
        <v>3119</v>
      </c>
      <c r="B2276" t="str">
        <v>Shree Pacetronix</v>
      </c>
      <c r="C2276">
        <v>35.342633999999997</v>
      </c>
      <c r="D2276">
        <v>114.69364929199219</v>
      </c>
      <c r="E2276">
        <v>92.793380737304688</v>
      </c>
      <c r="F2276">
        <v>0.80905401706695557</v>
      </c>
      <c r="G2276">
        <v>76.120002746582031</v>
      </c>
      <c r="H2276">
        <v>0.2800000011920929</v>
      </c>
      <c r="I2276">
        <v>25.729999542236328</v>
      </c>
      <c r="J2276">
        <v>990</v>
      </c>
    </row>
    <row r="2277" spans="1:10" x14ac:dyDescent="0.25">
      <c r="A2277">
        <v>33609</v>
      </c>
      <c r="B2277" t="str">
        <v>Shree Precoated</v>
      </c>
      <c r="C2277">
        <v>34.519005999999997</v>
      </c>
      <c r="D2277">
        <v>18.508493423461914</v>
      </c>
      <c r="E2277">
        <v>9.2086286544799805</v>
      </c>
      <c r="F2277">
        <v>0.49753499031066895</v>
      </c>
      <c r="G2277">
        <v>15.385000228881836</v>
      </c>
      <c r="H2277">
        <v>0</v>
      </c>
      <c r="I2277">
        <v>6.369999885559082</v>
      </c>
      <c r="J2277">
        <v>1099</v>
      </c>
    </row>
    <row r="2278" spans="1:10" x14ac:dyDescent="0.25">
      <c r="A2278">
        <v>4374</v>
      </c>
      <c r="B2278" t="str">
        <v>Shree Rama News.</v>
      </c>
      <c r="C2278">
        <v>16.230125000000001</v>
      </c>
      <c r="D2278">
        <v>17.749322891235352</v>
      </c>
      <c r="E2278">
        <v>5.3199458122253418</v>
      </c>
      <c r="F2278">
        <v>0.29972699284553528</v>
      </c>
      <c r="G2278">
        <v>33.759998321533203</v>
      </c>
      <c r="H2278">
        <v>2.9999999329447746E-2</v>
      </c>
      <c r="I2278">
        <v>498.02999877929688</v>
      </c>
      <c r="J2278">
        <v>1353</v>
      </c>
    </row>
    <row r="2279" spans="1:10" x14ac:dyDescent="0.25">
      <c r="A2279">
        <v>71616</v>
      </c>
      <c r="B2279" t="str">
        <v>Shreeji Translog</v>
      </c>
      <c r="C2279">
        <v>9.8496400000000008</v>
      </c>
      <c r="D2279">
        <v>32.610683441162109</v>
      </c>
      <c r="E2279">
        <v>16.212491989135742</v>
      </c>
      <c r="F2279">
        <v>0.49715301394462585</v>
      </c>
      <c r="G2279">
        <v>12.744999885559082</v>
      </c>
      <c r="H2279">
        <v>0.95999997854232788</v>
      </c>
      <c r="I2279">
        <v>87.419998168945313</v>
      </c>
      <c r="J2279">
        <v>969</v>
      </c>
    </row>
    <row r="2280" spans="1:10" x14ac:dyDescent="0.25">
      <c r="A2280">
        <v>7258</v>
      </c>
      <c r="B2280" t="str">
        <v>Shreevatsaa Fin.</v>
      </c>
      <c r="C2280">
        <v>19.311363</v>
      </c>
      <c r="D2280">
        <v>14.332831382751465</v>
      </c>
      <c r="E2280">
        <v>8.7103719711303711</v>
      </c>
      <c r="F2280">
        <v>0.60772198438644409</v>
      </c>
      <c r="G2280">
        <v>22.815000534057617</v>
      </c>
      <c r="H2280">
        <v>0</v>
      </c>
      <c r="I2280">
        <v>22.469999313354492</v>
      </c>
      <c r="J2280">
        <v>930</v>
      </c>
    </row>
    <row r="2281" spans="1:10" x14ac:dyDescent="0.25">
      <c r="A2281">
        <v>1394</v>
      </c>
      <c r="B2281" t="str">
        <v>Shreyans Inds.</v>
      </c>
      <c r="C2281">
        <v>12.42254</v>
      </c>
      <c r="D2281">
        <v>159.02897644042969</v>
      </c>
      <c r="E2281">
        <v>69.228500366210938</v>
      </c>
      <c r="F2281">
        <v>0.43531998991966248</v>
      </c>
      <c r="G2281">
        <v>217.77499389648438</v>
      </c>
      <c r="H2281">
        <v>0.10999999940395355</v>
      </c>
      <c r="I2281">
        <v>300.58999633789063</v>
      </c>
      <c r="J2281">
        <v>1358</v>
      </c>
    </row>
    <row r="2282" spans="1:10" x14ac:dyDescent="0.25">
      <c r="A2282">
        <v>3366</v>
      </c>
      <c r="B2282" t="str">
        <v>Shreyas Interm.</v>
      </c>
      <c r="C2282">
        <v>20.616379999999999</v>
      </c>
      <c r="D2282">
        <v>9.9723472595214844</v>
      </c>
      <c r="E2282">
        <v>3.5963010787963867</v>
      </c>
      <c r="F2282">
        <v>0.36062699556350708</v>
      </c>
      <c r="G2282">
        <v>9.9750003814697266</v>
      </c>
      <c r="H2282">
        <v>0.40999999642372131</v>
      </c>
      <c r="I2282">
        <v>70.360000610351563</v>
      </c>
      <c r="J2282">
        <v>1207</v>
      </c>
    </row>
    <row r="2283" spans="1:10" x14ac:dyDescent="0.25">
      <c r="A2283">
        <v>5349</v>
      </c>
      <c r="B2283" t="str">
        <v>Shri Krishna</v>
      </c>
      <c r="C2283">
        <v>10.415495</v>
      </c>
      <c r="D2283">
        <v>28.096563339233398</v>
      </c>
      <c r="E2283">
        <v>10.338781356811523</v>
      </c>
      <c r="F2283">
        <v>0.36797299981117249</v>
      </c>
      <c r="G2283">
        <v>36.415000915527344</v>
      </c>
      <c r="H2283">
        <v>0.6600000262260437</v>
      </c>
      <c r="I2283">
        <v>105.13999938964844</v>
      </c>
      <c r="J2283">
        <v>1127</v>
      </c>
    </row>
    <row r="2284" spans="1:10" x14ac:dyDescent="0.25">
      <c r="A2284">
        <v>23693</v>
      </c>
      <c r="B2284" t="str">
        <v>Shri Vasuprada</v>
      </c>
      <c r="C2284">
        <v>11.048596999999999</v>
      </c>
      <c r="D2284">
        <v>85.574531555175781</v>
      </c>
      <c r="E2284">
        <v>18.107784271240234</v>
      </c>
      <c r="F2284">
        <v>0.21160200238227844</v>
      </c>
      <c r="G2284">
        <v>123.19999694824219</v>
      </c>
      <c r="H2284">
        <v>0.36000001430511475</v>
      </c>
      <c r="I2284">
        <v>103.88999938964844</v>
      </c>
      <c r="J2284">
        <v>1247</v>
      </c>
    </row>
    <row r="2285" spans="1:10" x14ac:dyDescent="0.25">
      <c r="A2285">
        <v>6184</v>
      </c>
      <c r="B2285" t="str">
        <v>Shriram AMC</v>
      </c>
      <c r="C2285">
        <v>33.128061000000002</v>
      </c>
      <c r="D2285">
        <v>207.23483276367188</v>
      </c>
      <c r="E2285">
        <v>151.72607421875</v>
      </c>
      <c r="F2285">
        <v>0.73214602470397949</v>
      </c>
      <c r="G2285">
        <v>607.45001220703125</v>
      </c>
      <c r="H2285">
        <v>9.9999997764825821E-3</v>
      </c>
      <c r="I2285">
        <v>1019.25</v>
      </c>
      <c r="J2285">
        <v>1311</v>
      </c>
    </row>
    <row r="2286" spans="1:10" x14ac:dyDescent="0.25">
      <c r="A2286">
        <v>3413</v>
      </c>
      <c r="B2286" t="str">
        <v>Shristi Infra</v>
      </c>
      <c r="C2286">
        <v>-17.351448999999999</v>
      </c>
      <c r="D2286">
        <v>44.904827117919922</v>
      </c>
      <c r="E2286">
        <v>16.73760986328125</v>
      </c>
      <c r="F2286">
        <v>0.37273499369621277</v>
      </c>
      <c r="G2286">
        <v>35.389999389648438</v>
      </c>
      <c r="H2286">
        <v>0</v>
      </c>
      <c r="I2286">
        <v>78.120002746582031</v>
      </c>
      <c r="J2286">
        <v>1201</v>
      </c>
    </row>
    <row r="2287" spans="1:10" x14ac:dyDescent="0.25">
      <c r="A2287">
        <v>73282</v>
      </c>
      <c r="B2287" t="str">
        <v>Shubham Polyspin</v>
      </c>
      <c r="C2287">
        <v>-12.396674000000001</v>
      </c>
      <c r="D2287">
        <v>62.716705322265625</v>
      </c>
      <c r="E2287">
        <v>57.07861328125</v>
      </c>
      <c r="F2287">
        <v>0.91010200977325439</v>
      </c>
      <c r="G2287">
        <v>22.875</v>
      </c>
      <c r="H2287">
        <v>0.64999997615814209</v>
      </c>
      <c r="I2287">
        <v>28.430000305175781</v>
      </c>
      <c r="J2287">
        <v>1188</v>
      </c>
    </row>
    <row r="2288" spans="1:10" x14ac:dyDescent="0.25">
      <c r="A2288">
        <v>4083</v>
      </c>
      <c r="B2288" t="str">
        <v>Shukra Pharma.</v>
      </c>
      <c r="C2288">
        <v>79.116230000000002</v>
      </c>
      <c r="D2288">
        <v>4.118192195892334</v>
      </c>
      <c r="E2288">
        <v>5.8150339126586914</v>
      </c>
      <c r="F2288">
        <v>1.4120359420776367</v>
      </c>
      <c r="G2288">
        <v>13.5</v>
      </c>
      <c r="H2288">
        <v>0.10000000149011612</v>
      </c>
      <c r="I2288">
        <v>591.1400146484375</v>
      </c>
      <c r="J2288">
        <v>1186</v>
      </c>
    </row>
    <row r="2289" spans="1:10" x14ac:dyDescent="0.25">
      <c r="A2289">
        <v>65921</v>
      </c>
      <c r="B2289" t="str">
        <v>Shyam Century</v>
      </c>
      <c r="C2289">
        <v>16.291654000000001</v>
      </c>
      <c r="D2289">
        <v>14.745682716369629</v>
      </c>
      <c r="E2289">
        <v>7.155332088470459</v>
      </c>
      <c r="F2289">
        <v>0.48524901270866394</v>
      </c>
      <c r="G2289">
        <v>7.3125</v>
      </c>
      <c r="H2289">
        <v>1.9999999552965164E-2</v>
      </c>
      <c r="I2289">
        <v>154.03999328613281</v>
      </c>
      <c r="J2289">
        <v>1311</v>
      </c>
    </row>
    <row r="2290" spans="1:10" x14ac:dyDescent="0.25">
      <c r="A2290">
        <v>3673</v>
      </c>
      <c r="B2290" t="str">
        <v>Shyam Telecom</v>
      </c>
      <c r="C2290">
        <v>18.840748000000001</v>
      </c>
      <c r="D2290">
        <v>11.689704895019531</v>
      </c>
      <c r="E2290">
        <v>4.9444561004638672</v>
      </c>
      <c r="F2290">
        <v>0.42297500371932983</v>
      </c>
      <c r="G2290">
        <v>18.610000610351563</v>
      </c>
      <c r="H2290">
        <v>0</v>
      </c>
      <c r="I2290">
        <v>21</v>
      </c>
      <c r="J2290">
        <v>876</v>
      </c>
    </row>
    <row r="2291" spans="1:10" x14ac:dyDescent="0.25">
      <c r="A2291">
        <v>5935</v>
      </c>
      <c r="B2291" t="str">
        <v>Shyama Computro.</v>
      </c>
      <c r="C2291">
        <v>28.407059</v>
      </c>
      <c r="D2291">
        <v>4.6664881706237793</v>
      </c>
      <c r="E2291">
        <v>1.7065119743347168</v>
      </c>
      <c r="F2291">
        <v>0.36569499969482422</v>
      </c>
      <c r="G2291">
        <v>5.494999885559082</v>
      </c>
      <c r="H2291">
        <v>9.9999997764825821E-3</v>
      </c>
      <c r="I2291">
        <v>5.5399999618530273</v>
      </c>
      <c r="J2291">
        <v>284</v>
      </c>
    </row>
    <row r="2292" spans="1:10" x14ac:dyDescent="0.25">
      <c r="A2292">
        <v>4398</v>
      </c>
      <c r="B2292" t="str">
        <v>Sibar Auto Parts</v>
      </c>
      <c r="C2292">
        <v>1.383942</v>
      </c>
      <c r="D2292">
        <v>9.7363119125366211</v>
      </c>
      <c r="E2292">
        <v>1.9495290517807007</v>
      </c>
      <c r="F2292">
        <v>0.20023299753665924</v>
      </c>
      <c r="G2292">
        <v>10.002499580383301</v>
      </c>
      <c r="H2292">
        <v>0.34000000357627869</v>
      </c>
      <c r="I2292">
        <v>16.379999160766602</v>
      </c>
      <c r="J2292">
        <v>1256</v>
      </c>
    </row>
    <row r="2293" spans="1:10" x14ac:dyDescent="0.25">
      <c r="A2293">
        <v>29303</v>
      </c>
      <c r="B2293" t="str">
        <v>Sicagen India</v>
      </c>
      <c r="C2293">
        <v>29.507175</v>
      </c>
      <c r="D2293">
        <v>38.704734802246094</v>
      </c>
      <c r="E2293">
        <v>23.502944946289063</v>
      </c>
      <c r="F2293">
        <v>0.60723698139190674</v>
      </c>
      <c r="G2293">
        <v>68.792503356933594</v>
      </c>
      <c r="H2293">
        <v>0.11999999731779099</v>
      </c>
      <c r="I2293">
        <v>271.92999267578125</v>
      </c>
      <c r="J2293">
        <v>1353</v>
      </c>
    </row>
    <row r="2294" spans="1:10" x14ac:dyDescent="0.25">
      <c r="A2294">
        <v>3061</v>
      </c>
      <c r="B2294" t="str">
        <v>Siel Fin. Serv.</v>
      </c>
      <c r="C2294">
        <v>27.403064000000001</v>
      </c>
      <c r="D2294">
        <v>20.933483123779297</v>
      </c>
      <c r="E2294">
        <v>19.019628524780273</v>
      </c>
      <c r="F2294">
        <v>0.90857398509979248</v>
      </c>
      <c r="G2294">
        <v>7.554999828338623</v>
      </c>
      <c r="H2294">
        <v>0</v>
      </c>
      <c r="I2294">
        <v>8.4600000381469727</v>
      </c>
      <c r="J2294">
        <v>1126</v>
      </c>
    </row>
    <row r="2295" spans="1:10" x14ac:dyDescent="0.25">
      <c r="A2295">
        <v>514</v>
      </c>
      <c r="B2295" t="str">
        <v>Siemens</v>
      </c>
      <c r="C2295">
        <v>28.297127</v>
      </c>
      <c r="D2295">
        <v>1676.9945068359375</v>
      </c>
      <c r="E2295">
        <v>959.35687255859375</v>
      </c>
      <c r="F2295">
        <v>0.57206898927688599</v>
      </c>
      <c r="G2295">
        <v>3320.787353515625</v>
      </c>
      <c r="H2295">
        <v>9.9999997764825821E-3</v>
      </c>
      <c r="I2295">
        <v>116942.8515625</v>
      </c>
      <c r="J2295">
        <v>1359</v>
      </c>
    </row>
    <row r="2296" spans="1:10" x14ac:dyDescent="0.25">
      <c r="A2296">
        <v>1181</v>
      </c>
      <c r="B2296" t="str">
        <v>Sika Interplant</v>
      </c>
      <c r="C2296">
        <v>73.934511000000001</v>
      </c>
      <c r="D2296">
        <v>225.39183044433594</v>
      </c>
      <c r="E2296">
        <v>216.60317993164063</v>
      </c>
      <c r="F2296">
        <v>0.96100699901580811</v>
      </c>
      <c r="G2296">
        <v>1554.4000244140625</v>
      </c>
      <c r="H2296">
        <v>0</v>
      </c>
      <c r="I2296">
        <v>3278.929931640625</v>
      </c>
      <c r="J2296">
        <v>1359</v>
      </c>
    </row>
    <row r="2297" spans="1:10" x14ac:dyDescent="0.25">
      <c r="A2297">
        <v>6901</v>
      </c>
      <c r="B2297" t="str">
        <v>Silver Oak (I)</v>
      </c>
      <c r="C2297">
        <v>37.934961000000001</v>
      </c>
      <c r="D2297">
        <v>69.258453369140625</v>
      </c>
      <c r="E2297">
        <v>69.351158142089844</v>
      </c>
      <c r="F2297">
        <v>1.001338005065918</v>
      </c>
      <c r="G2297">
        <v>146.07499694824219</v>
      </c>
      <c r="H2297">
        <v>0</v>
      </c>
      <c r="I2297">
        <v>54.810001373291016</v>
      </c>
      <c r="J2297">
        <v>1030</v>
      </c>
    </row>
    <row r="2298" spans="1:10" x14ac:dyDescent="0.25">
      <c r="A2298">
        <v>44299</v>
      </c>
      <c r="B2298" t="str">
        <v>Simbhaoli Sugar</v>
      </c>
      <c r="C2298">
        <v>17.793638000000001</v>
      </c>
      <c r="D2298">
        <v>20.238191604614258</v>
      </c>
      <c r="E2298">
        <v>8.849064826965332</v>
      </c>
      <c r="F2298">
        <v>0.43724599480628967</v>
      </c>
      <c r="G2298">
        <v>16.907499313354492</v>
      </c>
      <c r="H2298">
        <v>0</v>
      </c>
      <c r="I2298">
        <v>69.839996337890625</v>
      </c>
      <c r="J2298">
        <v>1340</v>
      </c>
    </row>
    <row r="2299" spans="1:10" x14ac:dyDescent="0.25">
      <c r="A2299">
        <v>27316</v>
      </c>
      <c r="B2299" t="str">
        <v>Simplex Papers</v>
      </c>
      <c r="C2299">
        <v>62.635790999999998</v>
      </c>
      <c r="D2299">
        <v>2249.02197265625</v>
      </c>
      <c r="E2299">
        <v>1585.3465576171875</v>
      </c>
      <c r="F2299">
        <v>0.70490497350692749</v>
      </c>
      <c r="G2299">
        <v>1793</v>
      </c>
      <c r="H2299">
        <v>0</v>
      </c>
      <c r="I2299">
        <v>5.25</v>
      </c>
      <c r="J2299">
        <v>929</v>
      </c>
    </row>
    <row r="2300" spans="1:10" x14ac:dyDescent="0.25">
      <c r="A2300">
        <v>711</v>
      </c>
      <c r="B2300" t="str">
        <v>Simplex Realty</v>
      </c>
      <c r="C2300">
        <v>23.008935999999999</v>
      </c>
      <c r="D2300">
        <v>110.40941619873047</v>
      </c>
      <c r="E2300">
        <v>53.531734466552734</v>
      </c>
      <c r="F2300">
        <v>0.48484799265861511</v>
      </c>
      <c r="G2300">
        <v>191.60000610351563</v>
      </c>
      <c r="H2300">
        <v>0</v>
      </c>
      <c r="I2300">
        <v>57.290000915527344</v>
      </c>
      <c r="J2300">
        <v>1161</v>
      </c>
    </row>
    <row r="2301" spans="1:10" x14ac:dyDescent="0.25">
      <c r="A2301">
        <v>2988</v>
      </c>
      <c r="B2301" t="str">
        <v>Sinclairs Hotels</v>
      </c>
      <c r="C2301">
        <v>20.133315</v>
      </c>
      <c r="D2301">
        <v>60.223674774169922</v>
      </c>
      <c r="E2301">
        <v>34.607967376708984</v>
      </c>
      <c r="F2301">
        <v>0.57465702295303345</v>
      </c>
      <c r="G2301">
        <v>88.277496337890625</v>
      </c>
      <c r="H2301">
        <v>9.0000003576278687E-2</v>
      </c>
      <c r="I2301">
        <v>449.60000610351563</v>
      </c>
      <c r="J2301">
        <v>1359</v>
      </c>
    </row>
    <row r="2302" spans="1:10" x14ac:dyDescent="0.25">
      <c r="A2302">
        <v>19920</v>
      </c>
      <c r="B2302" t="str">
        <v>Sindhu Trade</v>
      </c>
      <c r="C2302">
        <v>50.103377999999999</v>
      </c>
      <c r="D2302">
        <v>20.25727653503418</v>
      </c>
      <c r="E2302">
        <v>11.241276741027832</v>
      </c>
      <c r="F2302">
        <v>0.55492502450942993</v>
      </c>
      <c r="G2302">
        <v>26.655000686645508</v>
      </c>
      <c r="H2302">
        <v>0.43999999761581421</v>
      </c>
      <c r="I2302">
        <v>4072.22998046875</v>
      </c>
      <c r="J2302">
        <v>1172</v>
      </c>
    </row>
    <row r="2303" spans="1:10" x14ac:dyDescent="0.25">
      <c r="A2303">
        <v>287</v>
      </c>
      <c r="B2303" t="str">
        <v>Singer India</v>
      </c>
      <c r="C2303">
        <v>18.697075999999999</v>
      </c>
      <c r="D2303">
        <v>64.011276245117188</v>
      </c>
      <c r="E2303">
        <v>25.063451766967773</v>
      </c>
      <c r="F2303">
        <v>0.39154699444770813</v>
      </c>
      <c r="G2303">
        <v>74.430000305175781</v>
      </c>
      <c r="H2303">
        <v>9.9999997764825821E-3</v>
      </c>
      <c r="I2303">
        <v>448.3599853515625</v>
      </c>
      <c r="J2303">
        <v>1359</v>
      </c>
    </row>
    <row r="2304" spans="1:10" x14ac:dyDescent="0.25">
      <c r="A2304">
        <v>6298</v>
      </c>
      <c r="B2304" t="str">
        <v>Sir Shadi Lal</v>
      </c>
      <c r="C2304">
        <v>40.738774999999997</v>
      </c>
      <c r="D2304">
        <v>164.84237670898438</v>
      </c>
      <c r="E2304">
        <v>103.58535766601563</v>
      </c>
      <c r="F2304">
        <v>0.62839001417160034</v>
      </c>
      <c r="G2304">
        <v>278.35000610351563</v>
      </c>
      <c r="H2304">
        <v>0</v>
      </c>
      <c r="I2304">
        <v>146.44999694824219</v>
      </c>
      <c r="J2304">
        <v>1317</v>
      </c>
    </row>
    <row r="2305" spans="1:10" x14ac:dyDescent="0.25">
      <c r="A2305">
        <v>4039</v>
      </c>
      <c r="B2305" t="str">
        <v>Sita Enterprises</v>
      </c>
      <c r="C2305">
        <v>45.544874</v>
      </c>
      <c r="D2305">
        <v>38.125999450683594</v>
      </c>
      <c r="E2305">
        <v>43.006816864013672</v>
      </c>
      <c r="F2305">
        <v>1.1280180215835571</v>
      </c>
      <c r="G2305">
        <v>147.91250610351563</v>
      </c>
      <c r="H2305">
        <v>0</v>
      </c>
      <c r="I2305">
        <v>43.970001220703125</v>
      </c>
      <c r="J2305">
        <v>1194</v>
      </c>
    </row>
    <row r="2306" spans="1:10" x14ac:dyDescent="0.25">
      <c r="A2306">
        <v>27706</v>
      </c>
      <c r="B2306" t="str">
        <v>Siti Networks</v>
      </c>
      <c r="C2306">
        <v>-24.869031</v>
      </c>
      <c r="D2306">
        <v>1.4012730121612549</v>
      </c>
      <c r="E2306">
        <v>0.83437401056289673</v>
      </c>
      <c r="F2306">
        <v>0.59543997049331665</v>
      </c>
      <c r="G2306">
        <v>0.50249999761581421</v>
      </c>
      <c r="H2306">
        <v>0</v>
      </c>
      <c r="I2306">
        <v>43.599998474121094</v>
      </c>
      <c r="J2306">
        <v>1290</v>
      </c>
    </row>
    <row r="2307" spans="1:10" x14ac:dyDescent="0.25">
      <c r="A2307">
        <v>516</v>
      </c>
      <c r="B2307" t="str">
        <v>Siyaram Silk</v>
      </c>
      <c r="C2307">
        <v>20.068006</v>
      </c>
      <c r="D2307">
        <v>437.552978515625</v>
      </c>
      <c r="E2307">
        <v>188.90974426269531</v>
      </c>
      <c r="F2307">
        <v>0.43174099922180176</v>
      </c>
      <c r="G2307">
        <v>677.03759765625</v>
      </c>
      <c r="H2307">
        <v>0.15000000596046448</v>
      </c>
      <c r="I2307">
        <v>3023.010009765625</v>
      </c>
      <c r="J2307">
        <v>1359</v>
      </c>
    </row>
    <row r="2308" spans="1:10" x14ac:dyDescent="0.25">
      <c r="A2308">
        <v>25991</v>
      </c>
      <c r="B2308" t="str">
        <v>Skipper</v>
      </c>
      <c r="C2308">
        <v>44.155056000000002</v>
      </c>
      <c r="D2308">
        <v>173.5958251953125</v>
      </c>
      <c r="E2308">
        <v>161.2335205078125</v>
      </c>
      <c r="F2308">
        <v>0.9287869930267334</v>
      </c>
      <c r="G2308">
        <v>485.66250610351563</v>
      </c>
      <c r="H2308">
        <v>0.63999998569488525</v>
      </c>
      <c r="I2308">
        <v>5377.169921875</v>
      </c>
      <c r="J2308">
        <v>1359</v>
      </c>
    </row>
    <row r="2309" spans="1:10" x14ac:dyDescent="0.25">
      <c r="A2309">
        <v>3776</v>
      </c>
      <c r="B2309" t="str">
        <v>Sky Industries</v>
      </c>
      <c r="C2309">
        <v>21.167932</v>
      </c>
      <c r="D2309">
        <v>78.120437622070313</v>
      </c>
      <c r="E2309">
        <v>33.087898254394531</v>
      </c>
      <c r="F2309">
        <v>0.42355000972747803</v>
      </c>
      <c r="G2309">
        <v>94.279998779296875</v>
      </c>
      <c r="H2309">
        <v>0.28999999165534973</v>
      </c>
      <c r="I2309">
        <v>74.339996337890625</v>
      </c>
      <c r="J2309">
        <v>1291</v>
      </c>
    </row>
    <row r="2310" spans="1:10" x14ac:dyDescent="0.25">
      <c r="A2310">
        <v>628</v>
      </c>
      <c r="B2310" t="str">
        <v>Skyline Millars</v>
      </c>
      <c r="C2310">
        <v>41.391779999999997</v>
      </c>
      <c r="D2310">
        <v>12.797405242919922</v>
      </c>
      <c r="E2310">
        <v>6.0002789497375488</v>
      </c>
      <c r="F2310">
        <v>0.46886700391769409</v>
      </c>
      <c r="G2310">
        <v>23.485000610351563</v>
      </c>
      <c r="H2310">
        <v>0</v>
      </c>
      <c r="I2310">
        <v>93.080001831054688</v>
      </c>
      <c r="J2310">
        <v>1279</v>
      </c>
    </row>
    <row r="2311" spans="1:10" x14ac:dyDescent="0.25">
      <c r="A2311">
        <v>27302</v>
      </c>
      <c r="B2311" t="str">
        <v>Smart Finsec</v>
      </c>
      <c r="C2311">
        <v>10.969476999999999</v>
      </c>
      <c r="D2311">
        <v>10.113102912902832</v>
      </c>
      <c r="E2311">
        <v>3.6228780746459961</v>
      </c>
      <c r="F2311">
        <v>0.35823601484298706</v>
      </c>
      <c r="G2311">
        <v>13.520000457763672</v>
      </c>
      <c r="H2311">
        <v>5.000000074505806E-2</v>
      </c>
      <c r="I2311">
        <v>39.270000457763672</v>
      </c>
      <c r="J2311">
        <v>996</v>
      </c>
    </row>
    <row r="2312" spans="1:10" x14ac:dyDescent="0.25">
      <c r="A2312">
        <v>15469</v>
      </c>
      <c r="B2312" t="str">
        <v>Smartlink Hold.</v>
      </c>
      <c r="C2312">
        <v>11.474900999999999</v>
      </c>
      <c r="D2312">
        <v>143.59709167480469</v>
      </c>
      <c r="E2312">
        <v>58.478221893310547</v>
      </c>
      <c r="F2312">
        <v>0.40723800659179688</v>
      </c>
      <c r="G2312">
        <v>156.19999694824219</v>
      </c>
      <c r="H2312">
        <v>9.9999997764825821E-3</v>
      </c>
      <c r="I2312">
        <v>154.91000366210938</v>
      </c>
      <c r="J2312">
        <v>1346</v>
      </c>
    </row>
    <row r="2313" spans="1:10" x14ac:dyDescent="0.25">
      <c r="A2313">
        <v>2956</v>
      </c>
      <c r="B2313" t="str">
        <v>Smiths &amp; Founder</v>
      </c>
      <c r="C2313">
        <v>53.012500000000003</v>
      </c>
      <c r="D2313">
        <v>4.3950119018554688</v>
      </c>
      <c r="E2313">
        <v>2.2190918922424316</v>
      </c>
      <c r="F2313">
        <v>0.50491100549697876</v>
      </c>
      <c r="G2313">
        <v>5.6374998092651367</v>
      </c>
      <c r="H2313">
        <v>0.74000000953674316</v>
      </c>
      <c r="I2313">
        <v>55.380001068115234</v>
      </c>
      <c r="J2313">
        <v>1191</v>
      </c>
    </row>
    <row r="2314" spans="1:10" x14ac:dyDescent="0.25">
      <c r="A2314">
        <v>5758</v>
      </c>
      <c r="B2314" t="str">
        <v>Smruthi Organic</v>
      </c>
      <c r="C2314">
        <v>19.566237000000001</v>
      </c>
      <c r="D2314">
        <v>167.93424987792969</v>
      </c>
      <c r="E2314">
        <v>76.505882263183594</v>
      </c>
      <c r="F2314">
        <v>0.45557001233100891</v>
      </c>
      <c r="G2314">
        <v>121.78749847412109</v>
      </c>
      <c r="H2314">
        <v>0.20000000298023224</v>
      </c>
      <c r="I2314">
        <v>137.1300048828125</v>
      </c>
      <c r="J2314">
        <v>1353</v>
      </c>
    </row>
    <row r="2315" spans="1:10" x14ac:dyDescent="0.25">
      <c r="A2315">
        <v>43309</v>
      </c>
      <c r="B2315" t="str">
        <v>Snowman Logistic</v>
      </c>
      <c r="C2315">
        <v>6.1608450000000001</v>
      </c>
      <c r="D2315">
        <v>48.480033874511719</v>
      </c>
      <c r="E2315">
        <v>15.191061019897461</v>
      </c>
      <c r="F2315">
        <v>0.31334701180458069</v>
      </c>
      <c r="G2315">
        <v>59.662498474121094</v>
      </c>
      <c r="H2315">
        <v>0.63999998569488525</v>
      </c>
      <c r="I2315">
        <v>985.1500244140625</v>
      </c>
      <c r="J2315">
        <v>1359</v>
      </c>
    </row>
    <row r="2316" spans="1:10" x14ac:dyDescent="0.25">
      <c r="A2316">
        <v>27443</v>
      </c>
      <c r="B2316" t="str">
        <v>Sobha</v>
      </c>
      <c r="C2316">
        <v>26.012048</v>
      </c>
      <c r="D2316">
        <v>803.8406982421875</v>
      </c>
      <c r="E2316">
        <v>498.89215087890625</v>
      </c>
      <c r="F2316">
        <v>0.620635986328125</v>
      </c>
      <c r="G2316">
        <v>1549.4625244140625</v>
      </c>
      <c r="H2316">
        <v>0.81999999284744263</v>
      </c>
      <c r="I2316">
        <v>16368.5</v>
      </c>
      <c r="J2316">
        <v>1359</v>
      </c>
    </row>
    <row r="2317" spans="1:10" x14ac:dyDescent="0.25">
      <c r="A2317">
        <v>20966</v>
      </c>
      <c r="B2317" t="str">
        <v>Softsol India</v>
      </c>
      <c r="C2317">
        <v>41.665950000000002</v>
      </c>
      <c r="D2317">
        <v>175.33757019042969</v>
      </c>
      <c r="E2317">
        <v>98.973243713378906</v>
      </c>
      <c r="F2317">
        <v>0.5644720196723938</v>
      </c>
      <c r="G2317">
        <v>223.11250305175781</v>
      </c>
      <c r="H2317">
        <v>0</v>
      </c>
      <c r="I2317">
        <v>320.07998657226563</v>
      </c>
      <c r="J2317">
        <v>1292</v>
      </c>
    </row>
    <row r="2318" spans="1:10" x14ac:dyDescent="0.25">
      <c r="A2318">
        <v>25386</v>
      </c>
      <c r="B2318" t="str">
        <v>Solar Industries</v>
      </c>
      <c r="C2318">
        <v>53.900624000000001</v>
      </c>
      <c r="D2318">
        <v>4625.2119140625</v>
      </c>
      <c r="E2318">
        <v>3783.05615234375</v>
      </c>
      <c r="F2318">
        <v>0.817920982837677</v>
      </c>
      <c r="G2318">
        <v>17028.5625</v>
      </c>
      <c r="H2318">
        <v>0.18000000715255737</v>
      </c>
      <c r="I2318">
        <v>152715.09375</v>
      </c>
      <c r="J2318">
        <v>1359</v>
      </c>
    </row>
    <row r="2319" spans="1:10" x14ac:dyDescent="0.25">
      <c r="A2319">
        <v>70281</v>
      </c>
      <c r="B2319" t="str">
        <v>Solara Active</v>
      </c>
      <c r="C2319">
        <v>4.9099060000000003</v>
      </c>
      <c r="D2319">
        <v>680.6461181640625</v>
      </c>
      <c r="E2319">
        <v>382.83245849609375</v>
      </c>
      <c r="F2319">
        <v>0.5624539852142334</v>
      </c>
      <c r="G2319">
        <v>521.63751220703125</v>
      </c>
      <c r="H2319">
        <v>0.82999998331069946</v>
      </c>
      <c r="I2319">
        <v>2315.1298828125</v>
      </c>
      <c r="J2319">
        <v>1359</v>
      </c>
    </row>
    <row r="2320" spans="1:10" x14ac:dyDescent="0.25">
      <c r="A2320">
        <v>4380</v>
      </c>
      <c r="B2320" t="str">
        <v>Solid Stone Co</v>
      </c>
      <c r="C2320">
        <v>18.659977000000001</v>
      </c>
      <c r="D2320">
        <v>33.896160125732422</v>
      </c>
      <c r="E2320">
        <v>8.7431535720825195</v>
      </c>
      <c r="F2320">
        <v>0.25793901085853577</v>
      </c>
      <c r="G2320">
        <v>33.362499237060547</v>
      </c>
      <c r="H2320">
        <v>0.89999997615814209</v>
      </c>
      <c r="I2320">
        <v>18.75</v>
      </c>
      <c r="J2320">
        <v>1097</v>
      </c>
    </row>
    <row r="2321" spans="1:10" x14ac:dyDescent="0.25">
      <c r="A2321">
        <v>3096</v>
      </c>
      <c r="B2321" t="str">
        <v>Solitaire Mach.</v>
      </c>
      <c r="C2321">
        <v>33.637940999999998</v>
      </c>
      <c r="D2321">
        <v>59.165870666503906</v>
      </c>
      <c r="E2321">
        <v>35.048427581787109</v>
      </c>
      <c r="F2321">
        <v>0.5923759937286377</v>
      </c>
      <c r="G2321">
        <v>151.26249694824219</v>
      </c>
      <c r="H2321">
        <v>0.20000000298023224</v>
      </c>
      <c r="I2321">
        <v>68.529998779296875</v>
      </c>
      <c r="J2321">
        <v>1353</v>
      </c>
    </row>
    <row r="2322" spans="1:10" x14ac:dyDescent="0.25">
      <c r="A2322">
        <v>4221</v>
      </c>
      <c r="B2322" t="str">
        <v>Som Datt Finance</v>
      </c>
      <c r="C2322">
        <v>34.660967999999997</v>
      </c>
      <c r="D2322">
        <v>62.945842742919922</v>
      </c>
      <c r="E2322">
        <v>46.061111450195313</v>
      </c>
      <c r="F2322">
        <v>0.7317579984664917</v>
      </c>
      <c r="G2322">
        <v>84.8125</v>
      </c>
      <c r="H2322">
        <v>0</v>
      </c>
      <c r="I2322">
        <v>143.75999450683594</v>
      </c>
      <c r="J2322">
        <v>1266</v>
      </c>
    </row>
    <row r="2323" spans="1:10" x14ac:dyDescent="0.25">
      <c r="A2323">
        <v>4257</v>
      </c>
      <c r="B2323" t="str">
        <v>Som Distilleries</v>
      </c>
      <c r="C2323">
        <v>38.001036999999997</v>
      </c>
      <c r="D2323">
        <v>60.23248291015625</v>
      </c>
      <c r="E2323">
        <v>48.045402526855469</v>
      </c>
      <c r="F2323">
        <v>0.79766601324081421</v>
      </c>
      <c r="G2323">
        <v>158</v>
      </c>
      <c r="H2323">
        <v>0.2199999988079071</v>
      </c>
      <c r="I2323">
        <v>3060.219970703125</v>
      </c>
      <c r="J2323">
        <v>1359</v>
      </c>
    </row>
    <row r="2324" spans="1:10" x14ac:dyDescent="0.25">
      <c r="A2324">
        <v>2996</v>
      </c>
      <c r="B2324" t="str">
        <v>Soma Textiles</v>
      </c>
      <c r="C2324">
        <v>49.016452000000001</v>
      </c>
      <c r="D2324">
        <v>18.431951522827148</v>
      </c>
      <c r="E2324">
        <v>14.879939079284668</v>
      </c>
      <c r="F2324">
        <v>0.80729001760482788</v>
      </c>
      <c r="G2324">
        <v>44.430000305175781</v>
      </c>
      <c r="H2324">
        <v>3.9999999105930328E-2</v>
      </c>
      <c r="I2324">
        <v>143.42999267578125</v>
      </c>
      <c r="J2324">
        <v>1250</v>
      </c>
    </row>
    <row r="2325" spans="1:10" x14ac:dyDescent="0.25">
      <c r="A2325">
        <v>519</v>
      </c>
      <c r="B2325" t="str">
        <v>Somany Ceramics</v>
      </c>
      <c r="C2325">
        <v>17.71754</v>
      </c>
      <c r="D2325">
        <v>540.939208984375</v>
      </c>
      <c r="E2325">
        <v>210.96376037597656</v>
      </c>
      <c r="F2325">
        <v>0.38999500870704651</v>
      </c>
      <c r="G2325">
        <v>568.8499755859375</v>
      </c>
      <c r="H2325">
        <v>0.18000000715255737</v>
      </c>
      <c r="I2325">
        <v>2270.699951171875</v>
      </c>
      <c r="J2325">
        <v>1359</v>
      </c>
    </row>
    <row r="2326" spans="1:10" x14ac:dyDescent="0.25">
      <c r="A2326">
        <v>28239</v>
      </c>
      <c r="B2326" t="str">
        <v>Somi Conv.Belt.</v>
      </c>
      <c r="C2326">
        <v>45.642437999999999</v>
      </c>
      <c r="D2326">
        <v>73.470474243164063</v>
      </c>
      <c r="E2326">
        <v>58.030403137207031</v>
      </c>
      <c r="F2326">
        <v>0.78984701633453369</v>
      </c>
      <c r="G2326">
        <v>153.89999389648438</v>
      </c>
      <c r="H2326">
        <v>0.23999999463558197</v>
      </c>
      <c r="I2326">
        <v>178.8699951171875</v>
      </c>
      <c r="J2326">
        <v>1326</v>
      </c>
    </row>
    <row r="2327" spans="1:10" x14ac:dyDescent="0.25">
      <c r="A2327">
        <v>12490</v>
      </c>
      <c r="B2327" t="str">
        <v>Sonata Software</v>
      </c>
      <c r="C2327">
        <v>23.716729000000001</v>
      </c>
      <c r="D2327">
        <v>364.8262939453125</v>
      </c>
      <c r="E2327">
        <v>202.24978637695313</v>
      </c>
      <c r="F2327">
        <v>0.55437302589416504</v>
      </c>
      <c r="G2327">
        <v>411.82501220703125</v>
      </c>
      <c r="H2327">
        <v>5.9999998658895493E-2</v>
      </c>
      <c r="I2327">
        <v>11292.7099609375</v>
      </c>
      <c r="J2327">
        <v>1359</v>
      </c>
    </row>
    <row r="2328" spans="1:10" x14ac:dyDescent="0.25">
      <c r="A2328">
        <v>2634</v>
      </c>
      <c r="B2328" t="str">
        <v>Source Industrie</v>
      </c>
      <c r="C2328">
        <v>47.944685</v>
      </c>
      <c r="D2328">
        <v>2.1745359897613525</v>
      </c>
      <c r="E2328">
        <v>1.0667049884796143</v>
      </c>
      <c r="F2328">
        <v>0.49054399132728577</v>
      </c>
      <c r="G2328">
        <v>3.9900000095367432</v>
      </c>
      <c r="H2328">
        <v>5.000000074505806E-2</v>
      </c>
      <c r="I2328">
        <v>4.5500001907348633</v>
      </c>
      <c r="J2328">
        <v>194</v>
      </c>
    </row>
    <row r="2329" spans="1:10" x14ac:dyDescent="0.25">
      <c r="A2329">
        <v>13792</v>
      </c>
      <c r="B2329" t="str">
        <v>Source Natural</v>
      </c>
      <c r="C2329">
        <v>19.438330000000001</v>
      </c>
      <c r="D2329">
        <v>129.99258422851563</v>
      </c>
      <c r="E2329">
        <v>43.499942779541016</v>
      </c>
      <c r="F2329">
        <v>0.33463400602340698</v>
      </c>
      <c r="G2329">
        <v>178.72500610351563</v>
      </c>
      <c r="H2329">
        <v>0</v>
      </c>
      <c r="I2329">
        <v>111.33000183105469</v>
      </c>
      <c r="J2329">
        <v>1303</v>
      </c>
    </row>
    <row r="2330" spans="1:10" x14ac:dyDescent="0.25">
      <c r="A2330">
        <v>3758</v>
      </c>
      <c r="B2330" t="str">
        <v>South Asian Ent.</v>
      </c>
      <c r="C2330">
        <v>52.753976000000002</v>
      </c>
      <c r="D2330">
        <v>27.741815567016602</v>
      </c>
      <c r="E2330">
        <v>14.963232040405273</v>
      </c>
      <c r="F2330">
        <v>0.53937500715255737</v>
      </c>
      <c r="G2330">
        <v>38.409999847412109</v>
      </c>
      <c r="H2330">
        <v>0</v>
      </c>
      <c r="I2330">
        <v>15.359999656677246</v>
      </c>
      <c r="J2330">
        <v>563</v>
      </c>
    </row>
    <row r="2331" spans="1:10" x14ac:dyDescent="0.25">
      <c r="A2331">
        <v>6263</v>
      </c>
      <c r="B2331" t="str">
        <v>South Ind.Bank</v>
      </c>
      <c r="C2331">
        <v>21.319400000000002</v>
      </c>
      <c r="D2331">
        <v>15.198356628417969</v>
      </c>
      <c r="E2331">
        <v>8.3897743225097656</v>
      </c>
      <c r="F2331">
        <v>0.55201798677444458</v>
      </c>
      <c r="G2331">
        <v>29.317499160766602</v>
      </c>
      <c r="H2331">
        <v>0</v>
      </c>
      <c r="I2331">
        <v>7587.31005859375</v>
      </c>
      <c r="J2331">
        <v>1359</v>
      </c>
    </row>
    <row r="2332" spans="1:10" x14ac:dyDescent="0.25">
      <c r="A2332">
        <v>3713</v>
      </c>
      <c r="B2332" t="str">
        <v>South. Magnesium</v>
      </c>
      <c r="C2332">
        <v>43.935129000000003</v>
      </c>
      <c r="D2332">
        <v>121.35974884033203</v>
      </c>
      <c r="E2332">
        <v>109.37923431396484</v>
      </c>
      <c r="F2332">
        <v>0.90128099918365479</v>
      </c>
      <c r="G2332">
        <v>120.97499847412109</v>
      </c>
      <c r="H2332">
        <v>0.15999999642372131</v>
      </c>
      <c r="I2332">
        <v>35.700000762939453</v>
      </c>
      <c r="J2332">
        <v>1059</v>
      </c>
    </row>
    <row r="2333" spans="1:10" x14ac:dyDescent="0.25">
      <c r="A2333">
        <v>4348</v>
      </c>
      <c r="B2333" t="str">
        <v>Southern Latex</v>
      </c>
      <c r="C2333">
        <v>20.398596000000001</v>
      </c>
      <c r="D2333">
        <v>18.031284332275391</v>
      </c>
      <c r="E2333">
        <v>7.8819937705993652</v>
      </c>
      <c r="F2333">
        <v>0.43712899088859558</v>
      </c>
      <c r="G2333">
        <v>30.590000152587891</v>
      </c>
      <c r="H2333">
        <v>0</v>
      </c>
      <c r="I2333">
        <v>22.510000228881836</v>
      </c>
      <c r="J2333">
        <v>1002</v>
      </c>
    </row>
    <row r="2334" spans="1:10" x14ac:dyDescent="0.25">
      <c r="A2334">
        <v>2881</v>
      </c>
      <c r="B2334" t="str">
        <v>Sover. Diamonds</v>
      </c>
      <c r="C2334">
        <v>44.227023000000003</v>
      </c>
      <c r="D2334">
        <v>23.015020370483398</v>
      </c>
      <c r="E2334">
        <v>13.828499794006348</v>
      </c>
      <c r="F2334">
        <v>0.60084700584411621</v>
      </c>
      <c r="G2334">
        <v>37.200000762939453</v>
      </c>
      <c r="H2334">
        <v>0.75</v>
      </c>
      <c r="I2334">
        <v>21.020000457763672</v>
      </c>
      <c r="J2334">
        <v>1092</v>
      </c>
    </row>
    <row r="2335" spans="1:10" x14ac:dyDescent="0.25">
      <c r="A2335">
        <v>72314</v>
      </c>
      <c r="B2335" t="str">
        <v>Space Incubatric</v>
      </c>
      <c r="C2335">
        <v>29.042187999999999</v>
      </c>
      <c r="D2335">
        <v>1.7412270307540894</v>
      </c>
      <c r="E2335">
        <v>0.96089398860931396</v>
      </c>
      <c r="F2335">
        <v>0.55184799432754517</v>
      </c>
      <c r="G2335">
        <v>2.0399999618530273</v>
      </c>
      <c r="H2335">
        <v>9.9999997764825821E-3</v>
      </c>
      <c r="I2335">
        <v>7.059999942779541</v>
      </c>
      <c r="J2335">
        <v>1279</v>
      </c>
    </row>
    <row r="2336" spans="1:10" x14ac:dyDescent="0.25">
      <c r="A2336">
        <v>4392</v>
      </c>
      <c r="B2336" t="str">
        <v>Span Divergent</v>
      </c>
      <c r="C2336">
        <v>12.447846</v>
      </c>
      <c r="D2336">
        <v>16.882781982421875</v>
      </c>
      <c r="E2336">
        <v>6.7232627868652344</v>
      </c>
      <c r="F2336">
        <v>0.39823201298713684</v>
      </c>
      <c r="G2336">
        <v>23.399999618530273</v>
      </c>
      <c r="H2336">
        <v>7.0000000298023224E-2</v>
      </c>
      <c r="I2336">
        <v>12.449999809265137</v>
      </c>
      <c r="J2336">
        <v>1051</v>
      </c>
    </row>
    <row r="2337" spans="1:10" x14ac:dyDescent="0.25">
      <c r="A2337">
        <v>12835</v>
      </c>
      <c r="B2337" t="str">
        <v>Sparc Electrex</v>
      </c>
      <c r="C2337">
        <v>15.337845</v>
      </c>
      <c r="D2337">
        <v>17.424114227294922</v>
      </c>
      <c r="E2337">
        <v>9.7019405364990234</v>
      </c>
      <c r="F2337">
        <v>0.55681097507476807</v>
      </c>
      <c r="G2337">
        <v>6.2300000190734863</v>
      </c>
      <c r="H2337">
        <v>0.17000000178813934</v>
      </c>
      <c r="I2337">
        <v>6.3400001525878906</v>
      </c>
      <c r="J2337">
        <v>963</v>
      </c>
    </row>
    <row r="2338" spans="1:10" x14ac:dyDescent="0.25">
      <c r="A2338">
        <v>33406</v>
      </c>
      <c r="B2338" t="str">
        <v>Speciality Rest.</v>
      </c>
      <c r="C2338">
        <v>12.534147000000001</v>
      </c>
      <c r="D2338">
        <v>133.82768249511719</v>
      </c>
      <c r="E2338">
        <v>70.926994323730469</v>
      </c>
      <c r="F2338">
        <v>0.52998697757720947</v>
      </c>
      <c r="G2338">
        <v>128.03750610351563</v>
      </c>
      <c r="H2338">
        <v>0.4699999988079071</v>
      </c>
      <c r="I2338">
        <v>604.1500244140625</v>
      </c>
      <c r="J2338">
        <v>1358</v>
      </c>
    </row>
    <row r="2339" spans="1:10" x14ac:dyDescent="0.25">
      <c r="A2339">
        <v>4279</v>
      </c>
      <c r="B2339" t="str">
        <v>Spectra Industri</v>
      </c>
      <c r="C2339">
        <v>35.074309999999997</v>
      </c>
      <c r="D2339">
        <v>5.3038129806518555</v>
      </c>
      <c r="E2339">
        <v>2.5385959148406982</v>
      </c>
      <c r="F2339">
        <v>0.4786359965801239</v>
      </c>
      <c r="G2339">
        <v>5.9600000381469727</v>
      </c>
      <c r="H2339">
        <v>0</v>
      </c>
      <c r="I2339">
        <v>4.0100002288818359</v>
      </c>
      <c r="J2339">
        <v>1032</v>
      </c>
    </row>
    <row r="2340" spans="1:10" x14ac:dyDescent="0.25">
      <c r="A2340">
        <v>1113</v>
      </c>
      <c r="B2340" t="str">
        <v>Spel Semiconduct</v>
      </c>
      <c r="C2340">
        <v>74.227475999999996</v>
      </c>
      <c r="D2340">
        <v>65.639495849609375</v>
      </c>
      <c r="E2340">
        <v>59.896961212158203</v>
      </c>
      <c r="F2340">
        <v>0.91251397132873535</v>
      </c>
      <c r="G2340">
        <v>126.83750152587891</v>
      </c>
      <c r="H2340">
        <v>0.63999998569488525</v>
      </c>
      <c r="I2340">
        <v>578.1099853515625</v>
      </c>
      <c r="J2340">
        <v>1358</v>
      </c>
    </row>
    <row r="2341" spans="1:10" x14ac:dyDescent="0.25">
      <c r="A2341">
        <v>73406</v>
      </c>
      <c r="B2341" t="str">
        <v>Spencer's Retail</v>
      </c>
      <c r="C2341">
        <v>2.1102940000000001</v>
      </c>
      <c r="D2341">
        <v>82.5445556640625</v>
      </c>
      <c r="E2341">
        <v>16.758333206176758</v>
      </c>
      <c r="F2341">
        <v>0.20302200317382813</v>
      </c>
      <c r="G2341">
        <v>63.665000915527344</v>
      </c>
      <c r="H2341">
        <v>0</v>
      </c>
      <c r="I2341">
        <v>561.34002685546875</v>
      </c>
      <c r="J2341">
        <v>1359</v>
      </c>
    </row>
    <row r="2342" spans="1:10" x14ac:dyDescent="0.25">
      <c r="A2342">
        <v>3168</v>
      </c>
      <c r="B2342" t="str">
        <v>Spenta Intl.</v>
      </c>
      <c r="C2342">
        <v>13.416937000000001</v>
      </c>
      <c r="D2342">
        <v>101.74932861328125</v>
      </c>
      <c r="E2342">
        <v>38.574043273925781</v>
      </c>
      <c r="F2342">
        <v>0.37910899519920349</v>
      </c>
      <c r="G2342">
        <v>119.75</v>
      </c>
      <c r="H2342">
        <v>0.76999998092651367</v>
      </c>
      <c r="I2342">
        <v>33.099998474121094</v>
      </c>
      <c r="J2342">
        <v>1182</v>
      </c>
    </row>
    <row r="2343" spans="1:10" x14ac:dyDescent="0.25">
      <c r="A2343">
        <v>4717</v>
      </c>
      <c r="B2343" t="str">
        <v>Spice IslandsInd</v>
      </c>
      <c r="C2343">
        <v>15.646736000000001</v>
      </c>
      <c r="D2343">
        <v>19.228044509887695</v>
      </c>
      <c r="E2343">
        <v>15.06208324432373</v>
      </c>
      <c r="F2343">
        <v>0.78333902359008789</v>
      </c>
      <c r="G2343">
        <v>43.75</v>
      </c>
      <c r="H2343">
        <v>0</v>
      </c>
      <c r="I2343">
        <v>18.709999084472656</v>
      </c>
      <c r="J2343">
        <v>1089</v>
      </c>
    </row>
    <row r="2344" spans="1:10" x14ac:dyDescent="0.25">
      <c r="A2344">
        <v>3367</v>
      </c>
      <c r="B2344" t="str">
        <v>SpiceJet</v>
      </c>
      <c r="C2344">
        <v>-18.458387999999999</v>
      </c>
      <c r="D2344">
        <v>55.703884124755859</v>
      </c>
      <c r="E2344">
        <v>17.572975158691406</v>
      </c>
      <c r="F2344">
        <v>0.31547099351882935</v>
      </c>
      <c r="G2344">
        <v>41.107498168945313</v>
      </c>
      <c r="H2344">
        <v>0</v>
      </c>
      <c r="I2344">
        <v>5664.89990234375</v>
      </c>
      <c r="J2344">
        <v>1359</v>
      </c>
    </row>
    <row r="2345" spans="1:10" x14ac:dyDescent="0.25">
      <c r="A2345">
        <v>6676</v>
      </c>
      <c r="B2345" t="str">
        <v>Sportking India</v>
      </c>
      <c r="C2345">
        <v>53.139873000000001</v>
      </c>
      <c r="D2345">
        <v>74.446327209472656</v>
      </c>
      <c r="E2345">
        <v>42.326473236083984</v>
      </c>
      <c r="F2345">
        <v>0.5685499906539917</v>
      </c>
      <c r="G2345">
        <v>106.32499694824219</v>
      </c>
      <c r="H2345">
        <v>0.75</v>
      </c>
      <c r="I2345">
        <v>1346.3299560546875</v>
      </c>
      <c r="J2345">
        <v>1340</v>
      </c>
    </row>
    <row r="2346" spans="1:10" x14ac:dyDescent="0.25">
      <c r="A2346">
        <v>5909</v>
      </c>
      <c r="B2346" t="str">
        <v>Square Four Pro.</v>
      </c>
      <c r="C2346">
        <v>2.1998639999999998</v>
      </c>
      <c r="D2346">
        <v>8.2420129776000977</v>
      </c>
      <c r="E2346">
        <v>2.4945619106292725</v>
      </c>
      <c r="F2346">
        <v>0.30266401171684265</v>
      </c>
      <c r="G2346">
        <v>9.9174995422363281</v>
      </c>
      <c r="H2346">
        <v>0</v>
      </c>
      <c r="I2346">
        <v>19.420000076293945</v>
      </c>
      <c r="J2346">
        <v>811</v>
      </c>
    </row>
    <row r="2347" spans="1:10" x14ac:dyDescent="0.25">
      <c r="A2347">
        <v>27483</v>
      </c>
      <c r="B2347" t="str">
        <v>Sr.Rayala.Hypo</v>
      </c>
      <c r="C2347">
        <v>34.079321999999998</v>
      </c>
      <c r="D2347">
        <v>444.72796630859375</v>
      </c>
      <c r="E2347">
        <v>200.12193298339844</v>
      </c>
      <c r="F2347">
        <v>0.44998699426651001</v>
      </c>
      <c r="G2347">
        <v>622.2874755859375</v>
      </c>
      <c r="H2347">
        <v>9.9999997764825821E-3</v>
      </c>
      <c r="I2347">
        <v>1048.4300537109375</v>
      </c>
      <c r="J2347">
        <v>1358</v>
      </c>
    </row>
    <row r="2348" spans="1:10" x14ac:dyDescent="0.25">
      <c r="A2348">
        <v>2909</v>
      </c>
      <c r="B2348" t="str">
        <v>Sreechem Resins</v>
      </c>
      <c r="C2348">
        <v>41.717398000000003</v>
      </c>
      <c r="D2348">
        <v>54.6505126953125</v>
      </c>
      <c r="E2348">
        <v>32.614654541015625</v>
      </c>
      <c r="F2348">
        <v>0.5967860221862793</v>
      </c>
      <c r="G2348">
        <v>36.880001068115234</v>
      </c>
      <c r="H2348">
        <v>0.31000000238418579</v>
      </c>
      <c r="I2348">
        <v>16.090000152587891</v>
      </c>
      <c r="J2348">
        <v>981</v>
      </c>
    </row>
    <row r="2349" spans="1:10" x14ac:dyDescent="0.25">
      <c r="A2349">
        <v>30337</v>
      </c>
      <c r="B2349" t="str">
        <v>Sreeleathers</v>
      </c>
      <c r="C2349">
        <v>5.5304919999999997</v>
      </c>
      <c r="D2349">
        <v>207.1986083984375</v>
      </c>
      <c r="E2349">
        <v>61.371105194091797</v>
      </c>
      <c r="F2349">
        <v>0.29619500041007996</v>
      </c>
      <c r="G2349">
        <v>242.05000305175781</v>
      </c>
      <c r="H2349">
        <v>9.9999997764825821E-3</v>
      </c>
      <c r="I2349">
        <v>560.3499755859375</v>
      </c>
      <c r="J2349">
        <v>1345</v>
      </c>
    </row>
    <row r="2350" spans="1:10" x14ac:dyDescent="0.25">
      <c r="A2350">
        <v>6566</v>
      </c>
      <c r="B2350" t="str">
        <v>Srestha Finvest</v>
      </c>
      <c r="C2350">
        <v>-21.959982</v>
      </c>
      <c r="D2350">
        <v>0.90695202350616455</v>
      </c>
      <c r="E2350">
        <v>0.56907200813293457</v>
      </c>
      <c r="F2350">
        <v>0.62745499610900879</v>
      </c>
      <c r="G2350">
        <v>0.46500000357627869</v>
      </c>
      <c r="H2350">
        <v>0.40000000596046448</v>
      </c>
      <c r="I2350">
        <v>75.44000244140625</v>
      </c>
      <c r="J2350">
        <v>1159</v>
      </c>
    </row>
    <row r="2351" spans="1:10" x14ac:dyDescent="0.25">
      <c r="A2351">
        <v>6113</v>
      </c>
      <c r="B2351" t="str">
        <v>Sri Adhik. Bros.</v>
      </c>
      <c r="C2351">
        <v>131.48554799999999</v>
      </c>
      <c r="D2351">
        <v>223.34294128417969</v>
      </c>
      <c r="E2351">
        <v>436.63821411132813</v>
      </c>
      <c r="F2351">
        <v>1.9550119638442993</v>
      </c>
      <c r="G2351">
        <v>673.5875244140625</v>
      </c>
      <c r="H2351">
        <v>0</v>
      </c>
      <c r="I2351">
        <v>1729.6800537109375</v>
      </c>
      <c r="J2351">
        <v>920</v>
      </c>
    </row>
    <row r="2352" spans="1:10" x14ac:dyDescent="0.25">
      <c r="A2352">
        <v>5516</v>
      </c>
      <c r="B2352" t="str">
        <v>Sri Havisha</v>
      </c>
      <c r="C2352">
        <v>26.746485</v>
      </c>
      <c r="D2352">
        <v>1.8967599868774414</v>
      </c>
      <c r="E2352">
        <v>0.78045797348022461</v>
      </c>
      <c r="F2352">
        <v>0.41146901249885559</v>
      </c>
      <c r="G2352">
        <v>2.2674999237060547</v>
      </c>
      <c r="H2352">
        <v>0.70999997854232788</v>
      </c>
      <c r="I2352">
        <v>67.949996948242188</v>
      </c>
      <c r="J2352">
        <v>1294</v>
      </c>
    </row>
    <row r="2353" spans="1:10" x14ac:dyDescent="0.25">
      <c r="A2353">
        <v>4270</v>
      </c>
      <c r="B2353" t="str">
        <v>Sri KPR Inds.</v>
      </c>
      <c r="C2353">
        <v>17.018678000000001</v>
      </c>
      <c r="D2353">
        <v>21.831727981567383</v>
      </c>
      <c r="E2353">
        <v>8.1743679046630859</v>
      </c>
      <c r="F2353">
        <v>0.37442600727081299</v>
      </c>
      <c r="G2353">
        <v>24.815000534057617</v>
      </c>
      <c r="H2353">
        <v>0</v>
      </c>
      <c r="I2353">
        <v>50.380001068115234</v>
      </c>
      <c r="J2353">
        <v>1274</v>
      </c>
    </row>
    <row r="2354" spans="1:10" x14ac:dyDescent="0.25">
      <c r="A2354">
        <v>4696</v>
      </c>
      <c r="B2354" t="str">
        <v>Sri Nacha. Cott.</v>
      </c>
      <c r="C2354">
        <v>21.131489999999999</v>
      </c>
      <c r="D2354">
        <v>37.037052154541016</v>
      </c>
      <c r="E2354">
        <v>12.654052734375</v>
      </c>
      <c r="F2354">
        <v>0.34165900945663452</v>
      </c>
      <c r="G2354">
        <v>34</v>
      </c>
      <c r="H2354">
        <v>0.88999998569488525</v>
      </c>
      <c r="I2354">
        <v>14.619999885559082</v>
      </c>
      <c r="J2354">
        <v>1137</v>
      </c>
    </row>
    <row r="2355" spans="1:10" x14ac:dyDescent="0.25">
      <c r="A2355">
        <v>1375</v>
      </c>
      <c r="B2355" t="str">
        <v>St Bk of India</v>
      </c>
      <c r="C2355">
        <v>15.988272</v>
      </c>
      <c r="D2355">
        <v>526.8997802734375</v>
      </c>
      <c r="E2355">
        <v>200.02824401855469</v>
      </c>
      <c r="F2355">
        <v>0.37963199615478516</v>
      </c>
      <c r="G2355">
        <v>788.0625</v>
      </c>
      <c r="H2355">
        <v>0</v>
      </c>
      <c r="I2355">
        <v>700314.9375</v>
      </c>
      <c r="J2355">
        <v>1359</v>
      </c>
    </row>
    <row r="2356" spans="1:10" x14ac:dyDescent="0.25">
      <c r="A2356">
        <v>527</v>
      </c>
      <c r="B2356" t="str">
        <v>Standard Battery</v>
      </c>
      <c r="C2356">
        <v>65.816738999999998</v>
      </c>
      <c r="D2356">
        <v>39.346672058105469</v>
      </c>
      <c r="E2356">
        <v>27.030134201049805</v>
      </c>
      <c r="F2356">
        <v>0.68697398900985718</v>
      </c>
      <c r="G2356">
        <v>65.227500915527344</v>
      </c>
      <c r="H2356">
        <v>0</v>
      </c>
      <c r="I2356">
        <v>33.979999542236328</v>
      </c>
      <c r="J2356">
        <v>1320</v>
      </c>
    </row>
    <row r="2357" spans="1:10" x14ac:dyDescent="0.25">
      <c r="A2357">
        <v>529</v>
      </c>
      <c r="B2357" t="str">
        <v>Standard Inds.</v>
      </c>
      <c r="C2357">
        <v>9.5121880000000001</v>
      </c>
      <c r="D2357">
        <v>20.258764266967773</v>
      </c>
      <c r="E2357">
        <v>6.9377741813659668</v>
      </c>
      <c r="F2357">
        <v>0.34245800971984863</v>
      </c>
      <c r="G2357">
        <v>19.702499389648438</v>
      </c>
      <c r="H2357">
        <v>0.12999999523162842</v>
      </c>
      <c r="I2357">
        <v>123.05999755859375</v>
      </c>
      <c r="J2357">
        <v>1333</v>
      </c>
    </row>
    <row r="2358" spans="1:10" x14ac:dyDescent="0.25">
      <c r="A2358">
        <v>1092</v>
      </c>
      <c r="B2358" t="str">
        <v>Stanrose Mafat.</v>
      </c>
      <c r="C2358">
        <v>-0.57986300000000002</v>
      </c>
      <c r="D2358">
        <v>82.910400390625</v>
      </c>
      <c r="E2358">
        <v>7.6582279205322266</v>
      </c>
      <c r="F2358">
        <v>9.2367999255657196E-2</v>
      </c>
      <c r="G2358">
        <v>77.5</v>
      </c>
      <c r="H2358">
        <v>9.9999997764825821E-3</v>
      </c>
      <c r="I2358">
        <v>30.569999694824219</v>
      </c>
      <c r="J2358">
        <v>1328</v>
      </c>
    </row>
    <row r="2359" spans="1:10" x14ac:dyDescent="0.25">
      <c r="A2359">
        <v>27763</v>
      </c>
      <c r="B2359" t="str">
        <v>Star Cement</v>
      </c>
      <c r="C2359">
        <v>16.072769999999998</v>
      </c>
      <c r="D2359">
        <v>134.27934265136719</v>
      </c>
      <c r="E2359">
        <v>51.574859619140625</v>
      </c>
      <c r="F2359">
        <v>0.384086012840271</v>
      </c>
      <c r="G2359">
        <v>210.83749389648438</v>
      </c>
      <c r="H2359">
        <v>5.000000074505806E-2</v>
      </c>
      <c r="I2359">
        <v>8455.4501953125</v>
      </c>
      <c r="J2359">
        <v>1359</v>
      </c>
    </row>
    <row r="2360" spans="1:10" x14ac:dyDescent="0.25">
      <c r="A2360">
        <v>5413</v>
      </c>
      <c r="B2360" t="str">
        <v>Star Delta Trans</v>
      </c>
      <c r="C2360">
        <v>38.286282999999997</v>
      </c>
      <c r="D2360">
        <v>353.2156982421875</v>
      </c>
      <c r="E2360">
        <v>332.72015380859375</v>
      </c>
      <c r="F2360">
        <v>0.9419739842414856</v>
      </c>
      <c r="G2360">
        <v>738.5</v>
      </c>
      <c r="H2360">
        <v>2.9999999329447746E-2</v>
      </c>
      <c r="I2360">
        <v>217.80999755859375</v>
      </c>
      <c r="J2360">
        <v>1214</v>
      </c>
    </row>
    <row r="2361" spans="1:10" x14ac:dyDescent="0.25">
      <c r="A2361">
        <v>2165</v>
      </c>
      <c r="B2361" t="str">
        <v>Star Paper Mills</v>
      </c>
      <c r="C2361">
        <v>7.6060189999999999</v>
      </c>
      <c r="D2361">
        <v>166.93045043945313</v>
      </c>
      <c r="E2361">
        <v>48.659786224365234</v>
      </c>
      <c r="F2361">
        <v>0.29149699211120605</v>
      </c>
      <c r="G2361">
        <v>171.35000610351563</v>
      </c>
      <c r="H2361">
        <v>0</v>
      </c>
      <c r="I2361">
        <v>266.92999267578125</v>
      </c>
      <c r="J2361">
        <v>1357</v>
      </c>
    </row>
    <row r="2362" spans="1:10" x14ac:dyDescent="0.25">
      <c r="A2362">
        <v>7012</v>
      </c>
      <c r="B2362" t="str">
        <v>Starcom Info.</v>
      </c>
      <c r="C2362">
        <v>-24.603462</v>
      </c>
      <c r="D2362">
        <v>118.18679046630859</v>
      </c>
      <c r="E2362">
        <v>40.815601348876953</v>
      </c>
      <c r="F2362">
        <v>0.34534800052642822</v>
      </c>
      <c r="G2362">
        <v>58.299999237060547</v>
      </c>
      <c r="H2362">
        <v>0</v>
      </c>
      <c r="I2362">
        <v>28.899999618530273</v>
      </c>
      <c r="J2362">
        <v>789</v>
      </c>
    </row>
    <row r="2363" spans="1:10" x14ac:dyDescent="0.25">
      <c r="A2363">
        <v>70386</v>
      </c>
      <c r="B2363" t="str">
        <v>Starlineps Enter</v>
      </c>
      <c r="C2363">
        <v>24.554362000000001</v>
      </c>
      <c r="D2363">
        <v>13.125229835510254</v>
      </c>
      <c r="E2363">
        <v>6.1363778114318848</v>
      </c>
      <c r="F2363">
        <v>0.46752500534057617</v>
      </c>
      <c r="G2363">
        <v>6.8324999809265137</v>
      </c>
      <c r="H2363">
        <v>0</v>
      </c>
      <c r="I2363">
        <v>177.41999816894531</v>
      </c>
      <c r="J2363">
        <v>1157</v>
      </c>
    </row>
    <row r="2364" spans="1:10" x14ac:dyDescent="0.25">
      <c r="A2364">
        <v>45167</v>
      </c>
      <c r="B2364" t="str">
        <v>Starlit Power</v>
      </c>
      <c r="C2364">
        <v>-23.384097000000001</v>
      </c>
      <c r="D2364">
        <v>10.044432640075684</v>
      </c>
      <c r="E2364">
        <v>4.6322331428527832</v>
      </c>
      <c r="F2364">
        <v>0.46117401123046875</v>
      </c>
      <c r="G2364">
        <v>3.5899999141693115</v>
      </c>
      <c r="H2364">
        <v>0</v>
      </c>
      <c r="I2364">
        <v>3.6099998950958252</v>
      </c>
      <c r="J2364">
        <v>902</v>
      </c>
    </row>
    <row r="2365" spans="1:10" x14ac:dyDescent="0.25">
      <c r="A2365">
        <v>4500</v>
      </c>
      <c r="B2365" t="str">
        <v>Starlite Comp.</v>
      </c>
      <c r="C2365">
        <v>-13.051048</v>
      </c>
      <c r="D2365">
        <v>3.3917019367218018</v>
      </c>
      <c r="E2365">
        <v>1.7083590030670166</v>
      </c>
      <c r="F2365">
        <v>0.50368797779083252</v>
      </c>
      <c r="G2365">
        <v>3.6400001049041748</v>
      </c>
      <c r="H2365">
        <v>0</v>
      </c>
      <c r="I2365">
        <v>6.2199997901916504</v>
      </c>
      <c r="J2365">
        <v>918</v>
      </c>
    </row>
    <row r="2366" spans="1:10" x14ac:dyDescent="0.25">
      <c r="A2366">
        <v>4547</v>
      </c>
      <c r="B2366" t="str">
        <v>Starlog Enterp.</v>
      </c>
      <c r="C2366">
        <v>24.755870999999999</v>
      </c>
      <c r="D2366">
        <v>25.726490020751953</v>
      </c>
      <c r="E2366">
        <v>17.827722549438477</v>
      </c>
      <c r="F2366">
        <v>0.69297099113464355</v>
      </c>
      <c r="G2366">
        <v>77.040000915527344</v>
      </c>
      <c r="H2366">
        <v>0.23999999463558197</v>
      </c>
      <c r="I2366">
        <v>112.18000030517578</v>
      </c>
      <c r="J2366">
        <v>1304</v>
      </c>
    </row>
    <row r="2367" spans="1:10" x14ac:dyDescent="0.25">
      <c r="A2367">
        <v>19912</v>
      </c>
      <c r="B2367" t="str">
        <v>Starteck Fin.</v>
      </c>
      <c r="C2367">
        <v>50.174000999999997</v>
      </c>
      <c r="D2367">
        <v>158.699462890625</v>
      </c>
      <c r="E2367">
        <v>88.850730895996094</v>
      </c>
      <c r="F2367">
        <v>0.5598679780960083</v>
      </c>
      <c r="G2367">
        <v>289.86248779296875</v>
      </c>
      <c r="H2367">
        <v>0.81999999284744263</v>
      </c>
      <c r="I2367">
        <v>284.27999877929688</v>
      </c>
      <c r="J2367">
        <v>1276</v>
      </c>
    </row>
    <row r="2368" spans="1:10" x14ac:dyDescent="0.25">
      <c r="A2368">
        <v>1338</v>
      </c>
      <c r="B2368" t="str">
        <v>Steel Str. Wheel</v>
      </c>
      <c r="C2368">
        <v>23.448937000000001</v>
      </c>
      <c r="D2368">
        <v>157.20133972167969</v>
      </c>
      <c r="E2368">
        <v>72.135932922363281</v>
      </c>
      <c r="F2368">
        <v>0.45887601375579834</v>
      </c>
      <c r="G2368">
        <v>265.67498779296875</v>
      </c>
      <c r="H2368">
        <v>0.70999997854232788</v>
      </c>
      <c r="I2368">
        <v>4100.56005859375</v>
      </c>
      <c r="J2368">
        <v>1359</v>
      </c>
    </row>
    <row r="2369" spans="1:10" x14ac:dyDescent="0.25">
      <c r="A2369">
        <v>3496</v>
      </c>
      <c r="B2369" t="str">
        <v>Steelcast</v>
      </c>
      <c r="C2369">
        <v>41.040982999999997</v>
      </c>
      <c r="D2369">
        <v>432.23553466796875</v>
      </c>
      <c r="E2369">
        <v>268.26278686523438</v>
      </c>
      <c r="F2369">
        <v>0.62063997983932495</v>
      </c>
      <c r="G2369">
        <v>1083.9124755859375</v>
      </c>
      <c r="H2369">
        <v>5.000000074505806E-2</v>
      </c>
      <c r="I2369">
        <v>2151.2099609375</v>
      </c>
      <c r="J2369">
        <v>1355</v>
      </c>
    </row>
    <row r="2370" spans="1:10" x14ac:dyDescent="0.25">
      <c r="A2370">
        <v>3086</v>
      </c>
      <c r="B2370" t="str">
        <v>Steelco Gujarat</v>
      </c>
      <c r="C2370">
        <v>-4.8641620000000003</v>
      </c>
      <c r="D2370">
        <v>1.9139059782028198</v>
      </c>
      <c r="E2370">
        <v>0.50070202350616455</v>
      </c>
      <c r="F2370">
        <v>0.26161301136016846</v>
      </c>
      <c r="G2370">
        <v>1.7599999904632568</v>
      </c>
      <c r="H2370">
        <v>0</v>
      </c>
      <c r="I2370">
        <v>7.4899997711181641</v>
      </c>
      <c r="J2370">
        <v>192</v>
      </c>
    </row>
    <row r="2371" spans="1:10" x14ac:dyDescent="0.25">
      <c r="A2371">
        <v>3097</v>
      </c>
      <c r="B2371" t="str">
        <v>Stellant Secu.</v>
      </c>
      <c r="C2371">
        <v>82.775682000000003</v>
      </c>
      <c r="D2371">
        <v>76.607330322265625</v>
      </c>
      <c r="E2371">
        <v>58.787155151367188</v>
      </c>
      <c r="F2371">
        <v>0.76738297939300537</v>
      </c>
      <c r="G2371">
        <v>229.25</v>
      </c>
      <c r="H2371">
        <v>0.95999997854232788</v>
      </c>
      <c r="I2371">
        <v>16.979999542236328</v>
      </c>
      <c r="J2371">
        <v>264</v>
      </c>
    </row>
    <row r="2372" spans="1:10" x14ac:dyDescent="0.25">
      <c r="A2372">
        <v>13832</v>
      </c>
      <c r="B2372" t="str">
        <v>Step Two Corp.</v>
      </c>
      <c r="C2372">
        <v>34.385877999999998</v>
      </c>
      <c r="D2372">
        <v>21.422685623168945</v>
      </c>
      <c r="E2372">
        <v>11.77276611328125</v>
      </c>
      <c r="F2372">
        <v>0.54954701662063599</v>
      </c>
      <c r="G2372">
        <v>35.740001678466797</v>
      </c>
      <c r="H2372">
        <v>0</v>
      </c>
      <c r="I2372">
        <v>15.430000305175781</v>
      </c>
      <c r="J2372">
        <v>891</v>
      </c>
    </row>
    <row r="2373" spans="1:10" x14ac:dyDescent="0.25">
      <c r="A2373">
        <v>2314</v>
      </c>
      <c r="B2373" t="str">
        <v>Stephanotis Fin.</v>
      </c>
      <c r="C2373">
        <v>-5.9987940000000002</v>
      </c>
      <c r="D2373">
        <v>32.76800537109375</v>
      </c>
      <c r="E2373">
        <v>8.1748571395874023</v>
      </c>
      <c r="F2373">
        <v>0.24947699904441833</v>
      </c>
      <c r="G2373">
        <v>34.200000762939453</v>
      </c>
      <c r="H2373">
        <v>3.9999999105930328E-2</v>
      </c>
      <c r="I2373">
        <v>20.950000762939453</v>
      </c>
      <c r="J2373">
        <v>583</v>
      </c>
    </row>
    <row r="2374" spans="1:10" x14ac:dyDescent="0.25">
      <c r="A2374">
        <v>74090</v>
      </c>
      <c r="B2374" t="str">
        <v>Sterling &amp; Wils.</v>
      </c>
      <c r="C2374">
        <v>-0.89612499999999995</v>
      </c>
      <c r="D2374">
        <v>350.2650146484375</v>
      </c>
      <c r="E2374">
        <v>144.072021484375</v>
      </c>
      <c r="F2374">
        <v>0.41132301092147827</v>
      </c>
      <c r="G2374">
        <v>315.79998779296875</v>
      </c>
      <c r="H2374">
        <v>0.61000001430511475</v>
      </c>
      <c r="I2374">
        <v>7264.009765625</v>
      </c>
      <c r="J2374">
        <v>1359</v>
      </c>
    </row>
    <row r="2375" spans="1:10" x14ac:dyDescent="0.25">
      <c r="A2375">
        <v>5110</v>
      </c>
      <c r="B2375" t="str">
        <v>Sterling Tools</v>
      </c>
      <c r="C2375">
        <v>9.3224769999999992</v>
      </c>
      <c r="D2375">
        <v>287.54745483398438</v>
      </c>
      <c r="E2375">
        <v>119.42526245117188</v>
      </c>
      <c r="F2375">
        <v>0.41532400250434875</v>
      </c>
      <c r="G2375">
        <v>354.85000610351563</v>
      </c>
      <c r="H2375">
        <v>0.27000001072883606</v>
      </c>
      <c r="I2375">
        <v>1258.489990234375</v>
      </c>
      <c r="J2375">
        <v>1353</v>
      </c>
    </row>
    <row r="2376" spans="1:10" x14ac:dyDescent="0.25">
      <c r="A2376">
        <v>534</v>
      </c>
      <c r="B2376" t="str">
        <v>Stovec Inds.</v>
      </c>
      <c r="C2376">
        <v>3.9401519999999999</v>
      </c>
      <c r="D2376">
        <v>2413.852294921875</v>
      </c>
      <c r="E2376">
        <v>435.46685791015625</v>
      </c>
      <c r="F2376">
        <v>0.18040299415588379</v>
      </c>
      <c r="G2376">
        <v>2527.2373046875</v>
      </c>
      <c r="H2376">
        <v>0</v>
      </c>
      <c r="I2376">
        <v>523.72998046875</v>
      </c>
      <c r="J2376">
        <v>1359</v>
      </c>
    </row>
    <row r="2377" spans="1:10" x14ac:dyDescent="0.25">
      <c r="A2377">
        <v>16996</v>
      </c>
      <c r="B2377" t="str">
        <v>Strides Pharma</v>
      </c>
      <c r="C2377">
        <v>31.918711999999999</v>
      </c>
      <c r="D2377">
        <v>305.5299072265625</v>
      </c>
      <c r="E2377">
        <v>177.39413452148438</v>
      </c>
      <c r="F2377">
        <v>0.58061099052429199</v>
      </c>
      <c r="G2377">
        <v>851</v>
      </c>
      <c r="H2377">
        <v>0.43999999761581421</v>
      </c>
      <c r="I2377">
        <v>7784.97998046875</v>
      </c>
      <c r="J2377">
        <v>1359</v>
      </c>
    </row>
    <row r="2378" spans="1:10" x14ac:dyDescent="0.25">
      <c r="A2378">
        <v>30439</v>
      </c>
      <c r="B2378" t="str">
        <v>String Metaverse</v>
      </c>
      <c r="C2378">
        <v>93.170411999999999</v>
      </c>
      <c r="D2378">
        <v>12.054335594177246</v>
      </c>
      <c r="E2378">
        <v>29.253807067871094</v>
      </c>
      <c r="F2378">
        <v>2.4268279075622559</v>
      </c>
      <c r="G2378">
        <v>171.44999694824219</v>
      </c>
      <c r="H2378">
        <v>2.9999999329447746E-2</v>
      </c>
      <c r="I2378">
        <v>1996.22998046875</v>
      </c>
      <c r="J2378">
        <v>316</v>
      </c>
    </row>
    <row r="2379" spans="1:10" x14ac:dyDescent="0.25">
      <c r="A2379">
        <v>5169</v>
      </c>
      <c r="B2379" t="str">
        <v>Sturdy Industrie</v>
      </c>
      <c r="C2379">
        <v>-0.479825</v>
      </c>
      <c r="D2379">
        <v>0.55227601528167725</v>
      </c>
      <c r="E2379">
        <v>0.29031598567962646</v>
      </c>
      <c r="F2379">
        <v>0.52567201852798462</v>
      </c>
      <c r="G2379">
        <v>0.2824999988079071</v>
      </c>
      <c r="H2379">
        <v>0</v>
      </c>
      <c r="I2379">
        <v>4.2399997711181641</v>
      </c>
      <c r="J2379">
        <v>771</v>
      </c>
    </row>
    <row r="2380" spans="1:10" x14ac:dyDescent="0.25">
      <c r="A2380">
        <v>4888</v>
      </c>
      <c r="B2380" t="str">
        <v>Stylam Industrie</v>
      </c>
      <c r="C2380">
        <v>35.650221000000002</v>
      </c>
      <c r="D2380">
        <v>1162.45361328125</v>
      </c>
      <c r="E2380">
        <v>609.85211181640625</v>
      </c>
      <c r="F2380">
        <v>0.52462500333786011</v>
      </c>
      <c r="G2380">
        <v>1666.574951171875</v>
      </c>
      <c r="H2380">
        <v>5.000000074505806E-2</v>
      </c>
      <c r="I2380">
        <v>2831.93994140625</v>
      </c>
      <c r="J2380">
        <v>1359</v>
      </c>
    </row>
    <row r="2381" spans="1:10" x14ac:dyDescent="0.25">
      <c r="A2381">
        <v>866</v>
      </c>
      <c r="B2381" t="str">
        <v>Styrenix Perfor.</v>
      </c>
      <c r="C2381">
        <v>28.790972</v>
      </c>
      <c r="D2381">
        <v>1336.068115234375</v>
      </c>
      <c r="E2381">
        <v>710.907470703125</v>
      </c>
      <c r="F2381">
        <v>0.5320889949798584</v>
      </c>
      <c r="G2381">
        <v>3294.35009765625</v>
      </c>
      <c r="H2381">
        <v>3.9999999105930328E-2</v>
      </c>
      <c r="I2381">
        <v>5735.919921875</v>
      </c>
      <c r="J2381">
        <v>1350</v>
      </c>
    </row>
    <row r="2382" spans="1:10" x14ac:dyDescent="0.25">
      <c r="A2382">
        <v>14155</v>
      </c>
      <c r="B2382" t="str">
        <v>Subex</v>
      </c>
      <c r="C2382">
        <v>15.592806</v>
      </c>
      <c r="D2382">
        <v>29.960735321044922</v>
      </c>
      <c r="E2382">
        <v>14.537032127380371</v>
      </c>
      <c r="F2382">
        <v>0.48520299792289734</v>
      </c>
      <c r="G2382">
        <v>13.647500038146973</v>
      </c>
      <c r="H2382">
        <v>9.0000003576278687E-2</v>
      </c>
      <c r="I2382">
        <v>748.57000732421875</v>
      </c>
      <c r="J2382">
        <v>1349</v>
      </c>
    </row>
    <row r="2383" spans="1:10" x14ac:dyDescent="0.25">
      <c r="A2383">
        <v>1121</v>
      </c>
      <c r="B2383" t="str">
        <v>Subros</v>
      </c>
      <c r="C2383">
        <v>24.462323000000001</v>
      </c>
      <c r="D2383">
        <v>403.8201904296875</v>
      </c>
      <c r="E2383">
        <v>164.51644897460938</v>
      </c>
      <c r="F2383">
        <v>0.40740001201629639</v>
      </c>
      <c r="G2383">
        <v>938.82501220703125</v>
      </c>
      <c r="H2383">
        <v>9.9999997764825821E-3</v>
      </c>
      <c r="I2383">
        <v>5957.97998046875</v>
      </c>
      <c r="J2383">
        <v>1359</v>
      </c>
    </row>
    <row r="2384" spans="1:10" x14ac:dyDescent="0.25">
      <c r="A2384">
        <v>808</v>
      </c>
      <c r="B2384" t="str">
        <v>Sudarshan Chem.</v>
      </c>
      <c r="C2384">
        <v>20.923199</v>
      </c>
      <c r="D2384">
        <v>602.45819091796875</v>
      </c>
      <c r="E2384">
        <v>224.72032165527344</v>
      </c>
      <c r="F2384">
        <v>0.37300598621368408</v>
      </c>
      <c r="G2384">
        <v>1248.375</v>
      </c>
      <c r="H2384">
        <v>0.5899999737739563</v>
      </c>
      <c r="I2384">
        <v>9773.2900390625</v>
      </c>
      <c r="J2384">
        <v>1359</v>
      </c>
    </row>
    <row r="2385" spans="1:10" x14ac:dyDescent="0.25">
      <c r="A2385">
        <v>3478</v>
      </c>
      <c r="B2385" t="str">
        <v>Suditi Industrie</v>
      </c>
      <c r="C2385">
        <v>26.378951000000001</v>
      </c>
      <c r="D2385">
        <v>21.553865432739258</v>
      </c>
      <c r="E2385">
        <v>11.690449714660645</v>
      </c>
      <c r="F2385">
        <v>0.54238301515579224</v>
      </c>
      <c r="G2385">
        <v>52.877498626708984</v>
      </c>
      <c r="H2385">
        <v>0.23000000417232513</v>
      </c>
      <c r="I2385">
        <v>176.42999267578125</v>
      </c>
      <c r="J2385">
        <v>1319</v>
      </c>
    </row>
    <row r="2386" spans="1:10" x14ac:dyDescent="0.25">
      <c r="A2386">
        <v>4529</v>
      </c>
      <c r="B2386" t="str">
        <v>Sugal &amp; Damani</v>
      </c>
      <c r="C2386">
        <v>58.7836</v>
      </c>
      <c r="D2386">
        <v>25.906261444091797</v>
      </c>
      <c r="E2386">
        <v>22.456474304199219</v>
      </c>
      <c r="F2386">
        <v>0.86683601140975952</v>
      </c>
      <c r="G2386">
        <v>136.44500732421875</v>
      </c>
      <c r="H2386">
        <v>0.11999999731779099</v>
      </c>
      <c r="I2386">
        <v>83.680000305175781</v>
      </c>
      <c r="J2386">
        <v>1113</v>
      </c>
    </row>
    <row r="2387" spans="1:10" x14ac:dyDescent="0.25">
      <c r="A2387">
        <v>26398</v>
      </c>
      <c r="B2387" t="str">
        <v>Sujala Trading &amp;</v>
      </c>
      <c r="C2387">
        <v>32.086621999999998</v>
      </c>
      <c r="D2387">
        <v>28.704626083374023</v>
      </c>
      <c r="E2387">
        <v>19.447719573974609</v>
      </c>
      <c r="F2387">
        <v>0.67751199007034302</v>
      </c>
      <c r="G2387">
        <v>68.797500610351563</v>
      </c>
      <c r="H2387">
        <v>0.36000001430511475</v>
      </c>
      <c r="I2387">
        <v>37.740001678466797</v>
      </c>
      <c r="J2387">
        <v>958</v>
      </c>
    </row>
    <row r="2388" spans="1:10" x14ac:dyDescent="0.25">
      <c r="A2388">
        <v>1928</v>
      </c>
      <c r="B2388" t="str">
        <v>Sukhjit Starch</v>
      </c>
      <c r="C2388">
        <v>12.988830999999999</v>
      </c>
      <c r="D2388">
        <v>183.4678955078125</v>
      </c>
      <c r="E2388">
        <v>65.698371887207031</v>
      </c>
      <c r="F2388">
        <v>0.35809201002120972</v>
      </c>
      <c r="G2388">
        <v>193.10000610351563</v>
      </c>
      <c r="H2388">
        <v>0.61000001430511475</v>
      </c>
      <c r="I2388">
        <v>601.5999755859375</v>
      </c>
      <c r="J2388">
        <v>1359</v>
      </c>
    </row>
    <row r="2389" spans="1:10" x14ac:dyDescent="0.25">
      <c r="A2389">
        <v>24471</v>
      </c>
      <c r="B2389" t="str">
        <v>Sulabh Engineers</v>
      </c>
      <c r="C2389">
        <v>34.296987999999999</v>
      </c>
      <c r="D2389">
        <v>3.9927980899810791</v>
      </c>
      <c r="E2389">
        <v>2.0867490768432617</v>
      </c>
      <c r="F2389">
        <v>0.52262800931930542</v>
      </c>
      <c r="G2389">
        <v>3.5099999904632568</v>
      </c>
      <c r="H2389">
        <v>1.9999999552965164E-2</v>
      </c>
      <c r="I2389">
        <v>35.569999694824219</v>
      </c>
      <c r="J2389">
        <v>1300</v>
      </c>
    </row>
    <row r="2390" spans="1:10" x14ac:dyDescent="0.25">
      <c r="A2390">
        <v>5033</v>
      </c>
      <c r="B2390" t="str">
        <v>Sumedha Fiscal</v>
      </c>
      <c r="C2390">
        <v>22.804072000000001</v>
      </c>
      <c r="D2390">
        <v>51.680015563964844</v>
      </c>
      <c r="E2390">
        <v>31.127571105957031</v>
      </c>
      <c r="F2390">
        <v>0.60231399536132813</v>
      </c>
      <c r="G2390">
        <v>61.577499389648438</v>
      </c>
      <c r="H2390">
        <v>0</v>
      </c>
      <c r="I2390">
        <v>48.709999084472656</v>
      </c>
      <c r="J2390">
        <v>1356</v>
      </c>
    </row>
    <row r="2391" spans="1:10" x14ac:dyDescent="0.25">
      <c r="A2391">
        <v>2705</v>
      </c>
      <c r="B2391" t="str">
        <v>Sumeet Industrie</v>
      </c>
      <c r="C2391">
        <v>67.327358000000004</v>
      </c>
      <c r="D2391">
        <v>4.9317002296447754</v>
      </c>
      <c r="E2391">
        <v>3.2897648811340332</v>
      </c>
      <c r="F2391">
        <v>0.66706502437591553</v>
      </c>
      <c r="G2391">
        <v>53.955001831054688</v>
      </c>
      <c r="H2391">
        <v>0</v>
      </c>
      <c r="I2391">
        <v>29.100000381469727</v>
      </c>
      <c r="J2391">
        <v>1009</v>
      </c>
    </row>
    <row r="2392" spans="1:10" x14ac:dyDescent="0.25">
      <c r="A2392">
        <v>5083</v>
      </c>
      <c r="B2392" t="str">
        <v>Sumeru Industrie</v>
      </c>
      <c r="C2392">
        <v>7.5248530000000002</v>
      </c>
      <c r="D2392">
        <v>1.7519279718399048</v>
      </c>
      <c r="E2392">
        <v>0.65434998273849487</v>
      </c>
      <c r="F2392">
        <v>0.37350299954414368</v>
      </c>
      <c r="G2392">
        <v>2.0750000476837158</v>
      </c>
      <c r="H2392">
        <v>0</v>
      </c>
      <c r="I2392">
        <v>14.689999580383301</v>
      </c>
      <c r="J2392">
        <v>1258</v>
      </c>
    </row>
    <row r="2393" spans="1:10" x14ac:dyDescent="0.25">
      <c r="A2393">
        <v>23986</v>
      </c>
      <c r="B2393" t="str">
        <v>Sumitomo Chemi.</v>
      </c>
      <c r="C2393">
        <v>17.407579999999999</v>
      </c>
      <c r="D2393">
        <v>404.5711669921875</v>
      </c>
      <c r="E2393">
        <v>91.205352783203125</v>
      </c>
      <c r="F2393">
        <v>0.22543700039386749</v>
      </c>
      <c r="G2393">
        <v>499.10000610351563</v>
      </c>
      <c r="H2393">
        <v>9.9999997764825821E-3</v>
      </c>
      <c r="I2393">
        <v>25059.609375</v>
      </c>
      <c r="J2393">
        <v>1341</v>
      </c>
    </row>
    <row r="2394" spans="1:10" x14ac:dyDescent="0.25">
      <c r="A2394">
        <v>15108</v>
      </c>
      <c r="B2394" t="str">
        <v>Summit Securitie</v>
      </c>
      <c r="C2394">
        <v>28.132992000000002</v>
      </c>
      <c r="D2394">
        <v>999.10540771484375</v>
      </c>
      <c r="E2394">
        <v>723.279541015625</v>
      </c>
      <c r="F2394">
        <v>0.72392702102661133</v>
      </c>
      <c r="G2394">
        <v>2034.53759765625</v>
      </c>
      <c r="H2394">
        <v>0</v>
      </c>
      <c r="I2394">
        <v>2200.199951171875</v>
      </c>
      <c r="J2394">
        <v>1340</v>
      </c>
    </row>
    <row r="2395" spans="1:10" x14ac:dyDescent="0.25">
      <c r="A2395">
        <v>7514</v>
      </c>
      <c r="B2395" t="str">
        <v>Sumuka Agro</v>
      </c>
      <c r="C2395">
        <v>67.460755000000006</v>
      </c>
      <c r="D2395">
        <v>94.832679748535156</v>
      </c>
      <c r="E2395">
        <v>77.205055236816406</v>
      </c>
      <c r="F2395">
        <v>0.81411898136138916</v>
      </c>
      <c r="G2395">
        <v>262</v>
      </c>
      <c r="H2395">
        <v>5.000000074505806E-2</v>
      </c>
      <c r="I2395">
        <v>181.94000244140625</v>
      </c>
      <c r="J2395">
        <v>1210</v>
      </c>
    </row>
    <row r="2396" spans="1:10" x14ac:dyDescent="0.25">
      <c r="A2396">
        <v>4325</v>
      </c>
      <c r="B2396" t="str">
        <v>Sun Pharma.Inds.</v>
      </c>
      <c r="C2396">
        <v>25.173656000000001</v>
      </c>
      <c r="D2396">
        <v>1024.7286376953125</v>
      </c>
      <c r="E2396">
        <v>445.89328002929688</v>
      </c>
      <c r="F2396">
        <v>0.43513301014900208</v>
      </c>
      <c r="G2396">
        <v>1649.4124755859375</v>
      </c>
      <c r="H2396">
        <v>0.40000000596046448</v>
      </c>
      <c r="I2396">
        <v>395254.4375</v>
      </c>
      <c r="J2396">
        <v>1359</v>
      </c>
    </row>
    <row r="2397" spans="1:10" x14ac:dyDescent="0.25">
      <c r="A2397">
        <v>3570</v>
      </c>
      <c r="B2397" t="str">
        <v>Sun Source (I)</v>
      </c>
      <c r="C2397">
        <v>14.901947</v>
      </c>
      <c r="D2397">
        <v>1.9930460453033447</v>
      </c>
      <c r="E2397">
        <v>0.14360499382019043</v>
      </c>
      <c r="F2397">
        <v>7.2053000330924988E-2</v>
      </c>
      <c r="G2397">
        <v>2.559999942779541</v>
      </c>
      <c r="H2397">
        <v>1.9999999552965164E-2</v>
      </c>
      <c r="I2397">
        <v>3.6800000667572021</v>
      </c>
      <c r="J2397">
        <v>55</v>
      </c>
    </row>
    <row r="2398" spans="1:10" x14ac:dyDescent="0.25">
      <c r="A2398">
        <v>15228</v>
      </c>
      <c r="B2398" t="str">
        <v>Sun TV Network</v>
      </c>
      <c r="C2398">
        <v>6.0868520000000004</v>
      </c>
      <c r="D2398">
        <v>542.0185546875</v>
      </c>
      <c r="E2398">
        <v>117.31566619873047</v>
      </c>
      <c r="F2398">
        <v>0.21644200384616852</v>
      </c>
      <c r="G2398">
        <v>613.2125244140625</v>
      </c>
      <c r="H2398">
        <v>0</v>
      </c>
      <c r="I2398">
        <v>24177.08984375</v>
      </c>
      <c r="J2398">
        <v>1359</v>
      </c>
    </row>
    <row r="2399" spans="1:10" x14ac:dyDescent="0.25">
      <c r="A2399">
        <v>66224</v>
      </c>
      <c r="B2399" t="str">
        <v>Suncare Traders</v>
      </c>
      <c r="C2399">
        <v>-15.824928999999999</v>
      </c>
      <c r="D2399">
        <v>1.1230089664459229</v>
      </c>
      <c r="E2399">
        <v>0.49800199270248413</v>
      </c>
      <c r="F2399">
        <v>0.44345301389694214</v>
      </c>
      <c r="G2399">
        <v>0.87000000476837158</v>
      </c>
      <c r="H2399">
        <v>0.23999999463558197</v>
      </c>
      <c r="I2399">
        <v>22.440000534057617</v>
      </c>
      <c r="J2399">
        <v>1326</v>
      </c>
    </row>
    <row r="2400" spans="1:10" x14ac:dyDescent="0.25">
      <c r="A2400">
        <v>537</v>
      </c>
      <c r="B2400" t="str">
        <v>Sundaram Brake</v>
      </c>
      <c r="C2400">
        <v>16.536346999999999</v>
      </c>
      <c r="D2400">
        <v>483.59881591796875</v>
      </c>
      <c r="E2400">
        <v>245.86317443847656</v>
      </c>
      <c r="F2400">
        <v>0.50840300321578979</v>
      </c>
      <c r="G2400">
        <v>791.04998779296875</v>
      </c>
      <c r="H2400">
        <v>0.51999998092651367</v>
      </c>
      <c r="I2400">
        <v>312.04998779296875</v>
      </c>
      <c r="J2400">
        <v>1327</v>
      </c>
    </row>
    <row r="2401" spans="1:10" x14ac:dyDescent="0.25">
      <c r="A2401">
        <v>6986</v>
      </c>
      <c r="B2401" t="str">
        <v>Sundaram Multi.</v>
      </c>
      <c r="C2401">
        <v>9.6732320000000005</v>
      </c>
      <c r="D2401">
        <v>2.4240939617156982</v>
      </c>
      <c r="E2401">
        <v>0.83031201362609863</v>
      </c>
      <c r="F2401">
        <v>0.34252500534057617</v>
      </c>
      <c r="G2401">
        <v>2.0750000476837158</v>
      </c>
      <c r="H2401">
        <v>0.34999999403953552</v>
      </c>
      <c r="I2401">
        <v>97.139999389648438</v>
      </c>
      <c r="J2401">
        <v>1358</v>
      </c>
    </row>
    <row r="2402" spans="1:10" x14ac:dyDescent="0.25">
      <c r="A2402">
        <v>539</v>
      </c>
      <c r="B2402" t="str">
        <v>Sundram Fasten.</v>
      </c>
      <c r="C2402">
        <v>12.211038</v>
      </c>
      <c r="D2402">
        <v>890.68780517578125</v>
      </c>
      <c r="E2402">
        <v>299.29080200195313</v>
      </c>
      <c r="F2402">
        <v>0.33602198958396912</v>
      </c>
      <c r="G2402">
        <v>978.0875244140625</v>
      </c>
      <c r="H2402">
        <v>0.14000000059604645</v>
      </c>
      <c r="I2402">
        <v>20424.48046875</v>
      </c>
      <c r="J2402">
        <v>1359</v>
      </c>
    </row>
    <row r="2403" spans="1:10" x14ac:dyDescent="0.25">
      <c r="A2403">
        <v>2146</v>
      </c>
      <c r="B2403" t="str">
        <v>Sundrop Brands</v>
      </c>
      <c r="C2403">
        <v>5.4369990000000001</v>
      </c>
      <c r="D2403">
        <v>814.63226318359375</v>
      </c>
      <c r="E2403">
        <v>125.86322021484375</v>
      </c>
      <c r="F2403">
        <v>0.15450300276279449</v>
      </c>
      <c r="G2403">
        <v>861.79998779296875</v>
      </c>
      <c r="H2403">
        <v>0.10999999940395355</v>
      </c>
      <c r="I2403">
        <v>3154.10009765625</v>
      </c>
      <c r="J2403">
        <v>1359</v>
      </c>
    </row>
    <row r="2404" spans="1:10" x14ac:dyDescent="0.25">
      <c r="A2404">
        <v>1065</v>
      </c>
      <c r="B2404" t="str">
        <v>Sunflag Iron</v>
      </c>
      <c r="C2404">
        <v>37.751005999999997</v>
      </c>
      <c r="D2404">
        <v>130.24468994140625</v>
      </c>
      <c r="E2404">
        <v>76.390510559082031</v>
      </c>
      <c r="F2404">
        <v>0.58651500940322876</v>
      </c>
      <c r="G2404">
        <v>274.9375</v>
      </c>
      <c r="H2404">
        <v>0.17000000178813934</v>
      </c>
      <c r="I2404">
        <v>4929.89990234375</v>
      </c>
      <c r="J2404">
        <v>1359</v>
      </c>
    </row>
    <row r="2405" spans="1:10" x14ac:dyDescent="0.25">
      <c r="A2405">
        <v>6655</v>
      </c>
      <c r="B2405" t="str">
        <v>Sungold Capital</v>
      </c>
      <c r="C2405">
        <v>21.744848000000001</v>
      </c>
      <c r="D2405">
        <v>2.2627410888671875</v>
      </c>
      <c r="E2405">
        <v>0.87238401174545288</v>
      </c>
      <c r="F2405">
        <v>0.38554298877716064</v>
      </c>
      <c r="G2405">
        <v>3.4300000667572021</v>
      </c>
      <c r="H2405">
        <v>0.36000001430511475</v>
      </c>
      <c r="I2405">
        <v>6.309999942779541</v>
      </c>
      <c r="J2405">
        <v>1057</v>
      </c>
    </row>
    <row r="2406" spans="1:10" x14ac:dyDescent="0.25">
      <c r="A2406">
        <v>6447</v>
      </c>
      <c r="B2406" t="str">
        <v>Sunil Healthcare</v>
      </c>
      <c r="C2406">
        <v>24.092254000000001</v>
      </c>
      <c r="D2406">
        <v>57.835170745849609</v>
      </c>
      <c r="E2406">
        <v>28.485530853271484</v>
      </c>
      <c r="F2406">
        <v>0.49252998828887939</v>
      </c>
      <c r="G2406">
        <v>80.5625</v>
      </c>
      <c r="H2406">
        <v>0.85000002384185791</v>
      </c>
      <c r="I2406">
        <v>82.089996337890625</v>
      </c>
      <c r="J2406">
        <v>1326</v>
      </c>
    </row>
    <row r="2407" spans="1:10" x14ac:dyDescent="0.25">
      <c r="A2407">
        <v>6225</v>
      </c>
      <c r="B2407" t="str">
        <v>Sunrakshakk Inds</v>
      </c>
      <c r="C2407">
        <v>93.351467</v>
      </c>
      <c r="D2407">
        <v>181.74259948730469</v>
      </c>
      <c r="E2407">
        <v>269.97213745117188</v>
      </c>
      <c r="F2407">
        <v>1.4854639768600464</v>
      </c>
      <c r="G2407">
        <v>1358.949951171875</v>
      </c>
      <c r="H2407">
        <v>0.25</v>
      </c>
      <c r="I2407">
        <v>683.78997802734375</v>
      </c>
      <c r="J2407">
        <v>1197</v>
      </c>
    </row>
    <row r="2408" spans="1:10" x14ac:dyDescent="0.25">
      <c r="A2408">
        <v>6838</v>
      </c>
      <c r="B2408" t="str">
        <v>Sunteck Realty</v>
      </c>
      <c r="C2408">
        <v>0.92903599999999997</v>
      </c>
      <c r="D2408">
        <v>395.74954223632813</v>
      </c>
      <c r="E2408">
        <v>104.89476776123047</v>
      </c>
      <c r="F2408">
        <v>0.26505300402641296</v>
      </c>
      <c r="G2408">
        <v>441.88751220703125</v>
      </c>
      <c r="H2408">
        <v>0.18000000715255737</v>
      </c>
      <c r="I2408">
        <v>6439.66015625</v>
      </c>
      <c r="J2408">
        <v>1359</v>
      </c>
    </row>
    <row r="2409" spans="1:10" x14ac:dyDescent="0.25">
      <c r="A2409">
        <v>5299</v>
      </c>
      <c r="B2409" t="str">
        <v>Super Bakers (I)</v>
      </c>
      <c r="C2409">
        <v>25.288062</v>
      </c>
      <c r="D2409">
        <v>19.420934677124023</v>
      </c>
      <c r="E2409">
        <v>9.2140321731567383</v>
      </c>
      <c r="F2409">
        <v>0.47443801164627075</v>
      </c>
      <c r="G2409">
        <v>28</v>
      </c>
      <c r="H2409">
        <v>0</v>
      </c>
      <c r="I2409">
        <v>8.4600000381469727</v>
      </c>
      <c r="J2409">
        <v>1047</v>
      </c>
    </row>
    <row r="2410" spans="1:10" x14ac:dyDescent="0.25">
      <c r="A2410">
        <v>1248</v>
      </c>
      <c r="B2410" t="str">
        <v>Super Sales Ind.</v>
      </c>
      <c r="C2410">
        <v>22.144884999999999</v>
      </c>
      <c r="D2410">
        <v>862.2203369140625</v>
      </c>
      <c r="E2410">
        <v>431.99420166015625</v>
      </c>
      <c r="F2410">
        <v>0.50102502107620239</v>
      </c>
      <c r="G2410">
        <v>885.01251220703125</v>
      </c>
      <c r="H2410">
        <v>0.15999999642372131</v>
      </c>
      <c r="I2410">
        <v>267.1099853515625</v>
      </c>
      <c r="J2410">
        <v>1349</v>
      </c>
    </row>
    <row r="2411" spans="1:10" x14ac:dyDescent="0.25">
      <c r="A2411">
        <v>1905</v>
      </c>
      <c r="B2411" t="str">
        <v>Super Spinning</v>
      </c>
      <c r="C2411">
        <v>18.514434000000001</v>
      </c>
      <c r="D2411">
        <v>8.5797815322875977</v>
      </c>
      <c r="E2411">
        <v>3.2894959449768066</v>
      </c>
      <c r="F2411">
        <v>0.38340100646018982</v>
      </c>
      <c r="G2411">
        <v>9.8924999237060547</v>
      </c>
      <c r="H2411">
        <v>0.43999999761581421</v>
      </c>
      <c r="I2411">
        <v>54.180000305175781</v>
      </c>
      <c r="J2411">
        <v>1348</v>
      </c>
    </row>
    <row r="2412" spans="1:10" x14ac:dyDescent="0.25">
      <c r="A2412">
        <v>3146</v>
      </c>
      <c r="B2412" t="str">
        <v>Super Tannery</v>
      </c>
      <c r="C2412">
        <v>27.051967999999999</v>
      </c>
      <c r="D2412">
        <v>6.9286718368530273</v>
      </c>
      <c r="E2412">
        <v>3.1280279159545898</v>
      </c>
      <c r="F2412">
        <v>0.45146098732948303</v>
      </c>
      <c r="G2412">
        <v>8.7524995803833008</v>
      </c>
      <c r="H2412">
        <v>0.82999998331069946</v>
      </c>
      <c r="I2412">
        <v>94.370002746582031</v>
      </c>
      <c r="J2412">
        <v>1341</v>
      </c>
    </row>
    <row r="2413" spans="1:10" x14ac:dyDescent="0.25">
      <c r="A2413">
        <v>1706</v>
      </c>
      <c r="B2413" t="str">
        <v>Superhouse Ltd</v>
      </c>
      <c r="C2413">
        <v>11.849696</v>
      </c>
      <c r="D2413">
        <v>176.2664794921875</v>
      </c>
      <c r="E2413">
        <v>54.230354309082031</v>
      </c>
      <c r="F2413">
        <v>0.30766099691390991</v>
      </c>
      <c r="G2413">
        <v>171.11250305175781</v>
      </c>
      <c r="H2413">
        <v>0.37000000476837158</v>
      </c>
      <c r="I2413">
        <v>187.80999755859375</v>
      </c>
      <c r="J2413">
        <v>1350</v>
      </c>
    </row>
    <row r="2414" spans="1:10" x14ac:dyDescent="0.25">
      <c r="A2414">
        <v>3163</v>
      </c>
      <c r="B2414" t="str">
        <v>Supertex Inds.</v>
      </c>
      <c r="C2414">
        <v>20.087810000000001</v>
      </c>
      <c r="D2414">
        <v>8.4675722122192383</v>
      </c>
      <c r="E2414">
        <v>3.3659160137176514</v>
      </c>
      <c r="F2414">
        <v>0.39750701189041138</v>
      </c>
      <c r="G2414">
        <v>7.8899998664855957</v>
      </c>
      <c r="H2414">
        <v>0.80000001192092896</v>
      </c>
      <c r="I2414">
        <v>9.0299997329711914</v>
      </c>
      <c r="J2414">
        <v>1250</v>
      </c>
    </row>
    <row r="2415" spans="1:10" x14ac:dyDescent="0.25">
      <c r="A2415">
        <v>4055</v>
      </c>
      <c r="B2415" t="str">
        <v>Supra Trends</v>
      </c>
      <c r="C2415">
        <v>39.259487999999997</v>
      </c>
      <c r="D2415">
        <v>24.329927444458008</v>
      </c>
      <c r="E2415">
        <v>14.464734077453613</v>
      </c>
      <c r="F2415">
        <v>0.59452402591705322</v>
      </c>
      <c r="G2415">
        <v>63.360000610351563</v>
      </c>
      <c r="H2415">
        <v>0</v>
      </c>
      <c r="I2415">
        <v>85.769996643066406</v>
      </c>
      <c r="J2415">
        <v>262</v>
      </c>
    </row>
    <row r="2416" spans="1:10" x14ac:dyDescent="0.25">
      <c r="A2416">
        <v>6045</v>
      </c>
      <c r="B2416" t="str">
        <v>Suprajit Engg.</v>
      </c>
      <c r="C2416">
        <v>15.087104</v>
      </c>
      <c r="D2416">
        <v>340.2386474609375</v>
      </c>
      <c r="E2416">
        <v>106.14320373535156</v>
      </c>
      <c r="F2416">
        <v>0.31196698546409607</v>
      </c>
      <c r="G2416">
        <v>455.01251220703125</v>
      </c>
      <c r="H2416">
        <v>0.2199999988079071</v>
      </c>
      <c r="I2416">
        <v>6234.2001953125</v>
      </c>
      <c r="J2416">
        <v>1359</v>
      </c>
    </row>
    <row r="2417" spans="1:10" x14ac:dyDescent="0.25">
      <c r="A2417">
        <v>5122</v>
      </c>
      <c r="B2417" t="str">
        <v>Supreme Holdings</v>
      </c>
      <c r="C2417">
        <v>33.643132999999999</v>
      </c>
      <c r="D2417">
        <v>57.370059967041016</v>
      </c>
      <c r="E2417">
        <v>40.135555267333984</v>
      </c>
      <c r="F2417">
        <v>0.69959098100662231</v>
      </c>
      <c r="G2417">
        <v>91.637496948242188</v>
      </c>
      <c r="H2417">
        <v>0</v>
      </c>
      <c r="I2417">
        <v>361.14999389648438</v>
      </c>
      <c r="J2417">
        <v>1357</v>
      </c>
    </row>
    <row r="2418" spans="1:10" x14ac:dyDescent="0.25">
      <c r="A2418">
        <v>541</v>
      </c>
      <c r="B2418" t="str">
        <v>Supreme Inds.</v>
      </c>
      <c r="C2418">
        <v>25.736422999999998</v>
      </c>
      <c r="D2418">
        <v>2836.618896484375</v>
      </c>
      <c r="E2418">
        <v>1343.7662353515625</v>
      </c>
      <c r="F2418">
        <v>0.47372099757194519</v>
      </c>
      <c r="G2418">
        <v>4516.9375</v>
      </c>
      <c r="H2418">
        <v>9.9999997764825821E-3</v>
      </c>
      <c r="I2418">
        <v>56345.94140625</v>
      </c>
      <c r="J2418">
        <v>1359</v>
      </c>
    </row>
    <row r="2419" spans="1:10" x14ac:dyDescent="0.25">
      <c r="A2419">
        <v>27272</v>
      </c>
      <c r="B2419" t="str">
        <v>Supreme Infra.</v>
      </c>
      <c r="C2419">
        <v>44.332805</v>
      </c>
      <c r="D2419">
        <v>42.209957122802734</v>
      </c>
      <c r="E2419">
        <v>37.750827789306641</v>
      </c>
      <c r="F2419">
        <v>0.89435797929763794</v>
      </c>
      <c r="G2419">
        <v>98.775001525878906</v>
      </c>
      <c r="H2419">
        <v>0</v>
      </c>
      <c r="I2419">
        <v>248.91000366210938</v>
      </c>
      <c r="J2419">
        <v>1118</v>
      </c>
    </row>
    <row r="2420" spans="1:10" x14ac:dyDescent="0.25">
      <c r="A2420">
        <v>3608</v>
      </c>
      <c r="B2420" t="str">
        <v>Supreme Petroch.</v>
      </c>
      <c r="C2420">
        <v>44.825186000000002</v>
      </c>
      <c r="D2420">
        <v>417.77313232421875</v>
      </c>
      <c r="E2420">
        <v>221.00877380371094</v>
      </c>
      <c r="F2420">
        <v>0.52901601791381836</v>
      </c>
      <c r="G2420">
        <v>790.625</v>
      </c>
      <c r="H2420">
        <v>5.9999998658895493E-2</v>
      </c>
      <c r="I2420">
        <v>14764.0703125</v>
      </c>
      <c r="J2420">
        <v>1329</v>
      </c>
    </row>
    <row r="2421" spans="1:10" x14ac:dyDescent="0.25">
      <c r="A2421">
        <v>6970</v>
      </c>
      <c r="B2421" t="str">
        <v>Suraj</v>
      </c>
      <c r="C2421">
        <v>48.559748999999996</v>
      </c>
      <c r="D2421">
        <v>153.1328125</v>
      </c>
      <c r="E2421">
        <v>134.40998840332031</v>
      </c>
      <c r="F2421">
        <v>0.87773501873016357</v>
      </c>
      <c r="G2421">
        <v>395.85000610351563</v>
      </c>
      <c r="H2421">
        <v>0.38999998569488525</v>
      </c>
      <c r="I2421">
        <v>732.72998046875</v>
      </c>
      <c r="J2421">
        <v>1189</v>
      </c>
    </row>
    <row r="2422" spans="1:10" x14ac:dyDescent="0.25">
      <c r="A2422">
        <v>2885</v>
      </c>
      <c r="B2422" t="str">
        <v>Suraj Products</v>
      </c>
      <c r="C2422">
        <v>58.498120999999998</v>
      </c>
      <c r="D2422">
        <v>226.01170349121094</v>
      </c>
      <c r="E2422">
        <v>210.10177612304688</v>
      </c>
      <c r="F2422">
        <v>0.92960602045059204</v>
      </c>
      <c r="G2422">
        <v>304.66250610351563</v>
      </c>
      <c r="H2422">
        <v>0.40999999642372131</v>
      </c>
      <c r="I2422">
        <v>337.04000854492188</v>
      </c>
      <c r="J2422">
        <v>1236</v>
      </c>
    </row>
    <row r="2423" spans="1:10" x14ac:dyDescent="0.25">
      <c r="A2423">
        <v>35848</v>
      </c>
      <c r="B2423" t="str">
        <v>Surana Solar</v>
      </c>
      <c r="C2423">
        <v>31.457789999999999</v>
      </c>
      <c r="D2423">
        <v>23.295127868652344</v>
      </c>
      <c r="E2423">
        <v>12.867835998535156</v>
      </c>
      <c r="F2423">
        <v>0.55238300561904907</v>
      </c>
      <c r="G2423">
        <v>34.154998779296875</v>
      </c>
      <c r="H2423">
        <v>0</v>
      </c>
      <c r="I2423">
        <v>166.41999816894531</v>
      </c>
      <c r="J2423">
        <v>1350</v>
      </c>
    </row>
    <row r="2424" spans="1:10" x14ac:dyDescent="0.25">
      <c r="A2424">
        <v>4416</v>
      </c>
      <c r="B2424" t="str">
        <v>Surana Telecom</v>
      </c>
      <c r="C2424">
        <v>33.477626000000001</v>
      </c>
      <c r="D2424">
        <v>11.558493614196777</v>
      </c>
      <c r="E2424">
        <v>6.3293628692626953</v>
      </c>
      <c r="F2424">
        <v>0.54759401082992554</v>
      </c>
      <c r="G2424">
        <v>19.452499389648438</v>
      </c>
      <c r="H2424">
        <v>7.9999998211860657E-2</v>
      </c>
      <c r="I2424">
        <v>259.02999877929688</v>
      </c>
      <c r="J2424">
        <v>1336</v>
      </c>
    </row>
    <row r="2425" spans="1:10" x14ac:dyDescent="0.25">
      <c r="A2425">
        <v>4927</v>
      </c>
      <c r="B2425" t="str">
        <v>Surat Trade</v>
      </c>
      <c r="C2425">
        <v>35.251696000000003</v>
      </c>
      <c r="D2425">
        <v>8.2160549163818359</v>
      </c>
      <c r="E2425">
        <v>4.6255321502685547</v>
      </c>
      <c r="F2425">
        <v>0.56298702955245972</v>
      </c>
      <c r="G2425">
        <v>6.809999942779541</v>
      </c>
      <c r="H2425">
        <v>0</v>
      </c>
      <c r="I2425">
        <v>148.33999633789063</v>
      </c>
      <c r="J2425">
        <v>1359</v>
      </c>
    </row>
    <row r="2426" spans="1:10" x14ac:dyDescent="0.25">
      <c r="A2426">
        <v>445</v>
      </c>
      <c r="B2426" t="str">
        <v>Surya Roshni</v>
      </c>
      <c r="C2426">
        <v>40.861029000000002</v>
      </c>
      <c r="D2426">
        <v>170.36369323730469</v>
      </c>
      <c r="E2426">
        <v>100.66746520996094</v>
      </c>
      <c r="F2426">
        <v>0.59089702367782593</v>
      </c>
      <c r="G2426">
        <v>334.625</v>
      </c>
      <c r="H2426">
        <v>0.10999999940395355</v>
      </c>
      <c r="I2426">
        <v>7150.43017578125</v>
      </c>
      <c r="J2426">
        <v>1359</v>
      </c>
    </row>
    <row r="2427" spans="1:10" x14ac:dyDescent="0.25">
      <c r="A2427">
        <v>29882</v>
      </c>
      <c r="B2427" t="str">
        <v>Suryaamba Spinni</v>
      </c>
      <c r="C2427">
        <v>19.272687000000001</v>
      </c>
      <c r="D2427">
        <v>145.8106689453125</v>
      </c>
      <c r="E2427">
        <v>58.628585815429688</v>
      </c>
      <c r="F2427">
        <v>0.40208700299263</v>
      </c>
      <c r="G2427">
        <v>148.36250305175781</v>
      </c>
      <c r="H2427">
        <v>0.72000002861022949</v>
      </c>
      <c r="I2427">
        <v>43.279998779296875</v>
      </c>
      <c r="J2427">
        <v>1318</v>
      </c>
    </row>
    <row r="2428" spans="1:10" x14ac:dyDescent="0.25">
      <c r="A2428">
        <v>1952</v>
      </c>
      <c r="B2428" t="str">
        <v>Suryalak. Cott.</v>
      </c>
      <c r="C2428">
        <v>24.712502000000001</v>
      </c>
      <c r="D2428">
        <v>58.042121887207031</v>
      </c>
      <c r="E2428">
        <v>22.341350555419922</v>
      </c>
      <c r="F2428">
        <v>0.38491600751876831</v>
      </c>
      <c r="G2428">
        <v>69.8125</v>
      </c>
      <c r="H2428">
        <v>0.75999999046325684</v>
      </c>
      <c r="I2428">
        <v>131.77000427246094</v>
      </c>
      <c r="J2428">
        <v>1322</v>
      </c>
    </row>
    <row r="2429" spans="1:10" x14ac:dyDescent="0.25">
      <c r="A2429">
        <v>1733</v>
      </c>
      <c r="B2429" t="str">
        <v>Suryalata Spg.</v>
      </c>
      <c r="C2429">
        <v>18.972507</v>
      </c>
      <c r="D2429">
        <v>356.64453125</v>
      </c>
      <c r="E2429">
        <v>243.03823852539063</v>
      </c>
      <c r="F2429">
        <v>0.6814579963684082</v>
      </c>
      <c r="G2429">
        <v>334.8125</v>
      </c>
      <c r="H2429">
        <v>0.34000000357627869</v>
      </c>
      <c r="I2429">
        <v>140.91999816894531</v>
      </c>
      <c r="J2429">
        <v>1289</v>
      </c>
    </row>
    <row r="2430" spans="1:10" x14ac:dyDescent="0.25">
      <c r="A2430">
        <v>4750</v>
      </c>
      <c r="B2430" t="str">
        <v>Suryo Foods</v>
      </c>
      <c r="C2430">
        <v>5.7081229999999996</v>
      </c>
      <c r="D2430">
        <v>11.231161117553711</v>
      </c>
      <c r="E2430">
        <v>4.3639178276062012</v>
      </c>
      <c r="F2430">
        <v>0.38855400681495667</v>
      </c>
      <c r="G2430">
        <v>15.789999961853027</v>
      </c>
      <c r="H2430">
        <v>0</v>
      </c>
      <c r="I2430">
        <v>6.25</v>
      </c>
      <c r="J2430">
        <v>1058</v>
      </c>
    </row>
    <row r="2431" spans="1:10" x14ac:dyDescent="0.25">
      <c r="A2431">
        <v>27375</v>
      </c>
      <c r="B2431" t="str">
        <v>Sutlej Textiles</v>
      </c>
      <c r="C2431">
        <v>4.5883750000000001</v>
      </c>
      <c r="D2431">
        <v>53.43145751953125</v>
      </c>
      <c r="E2431">
        <v>17.254009246826172</v>
      </c>
      <c r="F2431">
        <v>0.32291901111602783</v>
      </c>
      <c r="G2431">
        <v>40.029998779296875</v>
      </c>
      <c r="H2431">
        <v>0.8399999737739563</v>
      </c>
      <c r="I2431">
        <v>655.80999755859375</v>
      </c>
      <c r="J2431">
        <v>1356</v>
      </c>
    </row>
    <row r="2432" spans="1:10" x14ac:dyDescent="0.25">
      <c r="A2432">
        <v>4916</v>
      </c>
      <c r="B2432" t="str">
        <v>Suven Life Scie.</v>
      </c>
      <c r="C2432">
        <v>54.344732</v>
      </c>
      <c r="D2432">
        <v>82.346916198730469</v>
      </c>
      <c r="E2432">
        <v>36.990367889404297</v>
      </c>
      <c r="F2432">
        <v>0.44920200109481812</v>
      </c>
      <c r="G2432">
        <v>232.10000610351563</v>
      </c>
      <c r="H2432">
        <v>0</v>
      </c>
      <c r="I2432">
        <v>4928.47021484375</v>
      </c>
      <c r="J2432">
        <v>1359</v>
      </c>
    </row>
    <row r="2433" spans="1:10" x14ac:dyDescent="0.25">
      <c r="A2433">
        <v>43958</v>
      </c>
      <c r="B2433" t="str">
        <v>Suyog Telematics</v>
      </c>
      <c r="C2433">
        <v>14.517580000000001</v>
      </c>
      <c r="D2433">
        <v>653.5362548828125</v>
      </c>
      <c r="E2433">
        <v>435.31317138671875</v>
      </c>
      <c r="F2433">
        <v>0.66608899831771851</v>
      </c>
      <c r="G2433">
        <v>907.5250244140625</v>
      </c>
      <c r="H2433">
        <v>0.57999998331069946</v>
      </c>
      <c r="I2433">
        <v>1015.4600219726563</v>
      </c>
      <c r="J2433">
        <v>1350</v>
      </c>
    </row>
    <row r="2434" spans="1:10" x14ac:dyDescent="0.25">
      <c r="A2434">
        <v>13872</v>
      </c>
      <c r="B2434" t="str">
        <v>Suzlon Energy</v>
      </c>
      <c r="C2434">
        <v>71.368804999999995</v>
      </c>
      <c r="D2434">
        <v>21.970273971557617</v>
      </c>
      <c r="E2434">
        <v>23.237144470214844</v>
      </c>
      <c r="F2434">
        <v>1.0576629638671875</v>
      </c>
      <c r="G2434">
        <v>63.145000457763672</v>
      </c>
      <c r="H2434">
        <v>0.60000002384185791</v>
      </c>
      <c r="I2434">
        <v>84919.8515625</v>
      </c>
      <c r="J2434">
        <v>1359</v>
      </c>
    </row>
    <row r="2435" spans="1:10" x14ac:dyDescent="0.25">
      <c r="A2435">
        <v>2749</v>
      </c>
      <c r="B2435" t="str">
        <v>Svam Software</v>
      </c>
      <c r="C2435">
        <v>69.853947000000005</v>
      </c>
      <c r="D2435">
        <v>4.5362858772277832</v>
      </c>
      <c r="E2435">
        <v>2.9905660152435303</v>
      </c>
      <c r="F2435">
        <v>0.65925401449203491</v>
      </c>
      <c r="G2435">
        <v>9.1450004577636719</v>
      </c>
      <c r="H2435">
        <v>0</v>
      </c>
      <c r="I2435">
        <v>15.369999885559082</v>
      </c>
      <c r="J2435">
        <v>1102</v>
      </c>
    </row>
    <row r="2436" spans="1:10" x14ac:dyDescent="0.25">
      <c r="A2436">
        <v>19908</v>
      </c>
      <c r="B2436" t="str">
        <v>Svaraj Trading</v>
      </c>
      <c r="C2436">
        <v>-28.553515999999998</v>
      </c>
      <c r="D2436">
        <v>9.5454654693603516</v>
      </c>
      <c r="E2436">
        <v>5.3353772163391113</v>
      </c>
      <c r="F2436">
        <v>0.5589439868927002</v>
      </c>
      <c r="G2436">
        <v>9.1949996948242188</v>
      </c>
      <c r="H2436">
        <v>0</v>
      </c>
      <c r="I2436">
        <v>13.409999847412109</v>
      </c>
      <c r="J2436">
        <v>1262</v>
      </c>
    </row>
    <row r="2437" spans="1:10" x14ac:dyDescent="0.25">
      <c r="A2437">
        <v>1682</v>
      </c>
      <c r="B2437" t="str">
        <v>Swadeshi Inds</v>
      </c>
      <c r="C2437">
        <v>64.918514999999999</v>
      </c>
      <c r="D2437">
        <v>2.4120121002197266</v>
      </c>
      <c r="E2437">
        <v>3.7312679290771484</v>
      </c>
      <c r="F2437">
        <v>1.5469520092010498</v>
      </c>
      <c r="G2437">
        <v>20.430000305175781</v>
      </c>
      <c r="H2437">
        <v>0</v>
      </c>
      <c r="I2437">
        <v>22.100000381469727</v>
      </c>
      <c r="J2437">
        <v>538</v>
      </c>
    </row>
    <row r="2438" spans="1:10" x14ac:dyDescent="0.25">
      <c r="A2438">
        <v>543</v>
      </c>
      <c r="B2438" t="str">
        <v>Swadeshi Polytex</v>
      </c>
      <c r="C2438">
        <v>50.542304000000001</v>
      </c>
      <c r="D2438">
        <v>50.307174682617188</v>
      </c>
      <c r="E2438">
        <v>58.505390167236328</v>
      </c>
      <c r="F2438">
        <v>1.1629630327224731</v>
      </c>
      <c r="G2438">
        <v>70.834999084472656</v>
      </c>
      <c r="H2438">
        <v>0</v>
      </c>
      <c r="I2438">
        <v>276.20001220703125</v>
      </c>
      <c r="J2438">
        <v>1243</v>
      </c>
    </row>
    <row r="2439" spans="1:10" x14ac:dyDescent="0.25">
      <c r="A2439">
        <v>2117</v>
      </c>
      <c r="B2439" t="str">
        <v>Swan Energy</v>
      </c>
      <c r="C2439">
        <v>25.681801</v>
      </c>
      <c r="D2439">
        <v>298.3966064453125</v>
      </c>
      <c r="E2439">
        <v>194.41316223144531</v>
      </c>
      <c r="F2439">
        <v>0.65152597427368164</v>
      </c>
      <c r="G2439">
        <v>422.73748779296875</v>
      </c>
      <c r="H2439">
        <v>0.10999999940395355</v>
      </c>
      <c r="I2439">
        <v>13039.8095703125</v>
      </c>
      <c r="J2439">
        <v>1359</v>
      </c>
    </row>
    <row r="2440" spans="1:10" x14ac:dyDescent="0.25">
      <c r="A2440">
        <v>1344</v>
      </c>
      <c r="B2440" t="str">
        <v>Swaraj Engines</v>
      </c>
      <c r="C2440">
        <v>23.72092</v>
      </c>
      <c r="D2440">
        <v>1967.8291015625</v>
      </c>
      <c r="E2440">
        <v>734.75274658203125</v>
      </c>
      <c r="F2440">
        <v>0.37338200211524963</v>
      </c>
      <c r="G2440">
        <v>4093.64990234375</v>
      </c>
      <c r="H2440">
        <v>0</v>
      </c>
      <c r="I2440">
        <v>4921.490234375</v>
      </c>
      <c r="J2440">
        <v>1358</v>
      </c>
    </row>
    <row r="2441" spans="1:10" x14ac:dyDescent="0.25">
      <c r="A2441">
        <v>5294</v>
      </c>
      <c r="B2441" t="str">
        <v>Swarna Securitie</v>
      </c>
      <c r="C2441">
        <v>31.940819000000001</v>
      </c>
      <c r="D2441">
        <v>54.396492004394531</v>
      </c>
      <c r="E2441">
        <v>23.636940002441406</v>
      </c>
      <c r="F2441">
        <v>0.43453100323677063</v>
      </c>
      <c r="G2441">
        <v>66.800003051757813</v>
      </c>
      <c r="H2441">
        <v>0</v>
      </c>
      <c r="I2441">
        <v>20.040000915527344</v>
      </c>
      <c r="J2441">
        <v>553</v>
      </c>
    </row>
    <row r="2442" spans="1:10" x14ac:dyDescent="0.25">
      <c r="A2442">
        <v>3452</v>
      </c>
      <c r="B2442" t="str">
        <v>SwarnsaritaJewel</v>
      </c>
      <c r="C2442">
        <v>25.565221000000001</v>
      </c>
      <c r="D2442">
        <v>23.273349761962891</v>
      </c>
      <c r="E2442">
        <v>10.89106559753418</v>
      </c>
      <c r="F2442">
        <v>0.46796301007270813</v>
      </c>
      <c r="G2442">
        <v>29.924999237060547</v>
      </c>
      <c r="H2442">
        <v>0.89999997615814209</v>
      </c>
      <c r="I2442">
        <v>61.869998931884766</v>
      </c>
      <c r="J2442">
        <v>1325</v>
      </c>
    </row>
    <row r="2443" spans="1:10" x14ac:dyDescent="0.25">
      <c r="A2443">
        <v>7679</v>
      </c>
      <c r="B2443" t="str">
        <v>Swasti Vin. Art</v>
      </c>
      <c r="C2443">
        <v>19.164860000000001</v>
      </c>
      <c r="D2443">
        <v>2.865109920501709</v>
      </c>
      <c r="E2443">
        <v>1.2257829904556274</v>
      </c>
      <c r="F2443">
        <v>0.42783099412918091</v>
      </c>
      <c r="G2443">
        <v>4.2399997711181641</v>
      </c>
      <c r="H2443">
        <v>0.5</v>
      </c>
      <c r="I2443">
        <v>37.889999389648438</v>
      </c>
      <c r="J2443">
        <v>1359</v>
      </c>
    </row>
    <row r="2444" spans="1:10" x14ac:dyDescent="0.25">
      <c r="A2444">
        <v>595</v>
      </c>
      <c r="B2444" t="str">
        <v>Swasti Vinayaka</v>
      </c>
      <c r="C2444">
        <v>15.236488</v>
      </c>
      <c r="D2444">
        <v>6.1658039093017578</v>
      </c>
      <c r="E2444">
        <v>2.1661310195922852</v>
      </c>
      <c r="F2444">
        <v>0.3513140082359314</v>
      </c>
      <c r="G2444">
        <v>5.8299999237060547</v>
      </c>
      <c r="H2444">
        <v>7.9999998211860657E-2</v>
      </c>
      <c r="I2444">
        <v>52.020000457763672</v>
      </c>
      <c r="J2444">
        <v>1359</v>
      </c>
    </row>
    <row r="2445" spans="1:10" x14ac:dyDescent="0.25">
      <c r="A2445">
        <v>5173</v>
      </c>
      <c r="B2445" t="str">
        <v>Swastika Investm</v>
      </c>
      <c r="C2445">
        <v>40.995753999999998</v>
      </c>
      <c r="D2445">
        <v>64.7838134765625</v>
      </c>
      <c r="E2445">
        <v>57.375362396240234</v>
      </c>
      <c r="F2445">
        <v>0.88564401865005493</v>
      </c>
      <c r="G2445">
        <v>118.4375</v>
      </c>
      <c r="H2445">
        <v>5.9999998658895493E-2</v>
      </c>
      <c r="I2445">
        <v>205.50999450683594</v>
      </c>
      <c r="J2445">
        <v>1358</v>
      </c>
    </row>
    <row r="2446" spans="1:10" x14ac:dyDescent="0.25">
      <c r="A2446">
        <v>6649</v>
      </c>
      <c r="B2446" t="str">
        <v>Swelect Energy</v>
      </c>
      <c r="C2446">
        <v>29.430123999999999</v>
      </c>
      <c r="D2446">
        <v>462.63385009765625</v>
      </c>
      <c r="E2446">
        <v>353.518798828125</v>
      </c>
      <c r="F2446">
        <v>0.76414400339126587</v>
      </c>
      <c r="G2446">
        <v>554</v>
      </c>
      <c r="H2446">
        <v>0.4699999988079071</v>
      </c>
      <c r="I2446">
        <v>841.30999755859375</v>
      </c>
      <c r="J2446">
        <v>1354</v>
      </c>
    </row>
    <row r="2447" spans="1:10" x14ac:dyDescent="0.25">
      <c r="A2447">
        <v>2426</v>
      </c>
      <c r="B2447" t="str">
        <v>Swiss Military</v>
      </c>
      <c r="C2447">
        <v>88.959211999999994</v>
      </c>
      <c r="D2447">
        <v>16.86346435546875</v>
      </c>
      <c r="E2447">
        <v>10.603321075439453</v>
      </c>
      <c r="F2447">
        <v>0.62877500057220459</v>
      </c>
      <c r="G2447">
        <v>27.549999237060547</v>
      </c>
      <c r="H2447">
        <v>0</v>
      </c>
      <c r="I2447">
        <v>633.42999267578125</v>
      </c>
      <c r="J2447">
        <v>1077</v>
      </c>
    </row>
    <row r="2448" spans="1:10" x14ac:dyDescent="0.25">
      <c r="A2448">
        <v>1229</v>
      </c>
      <c r="B2448" t="str">
        <v>Switching Tech.</v>
      </c>
      <c r="C2448">
        <v>13.547017</v>
      </c>
      <c r="D2448">
        <v>51.941841125488281</v>
      </c>
      <c r="E2448">
        <v>20.676063537597656</v>
      </c>
      <c r="F2448">
        <v>0.39806199073791504</v>
      </c>
      <c r="G2448">
        <v>74.569999694824219</v>
      </c>
      <c r="H2448">
        <v>0</v>
      </c>
      <c r="I2448">
        <v>18.639999389648438</v>
      </c>
      <c r="J2448">
        <v>1011</v>
      </c>
    </row>
    <row r="2449" spans="1:10" x14ac:dyDescent="0.25">
      <c r="A2449">
        <v>6967</v>
      </c>
      <c r="B2449" t="str">
        <v>Sword-Edge Comm.</v>
      </c>
      <c r="C2449">
        <v>-4.7364030000000001</v>
      </c>
      <c r="D2449">
        <v>0.49358698725700378</v>
      </c>
      <c r="E2449">
        <v>0.20277400314807892</v>
      </c>
      <c r="F2449">
        <v>0.4108160138130188</v>
      </c>
      <c r="G2449">
        <v>0.27000001072883606</v>
      </c>
      <c r="H2449">
        <v>0.54000002145767212</v>
      </c>
      <c r="I2449">
        <v>6.0799999237060547</v>
      </c>
      <c r="J2449">
        <v>651</v>
      </c>
    </row>
    <row r="2450" spans="1:10" x14ac:dyDescent="0.25">
      <c r="A2450">
        <v>54848</v>
      </c>
      <c r="B2450" t="str">
        <v>Symbiox Investme</v>
      </c>
      <c r="C2450">
        <v>46.061360999999998</v>
      </c>
      <c r="D2450">
        <v>2.8931469917297363</v>
      </c>
      <c r="E2450">
        <v>2.0345940589904785</v>
      </c>
      <c r="F2450">
        <v>0.70324599742889404</v>
      </c>
      <c r="G2450">
        <v>3.1424999237060547</v>
      </c>
      <c r="H2450">
        <v>0</v>
      </c>
      <c r="I2450">
        <v>9.6400003433227539</v>
      </c>
      <c r="J2450">
        <v>1295</v>
      </c>
    </row>
    <row r="2451" spans="1:10" x14ac:dyDescent="0.25">
      <c r="A2451">
        <v>3465</v>
      </c>
      <c r="B2451" t="str">
        <v>Symphony</v>
      </c>
      <c r="C2451">
        <v>-0.94572199999999995</v>
      </c>
      <c r="D2451">
        <v>1040.8280029296875</v>
      </c>
      <c r="E2451">
        <v>196.15679931640625</v>
      </c>
      <c r="F2451">
        <v>0.18846200406551361</v>
      </c>
      <c r="G2451">
        <v>1095.324951171875</v>
      </c>
      <c r="H2451">
        <v>9.9999997764825821E-3</v>
      </c>
      <c r="I2451">
        <v>7457.009765625</v>
      </c>
      <c r="J2451">
        <v>1359</v>
      </c>
    </row>
    <row r="2452" spans="1:10" x14ac:dyDescent="0.25">
      <c r="A2452">
        <v>3544</v>
      </c>
      <c r="B2452" t="str">
        <v>Syncom Formul.</v>
      </c>
      <c r="C2452">
        <v>64.009252000000004</v>
      </c>
      <c r="D2452">
        <v>9.4065303802490234</v>
      </c>
      <c r="E2452">
        <v>5.9661498069763184</v>
      </c>
      <c r="F2452">
        <v>0.63425600528717041</v>
      </c>
      <c r="G2452">
        <v>19.122499465942383</v>
      </c>
      <c r="H2452">
        <v>0.28999999165534973</v>
      </c>
      <c r="I2452">
        <v>1755.9200439453125</v>
      </c>
      <c r="J2452">
        <v>1359</v>
      </c>
    </row>
    <row r="2453" spans="1:10" x14ac:dyDescent="0.25">
      <c r="A2453">
        <v>25767</v>
      </c>
      <c r="B2453" t="str">
        <v>Syngene Intl.</v>
      </c>
      <c r="C2453">
        <v>12.735758000000001</v>
      </c>
      <c r="D2453">
        <v>622.69940185546875</v>
      </c>
      <c r="E2453">
        <v>141.170654296875</v>
      </c>
      <c r="F2453">
        <v>0.22670799493789673</v>
      </c>
      <c r="G2453">
        <v>639.42498779296875</v>
      </c>
      <c r="H2453">
        <v>0.11999999731779099</v>
      </c>
      <c r="I2453">
        <v>25252.2109375</v>
      </c>
      <c r="J2453">
        <v>1359</v>
      </c>
    </row>
    <row r="2454" spans="1:10" x14ac:dyDescent="0.25">
      <c r="A2454">
        <v>3233</v>
      </c>
      <c r="B2454" t="str">
        <v>Synthiko Foils</v>
      </c>
      <c r="C2454">
        <v>36.876215999999999</v>
      </c>
      <c r="D2454">
        <v>90.287208557128906</v>
      </c>
      <c r="E2454">
        <v>64.299217224121094</v>
      </c>
      <c r="F2454">
        <v>0.71216297149658203</v>
      </c>
      <c r="G2454">
        <v>212.80000305175781</v>
      </c>
      <c r="H2454">
        <v>5.000000074505806E-2</v>
      </c>
      <c r="I2454">
        <v>37.029998779296875</v>
      </c>
      <c r="J2454">
        <v>1110</v>
      </c>
    </row>
    <row r="2455" spans="1:10" x14ac:dyDescent="0.25">
      <c r="A2455">
        <v>6001</v>
      </c>
      <c r="B2455" t="str">
        <v>Syschem (India)</v>
      </c>
      <c r="C2455">
        <v>38.536951999999999</v>
      </c>
      <c r="D2455">
        <v>29.071052551269531</v>
      </c>
      <c r="E2455">
        <v>19.786468505859375</v>
      </c>
      <c r="F2455">
        <v>0.68062400817871094</v>
      </c>
      <c r="G2455">
        <v>46.409999847412109</v>
      </c>
      <c r="H2455">
        <v>2.9999999329447746E-2</v>
      </c>
      <c r="I2455">
        <v>199.07000732421875</v>
      </c>
      <c r="J2455">
        <v>1351</v>
      </c>
    </row>
    <row r="2456" spans="1:10" x14ac:dyDescent="0.25">
      <c r="A2456">
        <v>3845</v>
      </c>
      <c r="B2456" t="str">
        <v>Systematix Corp.</v>
      </c>
      <c r="C2456">
        <v>66.580764000000002</v>
      </c>
      <c r="D2456">
        <v>59.151809692382813</v>
      </c>
      <c r="E2456">
        <v>57.318840026855469</v>
      </c>
      <c r="F2456">
        <v>0.96901202201843262</v>
      </c>
      <c r="G2456">
        <v>110.01249694824219</v>
      </c>
      <c r="H2456">
        <v>0.25999999046325684</v>
      </c>
      <c r="I2456">
        <v>1472.56005859375</v>
      </c>
      <c r="J2456">
        <v>1210</v>
      </c>
    </row>
    <row r="2457" spans="1:10" x14ac:dyDescent="0.25">
      <c r="A2457">
        <v>4755</v>
      </c>
      <c r="B2457" t="str">
        <v>T &amp; I Global</v>
      </c>
      <c r="C2457">
        <v>16.777166999999999</v>
      </c>
      <c r="D2457">
        <v>146.8753662109375</v>
      </c>
      <c r="E2457">
        <v>69.221961975097656</v>
      </c>
      <c r="F2457">
        <v>0.4712969958782196</v>
      </c>
      <c r="G2457">
        <v>159.4375</v>
      </c>
      <c r="H2457">
        <v>0</v>
      </c>
      <c r="I2457">
        <v>80.580001831054688</v>
      </c>
      <c r="J2457">
        <v>1354</v>
      </c>
    </row>
    <row r="2458" spans="1:10" x14ac:dyDescent="0.25">
      <c r="A2458">
        <v>12122</v>
      </c>
      <c r="B2458" t="str">
        <v>T N Newsprint</v>
      </c>
      <c r="C2458">
        <v>-1.442234</v>
      </c>
      <c r="D2458">
        <v>186.66397094726563</v>
      </c>
      <c r="E2458">
        <v>60.127578735351563</v>
      </c>
      <c r="F2458">
        <v>0.32211700081825256</v>
      </c>
      <c r="G2458">
        <v>155.14999389648438</v>
      </c>
      <c r="H2458">
        <v>0.9100000262260437</v>
      </c>
      <c r="I2458">
        <v>1057.5400390625</v>
      </c>
      <c r="J2458">
        <v>1359</v>
      </c>
    </row>
    <row r="2459" spans="1:10" x14ac:dyDescent="0.25">
      <c r="A2459">
        <v>848</v>
      </c>
      <c r="B2459" t="str">
        <v>T N Petro Prod.</v>
      </c>
      <c r="C2459">
        <v>17.198325000000001</v>
      </c>
      <c r="D2459">
        <v>81.00872802734375</v>
      </c>
      <c r="E2459">
        <v>27.305301666259766</v>
      </c>
      <c r="F2459">
        <v>0.33706599473953247</v>
      </c>
      <c r="G2459">
        <v>92.932502746582031</v>
      </c>
      <c r="H2459">
        <v>5.9999998658895493E-2</v>
      </c>
      <c r="I2459">
        <v>821.78997802734375</v>
      </c>
      <c r="J2459">
        <v>1359</v>
      </c>
    </row>
    <row r="2460" spans="1:10" x14ac:dyDescent="0.25">
      <c r="A2460">
        <v>2129</v>
      </c>
      <c r="B2460" t="str">
        <v>T N Telecom.</v>
      </c>
      <c r="C2460">
        <v>32.469569</v>
      </c>
      <c r="D2460">
        <v>7.8832240104675293</v>
      </c>
      <c r="E2460">
        <v>3.3153700828552246</v>
      </c>
      <c r="F2460">
        <v>0.42056000232696533</v>
      </c>
      <c r="G2460">
        <v>9.8225002288818359</v>
      </c>
      <c r="H2460">
        <v>0</v>
      </c>
      <c r="I2460">
        <v>43.669998168945313</v>
      </c>
      <c r="J2460">
        <v>1263</v>
      </c>
    </row>
    <row r="2461" spans="1:10" x14ac:dyDescent="0.25">
      <c r="A2461">
        <v>28340</v>
      </c>
      <c r="B2461" t="str">
        <v>T R I L</v>
      </c>
      <c r="C2461">
        <v>100.30257400000001</v>
      </c>
      <c r="D2461">
        <v>118.27881622314453</v>
      </c>
      <c r="E2461">
        <v>171.81108093261719</v>
      </c>
      <c r="F2461">
        <v>1.4525940418243408</v>
      </c>
      <c r="G2461">
        <v>480.18740844726563</v>
      </c>
      <c r="H2461">
        <v>0.28999999165534973</v>
      </c>
      <c r="I2461">
        <v>14230.8603515625</v>
      </c>
      <c r="J2461">
        <v>1359</v>
      </c>
    </row>
    <row r="2462" spans="1:10" x14ac:dyDescent="0.25">
      <c r="A2462">
        <v>22092</v>
      </c>
      <c r="B2462" t="str">
        <v>T. Spiritual</v>
      </c>
      <c r="C2462">
        <v>27.311717000000002</v>
      </c>
      <c r="D2462">
        <v>1.1381570100784302</v>
      </c>
      <c r="E2462">
        <v>0.5769919753074646</v>
      </c>
      <c r="F2462">
        <v>0.50695198774337769</v>
      </c>
      <c r="G2462">
        <v>2.0750000476837158</v>
      </c>
      <c r="H2462">
        <v>0</v>
      </c>
      <c r="I2462">
        <v>4.2800002098083496</v>
      </c>
      <c r="J2462">
        <v>1046</v>
      </c>
    </row>
    <row r="2463" spans="1:10" x14ac:dyDescent="0.25">
      <c r="A2463">
        <v>24061</v>
      </c>
      <c r="B2463" t="str">
        <v>T.V. Today Netw.</v>
      </c>
      <c r="C2463">
        <v>-6.978847</v>
      </c>
      <c r="D2463">
        <v>247.73187255859375</v>
      </c>
      <c r="E2463">
        <v>62.477680206298828</v>
      </c>
      <c r="F2463">
        <v>0.25219899415969849</v>
      </c>
      <c r="G2463">
        <v>165.11250305175781</v>
      </c>
      <c r="H2463">
        <v>3.9999999105930328E-2</v>
      </c>
      <c r="I2463">
        <v>983.6400146484375</v>
      </c>
      <c r="J2463">
        <v>1359</v>
      </c>
    </row>
    <row r="2464" spans="1:10" x14ac:dyDescent="0.25">
      <c r="A2464">
        <v>66569</v>
      </c>
      <c r="B2464" t="str">
        <v>TAAL Enterprises</v>
      </c>
      <c r="C2464">
        <v>57.633763000000002</v>
      </c>
      <c r="D2464">
        <v>1631.1309814453125</v>
      </c>
      <c r="E2464">
        <v>1028.5177001953125</v>
      </c>
      <c r="F2464">
        <v>0.63055497407913208</v>
      </c>
      <c r="G2464">
        <v>3356.6875</v>
      </c>
      <c r="H2464">
        <v>1.9999999552965164E-2</v>
      </c>
      <c r="I2464">
        <v>1040.1600341796875</v>
      </c>
      <c r="J2464">
        <v>1359</v>
      </c>
    </row>
    <row r="2465" spans="1:10" x14ac:dyDescent="0.25">
      <c r="A2465">
        <v>17258</v>
      </c>
      <c r="B2465" t="str">
        <v>TCFC Finance</v>
      </c>
      <c r="C2465">
        <v>13.037024000000001</v>
      </c>
      <c r="D2465">
        <v>39.847644805908203</v>
      </c>
      <c r="E2465">
        <v>17.130502700805664</v>
      </c>
      <c r="F2465">
        <v>0.42989999055862427</v>
      </c>
      <c r="G2465">
        <v>46.867500305175781</v>
      </c>
      <c r="H2465">
        <v>0</v>
      </c>
      <c r="I2465">
        <v>48.729999542236328</v>
      </c>
      <c r="J2465">
        <v>1343</v>
      </c>
    </row>
    <row r="2466" spans="1:10" x14ac:dyDescent="0.25">
      <c r="A2466">
        <v>67917</v>
      </c>
      <c r="B2466" t="str">
        <v>TCI Express</v>
      </c>
      <c r="C2466">
        <v>0.35149900000000001</v>
      </c>
      <c r="D2466">
        <v>1257.6143798828125</v>
      </c>
      <c r="E2466">
        <v>439.22421264648438</v>
      </c>
      <c r="F2466">
        <v>0.34925198554992676</v>
      </c>
      <c r="G2466">
        <v>754.36248779296875</v>
      </c>
      <c r="H2466">
        <v>9.9999997764825821E-3</v>
      </c>
      <c r="I2466">
        <v>2866.989990234375</v>
      </c>
      <c r="J2466">
        <v>1359</v>
      </c>
    </row>
    <row r="2467" spans="1:10" x14ac:dyDescent="0.25">
      <c r="A2467">
        <v>3019</v>
      </c>
      <c r="B2467" t="str">
        <v>TCI Finance</v>
      </c>
      <c r="C2467">
        <v>14.280882999999999</v>
      </c>
      <c r="D2467">
        <v>8.046295166015625</v>
      </c>
      <c r="E2467">
        <v>3.8929901123046875</v>
      </c>
      <c r="F2467">
        <v>0.48382401466369629</v>
      </c>
      <c r="G2467">
        <v>18.370000839233398</v>
      </c>
      <c r="H2467">
        <v>0</v>
      </c>
      <c r="I2467">
        <v>23.090000152587891</v>
      </c>
      <c r="J2467">
        <v>888</v>
      </c>
    </row>
    <row r="2468" spans="1:10" x14ac:dyDescent="0.25">
      <c r="A2468">
        <v>547</v>
      </c>
      <c r="B2468" t="str">
        <v>TCI Industries</v>
      </c>
      <c r="C2468">
        <v>11.178013</v>
      </c>
      <c r="D2468">
        <v>1175.9063720703125</v>
      </c>
      <c r="E2468">
        <v>307.2645263671875</v>
      </c>
      <c r="F2468">
        <v>0.26129999756813049</v>
      </c>
      <c r="G2468">
        <v>1251</v>
      </c>
      <c r="H2468">
        <v>0.12999999523162842</v>
      </c>
      <c r="I2468">
        <v>112.58999633789063</v>
      </c>
      <c r="J2468">
        <v>876</v>
      </c>
    </row>
    <row r="2469" spans="1:10" x14ac:dyDescent="0.25">
      <c r="A2469">
        <v>1823</v>
      </c>
      <c r="B2469" t="str">
        <v>TCM</v>
      </c>
      <c r="C2469">
        <v>5.0576030000000003</v>
      </c>
      <c r="D2469">
        <v>42.296474456787109</v>
      </c>
      <c r="E2469">
        <v>8.1520137786865234</v>
      </c>
      <c r="F2469">
        <v>0.19273500144481659</v>
      </c>
      <c r="G2469">
        <v>39.764999389648438</v>
      </c>
      <c r="H2469">
        <v>1.9999999552965164E-2</v>
      </c>
      <c r="I2469">
        <v>29.579999923706055</v>
      </c>
      <c r="J2469">
        <v>1150</v>
      </c>
    </row>
    <row r="2470" spans="1:10" x14ac:dyDescent="0.25">
      <c r="A2470">
        <v>1764</v>
      </c>
      <c r="B2470" t="str">
        <v>TCPL Packaging</v>
      </c>
      <c r="C2470">
        <v>51.389409000000001</v>
      </c>
      <c r="D2470">
        <v>1467.2142333984375</v>
      </c>
      <c r="E2470">
        <v>1145.462646484375</v>
      </c>
      <c r="F2470">
        <v>0.78070598840713501</v>
      </c>
      <c r="G2470">
        <v>3654.1123046875</v>
      </c>
      <c r="H2470">
        <v>0.93000000715255737</v>
      </c>
      <c r="I2470">
        <v>3304.889892578125</v>
      </c>
      <c r="J2470">
        <v>1338</v>
      </c>
    </row>
    <row r="2471" spans="1:10" x14ac:dyDescent="0.25">
      <c r="A2471">
        <v>5400</v>
      </c>
      <c r="B2471" t="str">
        <v>TCS</v>
      </c>
      <c r="C2471">
        <v>8.4866200000000003</v>
      </c>
      <c r="D2471">
        <v>3329.0556640625</v>
      </c>
      <c r="E2471">
        <v>627.97149658203125</v>
      </c>
      <c r="F2471">
        <v>0.188633993268013</v>
      </c>
      <c r="G2471">
        <v>3434.5751953125</v>
      </c>
      <c r="H2471">
        <v>9.0000003576278687E-2</v>
      </c>
      <c r="I2471">
        <v>1238923.625</v>
      </c>
      <c r="J2471">
        <v>1359</v>
      </c>
    </row>
    <row r="2472" spans="1:10" x14ac:dyDescent="0.25">
      <c r="A2472">
        <v>34673</v>
      </c>
      <c r="B2472" t="str">
        <v>TD Power Systems</v>
      </c>
      <c r="C2472">
        <v>57.157024</v>
      </c>
      <c r="D2472">
        <v>172.08535766601563</v>
      </c>
      <c r="E2472">
        <v>146.28575134277344</v>
      </c>
      <c r="F2472">
        <v>0.85007697343826294</v>
      </c>
      <c r="G2472">
        <v>522.11248779296875</v>
      </c>
      <c r="H2472">
        <v>0</v>
      </c>
      <c r="I2472">
        <v>8048.14013671875</v>
      </c>
      <c r="J2472">
        <v>1351</v>
      </c>
    </row>
    <row r="2473" spans="1:10" x14ac:dyDescent="0.25">
      <c r="A2473">
        <v>27437</v>
      </c>
      <c r="B2473" t="str">
        <v>TGB Banquets</v>
      </c>
      <c r="C2473">
        <v>25.820074999999999</v>
      </c>
      <c r="D2473">
        <v>10.11075496673584</v>
      </c>
      <c r="E2473">
        <v>4.0286211967468262</v>
      </c>
      <c r="F2473">
        <v>0.39844900369644165</v>
      </c>
      <c r="G2473">
        <v>13.435000419616699</v>
      </c>
      <c r="H2473">
        <v>0.15000000596046448</v>
      </c>
      <c r="I2473">
        <v>38.689998626708984</v>
      </c>
      <c r="J2473">
        <v>1306</v>
      </c>
    </row>
    <row r="2474" spans="1:10" x14ac:dyDescent="0.25">
      <c r="A2474">
        <v>857</v>
      </c>
      <c r="B2474" t="str">
        <v>TGV Sraac</v>
      </c>
      <c r="C2474">
        <v>26.516548</v>
      </c>
      <c r="D2474">
        <v>75.997047424316406</v>
      </c>
      <c r="E2474">
        <v>40.092704772949219</v>
      </c>
      <c r="F2474">
        <v>0.52755600214004517</v>
      </c>
      <c r="G2474">
        <v>97.224998474121094</v>
      </c>
      <c r="H2474">
        <v>0.25999999046325684</v>
      </c>
      <c r="I2474">
        <v>1031.81005859375</v>
      </c>
      <c r="J2474">
        <v>1359</v>
      </c>
    </row>
    <row r="2475" spans="1:10" x14ac:dyDescent="0.25">
      <c r="A2475">
        <v>569</v>
      </c>
      <c r="B2475" t="str">
        <v>TIL</v>
      </c>
      <c r="C2475">
        <v>38.477791000000003</v>
      </c>
      <c r="D2475">
        <v>103.07386779785156</v>
      </c>
      <c r="E2475">
        <v>104.82722473144531</v>
      </c>
      <c r="F2475">
        <v>1.0170110464096069</v>
      </c>
      <c r="G2475">
        <v>359.54998779296875</v>
      </c>
      <c r="H2475">
        <v>0</v>
      </c>
      <c r="I2475">
        <v>2371.030029296875</v>
      </c>
      <c r="J2475">
        <v>1350</v>
      </c>
    </row>
    <row r="2476" spans="1:10" x14ac:dyDescent="0.25">
      <c r="A2476">
        <v>4150</v>
      </c>
      <c r="B2476" t="str">
        <v>TPL Plastech</v>
      </c>
      <c r="C2476">
        <v>35.458930000000002</v>
      </c>
      <c r="D2476">
        <v>44.117076873779297</v>
      </c>
      <c r="E2476">
        <v>30.358301162719727</v>
      </c>
      <c r="F2476">
        <v>0.68813002109527588</v>
      </c>
      <c r="G2476">
        <v>79.095001220703125</v>
      </c>
      <c r="H2476">
        <v>0.30000001192092896</v>
      </c>
      <c r="I2476">
        <v>610.6099853515625</v>
      </c>
      <c r="J2476">
        <v>1345</v>
      </c>
    </row>
    <row r="2477" spans="1:10" x14ac:dyDescent="0.25">
      <c r="A2477">
        <v>556</v>
      </c>
      <c r="B2477" t="str">
        <v>TRF</v>
      </c>
      <c r="C2477">
        <v>21.151817999999999</v>
      </c>
      <c r="D2477">
        <v>223.00245666503906</v>
      </c>
      <c r="E2477">
        <v>151.22541809082031</v>
      </c>
      <c r="F2477">
        <v>0.67813301086425781</v>
      </c>
      <c r="G2477">
        <v>377.96249389648438</v>
      </c>
      <c r="H2477">
        <v>0.36000001430511475</v>
      </c>
      <c r="I2477">
        <v>405.95999145507813</v>
      </c>
      <c r="J2477">
        <v>1318</v>
      </c>
    </row>
    <row r="2478" spans="1:10" x14ac:dyDescent="0.25">
      <c r="A2478">
        <v>26426</v>
      </c>
      <c r="B2478" t="str">
        <v>TTI Enterprise</v>
      </c>
      <c r="C2478">
        <v>50.938833000000002</v>
      </c>
      <c r="D2478">
        <v>13.556309700012207</v>
      </c>
      <c r="E2478">
        <v>10.05333137512207</v>
      </c>
      <c r="F2478">
        <v>0.74159801006317139</v>
      </c>
      <c r="G2478">
        <v>10.734999656677246</v>
      </c>
      <c r="H2478">
        <v>2.9999999329447746E-2</v>
      </c>
      <c r="I2478">
        <v>26.290000915527344</v>
      </c>
      <c r="J2478">
        <v>1181</v>
      </c>
    </row>
    <row r="2479" spans="1:10" x14ac:dyDescent="0.25">
      <c r="A2479">
        <v>780</v>
      </c>
      <c r="B2479" t="str">
        <v>TTK Healthcare</v>
      </c>
      <c r="C2479">
        <v>18.092195</v>
      </c>
      <c r="D2479">
        <v>952.24517822265625</v>
      </c>
      <c r="E2479">
        <v>388.35372924804688</v>
      </c>
      <c r="F2479">
        <v>0.40782999992370605</v>
      </c>
      <c r="G2479">
        <v>1283.862548828125</v>
      </c>
      <c r="H2479">
        <v>2.9999999329447746E-2</v>
      </c>
      <c r="I2479">
        <v>1819.280029296875</v>
      </c>
      <c r="J2479">
        <v>1351</v>
      </c>
    </row>
    <row r="2480" spans="1:10" x14ac:dyDescent="0.25">
      <c r="A2480">
        <v>4301</v>
      </c>
      <c r="B2480" t="str">
        <v>TTK Prestige</v>
      </c>
      <c r="C2480">
        <v>1.431343</v>
      </c>
      <c r="D2480">
        <v>762.43048095703125</v>
      </c>
      <c r="E2480">
        <v>142.71754455566406</v>
      </c>
      <c r="F2480">
        <v>0.18718799948692322</v>
      </c>
      <c r="G2480">
        <v>620.78759765625</v>
      </c>
      <c r="H2480">
        <v>3.9999999105930328E-2</v>
      </c>
      <c r="I2480">
        <v>8591.4599609375</v>
      </c>
      <c r="J2480">
        <v>1359</v>
      </c>
    </row>
    <row r="2481" spans="1:10" x14ac:dyDescent="0.25">
      <c r="A2481">
        <v>41403</v>
      </c>
      <c r="B2481" t="str">
        <v>TV Vision</v>
      </c>
      <c r="C2481">
        <v>39.038246999999998</v>
      </c>
      <c r="D2481">
        <v>4.9830942153930664</v>
      </c>
      <c r="E2481">
        <v>5.108057975769043</v>
      </c>
      <c r="F2481">
        <v>1.0250780582427979</v>
      </c>
      <c r="G2481">
        <v>7.6750001907348633</v>
      </c>
      <c r="H2481">
        <v>0</v>
      </c>
      <c r="I2481">
        <v>29.639999389648438</v>
      </c>
      <c r="J2481">
        <v>1040</v>
      </c>
    </row>
    <row r="2482" spans="1:10" x14ac:dyDescent="0.25">
      <c r="A2482">
        <v>14001</v>
      </c>
      <c r="B2482" t="str">
        <v>TVS Elec.</v>
      </c>
      <c r="C2482">
        <v>26.127791999999999</v>
      </c>
      <c r="D2482">
        <v>252.69293212890625</v>
      </c>
      <c r="E2482">
        <v>112.00243377685547</v>
      </c>
      <c r="F2482">
        <v>0.44323500990867615</v>
      </c>
      <c r="G2482">
        <v>416.0625</v>
      </c>
      <c r="H2482">
        <v>0.27000001072883606</v>
      </c>
      <c r="I2482">
        <v>769.8900146484375</v>
      </c>
      <c r="J2482">
        <v>1359</v>
      </c>
    </row>
    <row r="2483" spans="1:10" x14ac:dyDescent="0.25">
      <c r="A2483">
        <v>8029</v>
      </c>
      <c r="B2483" t="str">
        <v>TVS Motor Co.</v>
      </c>
      <c r="C2483">
        <v>33.851224999999999</v>
      </c>
      <c r="D2483">
        <v>1233.0338134765625</v>
      </c>
      <c r="E2483">
        <v>802.0557861328125</v>
      </c>
      <c r="F2483">
        <v>0.65047401189804077</v>
      </c>
      <c r="G2483">
        <v>2773.925048828125</v>
      </c>
      <c r="H2483">
        <v>0.34000000357627869</v>
      </c>
      <c r="I2483">
        <v>131969.703125</v>
      </c>
      <c r="J2483">
        <v>1359</v>
      </c>
    </row>
    <row r="2484" spans="1:10" x14ac:dyDescent="0.25">
      <c r="A2484">
        <v>526</v>
      </c>
      <c r="B2484" t="str">
        <v>TVS Srichakra</v>
      </c>
      <c r="C2484">
        <v>11.197025</v>
      </c>
      <c r="D2484">
        <v>2651.06298828125</v>
      </c>
      <c r="E2484">
        <v>1029.2200927734375</v>
      </c>
      <c r="F2484">
        <v>0.38822901248931885</v>
      </c>
      <c r="G2484">
        <v>3052.925048828125</v>
      </c>
      <c r="H2484">
        <v>0.68000000715255737</v>
      </c>
      <c r="I2484">
        <v>2307.419921875</v>
      </c>
      <c r="J2484">
        <v>1359</v>
      </c>
    </row>
    <row r="2485" spans="1:10" x14ac:dyDescent="0.25">
      <c r="A2485">
        <v>4109</v>
      </c>
      <c r="B2485" t="str">
        <v>Tai Industries</v>
      </c>
      <c r="C2485">
        <v>22.182133</v>
      </c>
      <c r="D2485">
        <v>34.060108184814453</v>
      </c>
      <c r="E2485">
        <v>14.55797290802002</v>
      </c>
      <c r="F2485">
        <v>0.4274199903011322</v>
      </c>
      <c r="G2485">
        <v>39.025001525878906</v>
      </c>
      <c r="H2485">
        <v>2.9999999329447746E-2</v>
      </c>
      <c r="I2485">
        <v>22.620000839233398</v>
      </c>
      <c r="J2485">
        <v>1253</v>
      </c>
    </row>
    <row r="2486" spans="1:10" x14ac:dyDescent="0.25">
      <c r="A2486">
        <v>979</v>
      </c>
      <c r="B2486" t="str">
        <v>Tainwala Chem.</v>
      </c>
      <c r="C2486">
        <v>26.812225000000002</v>
      </c>
      <c r="D2486">
        <v>116.81481170654297</v>
      </c>
      <c r="E2486">
        <v>66.001602172851563</v>
      </c>
      <c r="F2486">
        <v>0.56501102447509766</v>
      </c>
      <c r="G2486">
        <v>230.82499694824219</v>
      </c>
      <c r="H2486">
        <v>0</v>
      </c>
      <c r="I2486">
        <v>217.89999389648438</v>
      </c>
      <c r="J2486">
        <v>1311</v>
      </c>
    </row>
    <row r="2487" spans="1:10" x14ac:dyDescent="0.25">
      <c r="A2487">
        <v>20754</v>
      </c>
      <c r="B2487" t="str">
        <v>TajGVK Hotels</v>
      </c>
      <c r="C2487">
        <v>16.593720999999999</v>
      </c>
      <c r="D2487">
        <v>218.29803466796875</v>
      </c>
      <c r="E2487">
        <v>99.243820190429688</v>
      </c>
      <c r="F2487">
        <v>0.45462501049041748</v>
      </c>
      <c r="G2487">
        <v>398.57501220703125</v>
      </c>
      <c r="H2487">
        <v>0.23999999463558197</v>
      </c>
      <c r="I2487">
        <v>2471.3798828125</v>
      </c>
      <c r="J2487">
        <v>1359</v>
      </c>
    </row>
    <row r="2488" spans="1:10" x14ac:dyDescent="0.25">
      <c r="A2488">
        <v>27715</v>
      </c>
      <c r="B2488" t="str">
        <v>Take Solutions</v>
      </c>
      <c r="C2488">
        <v>-42.427269000000003</v>
      </c>
      <c r="D2488">
        <v>34.404548645019531</v>
      </c>
      <c r="E2488">
        <v>20.29994010925293</v>
      </c>
      <c r="F2488">
        <v>0.59003597497940063</v>
      </c>
      <c r="G2488">
        <v>8.5950002670288086</v>
      </c>
      <c r="H2488">
        <v>0</v>
      </c>
      <c r="I2488">
        <v>125.73999786376953</v>
      </c>
      <c r="J2488">
        <v>1359</v>
      </c>
    </row>
    <row r="2489" spans="1:10" x14ac:dyDescent="0.25">
      <c r="A2489">
        <v>549</v>
      </c>
      <c r="B2489" t="str">
        <v>Talbros Auto.</v>
      </c>
      <c r="C2489">
        <v>48.069397000000002</v>
      </c>
      <c r="D2489">
        <v>140.8057861328125</v>
      </c>
      <c r="E2489">
        <v>110.86981964111328</v>
      </c>
      <c r="F2489">
        <v>0.78739500045776367</v>
      </c>
      <c r="G2489">
        <v>288.1875</v>
      </c>
      <c r="H2489">
        <v>0.2199999988079071</v>
      </c>
      <c r="I2489">
        <v>1745.97998046875</v>
      </c>
      <c r="J2489">
        <v>1359</v>
      </c>
    </row>
    <row r="2490" spans="1:10" x14ac:dyDescent="0.25">
      <c r="A2490">
        <v>7713</v>
      </c>
      <c r="B2490" t="str">
        <v>Talbros Engg.</v>
      </c>
      <c r="C2490">
        <v>34.824323</v>
      </c>
      <c r="D2490">
        <v>414.30584716796875</v>
      </c>
      <c r="E2490">
        <v>227.91233825683594</v>
      </c>
      <c r="F2490">
        <v>0.5501059889793396</v>
      </c>
      <c r="G2490">
        <v>575.9375</v>
      </c>
      <c r="H2490">
        <v>0.8399999737739563</v>
      </c>
      <c r="I2490">
        <v>289.3599853515625</v>
      </c>
      <c r="J2490">
        <v>1354</v>
      </c>
    </row>
    <row r="2491" spans="1:10" x14ac:dyDescent="0.25">
      <c r="A2491">
        <v>37382</v>
      </c>
      <c r="B2491" t="str">
        <v>Talwal.Better</v>
      </c>
      <c r="C2491">
        <v>-64.323249000000004</v>
      </c>
      <c r="D2491">
        <v>2.5405230522155762</v>
      </c>
      <c r="E2491">
        <v>1.0196089744567871</v>
      </c>
      <c r="F2491">
        <v>0.40133801102638245</v>
      </c>
      <c r="G2491">
        <v>1.4500000476837158</v>
      </c>
      <c r="H2491">
        <v>0.70999997854232788</v>
      </c>
      <c r="I2491">
        <v>4.5</v>
      </c>
      <c r="J2491">
        <v>196</v>
      </c>
    </row>
    <row r="2492" spans="1:10" x14ac:dyDescent="0.25">
      <c r="A2492">
        <v>69486</v>
      </c>
      <c r="B2492" t="str">
        <v>Talwalkars Heal.</v>
      </c>
      <c r="C2492">
        <v>-85.390607000000003</v>
      </c>
      <c r="D2492">
        <v>1.6680500507354736</v>
      </c>
      <c r="E2492">
        <v>0.70540100336074829</v>
      </c>
      <c r="F2492">
        <v>0.42288899421691895</v>
      </c>
      <c r="G2492">
        <v>0.99000000953674316</v>
      </c>
      <c r="H2492">
        <v>0.85000002384185791</v>
      </c>
      <c r="I2492">
        <v>2.9500000476837158</v>
      </c>
      <c r="J2492">
        <v>200</v>
      </c>
    </row>
    <row r="2493" spans="1:10" x14ac:dyDescent="0.25">
      <c r="A2493">
        <v>29932</v>
      </c>
      <c r="B2493" t="str">
        <v>Tamboli Industri</v>
      </c>
      <c r="C2493">
        <v>25.980785000000001</v>
      </c>
      <c r="D2493">
        <v>101.39149475097656</v>
      </c>
      <c r="E2493">
        <v>49.563667297363281</v>
      </c>
      <c r="F2493">
        <v>0.48883500695228577</v>
      </c>
      <c r="G2493">
        <v>161.66250610351563</v>
      </c>
      <c r="H2493">
        <v>0</v>
      </c>
      <c r="I2493">
        <v>154.30999755859375</v>
      </c>
      <c r="J2493">
        <v>1344</v>
      </c>
    </row>
    <row r="2494" spans="1:10" x14ac:dyDescent="0.25">
      <c r="A2494">
        <v>3755</v>
      </c>
      <c r="B2494" t="str">
        <v>Taneja Aerospace</v>
      </c>
      <c r="C2494">
        <v>54.745646999999998</v>
      </c>
      <c r="D2494">
        <v>188.03971862792969</v>
      </c>
      <c r="E2494">
        <v>169.50703430175781</v>
      </c>
      <c r="F2494">
        <v>0.9014430046081543</v>
      </c>
      <c r="G2494">
        <v>370.83749389648438</v>
      </c>
      <c r="H2494">
        <v>0</v>
      </c>
      <c r="I2494">
        <v>941.989990234375</v>
      </c>
      <c r="J2494">
        <v>1359</v>
      </c>
    </row>
    <row r="2495" spans="1:10" x14ac:dyDescent="0.25">
      <c r="A2495">
        <v>548</v>
      </c>
      <c r="B2495" t="str">
        <v>Tanfac Inds.</v>
      </c>
      <c r="C2495">
        <v>66.760159999999999</v>
      </c>
      <c r="D2495">
        <v>1188.75732421875</v>
      </c>
      <c r="E2495">
        <v>991.5106201171875</v>
      </c>
      <c r="F2495">
        <v>0.83407300710678101</v>
      </c>
      <c r="G2495">
        <v>3486.537109375</v>
      </c>
      <c r="H2495">
        <v>0</v>
      </c>
      <c r="I2495">
        <v>3424.1201171875</v>
      </c>
      <c r="J2495">
        <v>1359</v>
      </c>
    </row>
    <row r="2496" spans="1:10" x14ac:dyDescent="0.25">
      <c r="A2496">
        <v>24392</v>
      </c>
      <c r="B2496" t="str">
        <v>Tanla Platforms</v>
      </c>
      <c r="C2496">
        <v>42.843890000000002</v>
      </c>
      <c r="D2496">
        <v>795.8709716796875</v>
      </c>
      <c r="E2496">
        <v>404.69754028320313</v>
      </c>
      <c r="F2496">
        <v>0.5084959864616394</v>
      </c>
      <c r="G2496">
        <v>651.26239013671875</v>
      </c>
      <c r="H2496">
        <v>0.2199999988079071</v>
      </c>
      <c r="I2496">
        <v>8660.6103515625</v>
      </c>
      <c r="J2496">
        <v>1359</v>
      </c>
    </row>
    <row r="2497" spans="1:10" x14ac:dyDescent="0.25">
      <c r="A2497">
        <v>3299</v>
      </c>
      <c r="B2497" t="str">
        <v>Tarai Foods</v>
      </c>
      <c r="C2497">
        <v>11.710058</v>
      </c>
      <c r="D2497">
        <v>7.0613641738891602</v>
      </c>
      <c r="E2497">
        <v>2.4997479915618896</v>
      </c>
      <c r="F2497">
        <v>0.35400399565696716</v>
      </c>
      <c r="G2497">
        <v>9.3549995422363281</v>
      </c>
      <c r="H2497">
        <v>0</v>
      </c>
      <c r="I2497">
        <v>16.809999465942383</v>
      </c>
      <c r="J2497">
        <v>1286</v>
      </c>
    </row>
    <row r="2498" spans="1:10" x14ac:dyDescent="0.25">
      <c r="A2498">
        <v>28331</v>
      </c>
      <c r="B2498" t="str">
        <v>Tarapur Trans</v>
      </c>
      <c r="C2498">
        <v>40.688074999999998</v>
      </c>
      <c r="D2498">
        <v>10.551435470581055</v>
      </c>
      <c r="E2498">
        <v>10.735140800476074</v>
      </c>
      <c r="F2498">
        <v>1.0174100399017334</v>
      </c>
      <c r="G2498">
        <v>30.239999771118164</v>
      </c>
      <c r="H2498">
        <v>0</v>
      </c>
      <c r="I2498">
        <v>60.139999389648438</v>
      </c>
      <c r="J2498">
        <v>1043</v>
      </c>
    </row>
    <row r="2499" spans="1:10" x14ac:dyDescent="0.25">
      <c r="A2499">
        <v>27678</v>
      </c>
      <c r="B2499" t="str">
        <v>Tarmat</v>
      </c>
      <c r="C2499">
        <v>16.641608999999999</v>
      </c>
      <c r="D2499">
        <v>63.273670196533203</v>
      </c>
      <c r="E2499">
        <v>19.779022216796875</v>
      </c>
      <c r="F2499">
        <v>0.31259500980377197</v>
      </c>
      <c r="G2499">
        <v>55.422500610351563</v>
      </c>
      <c r="H2499">
        <v>5.9999998658895493E-2</v>
      </c>
      <c r="I2499">
        <v>129.19999694824219</v>
      </c>
      <c r="J2499">
        <v>1318</v>
      </c>
    </row>
    <row r="2500" spans="1:10" x14ac:dyDescent="0.25">
      <c r="A2500">
        <v>1897</v>
      </c>
      <c r="B2500" t="str">
        <v>Tasty Bite Eat.</v>
      </c>
      <c r="C2500">
        <v>4.6070760000000002</v>
      </c>
      <c r="D2500">
        <v>12301.537109375</v>
      </c>
      <c r="E2500">
        <v>2644.657958984375</v>
      </c>
      <c r="F2500">
        <v>0.21498599648475647</v>
      </c>
      <c r="G2500">
        <v>10614.4619140625</v>
      </c>
      <c r="H2500">
        <v>0.41999998688697815</v>
      </c>
      <c r="I2500">
        <v>2687.360107421875</v>
      </c>
      <c r="J2500">
        <v>1357</v>
      </c>
    </row>
    <row r="2501" spans="1:10" x14ac:dyDescent="0.25">
      <c r="A2501">
        <v>552</v>
      </c>
      <c r="B2501" t="str">
        <v>Tata Chemicals</v>
      </c>
      <c r="C2501">
        <v>21.521691000000001</v>
      </c>
      <c r="D2501">
        <v>834.23095703125</v>
      </c>
      <c r="E2501">
        <v>277.45361328125</v>
      </c>
      <c r="F2501">
        <v>0.33258599042892456</v>
      </c>
      <c r="G2501">
        <v>917.2125244140625</v>
      </c>
      <c r="H2501">
        <v>5.9999998658895493E-2</v>
      </c>
      <c r="I2501">
        <v>23150.0390625</v>
      </c>
      <c r="J2501">
        <v>1359</v>
      </c>
    </row>
    <row r="2502" spans="1:10" x14ac:dyDescent="0.25">
      <c r="A2502">
        <v>2295</v>
      </c>
      <c r="B2502" t="str">
        <v>Tata Comm</v>
      </c>
      <c r="C2502">
        <v>26.974285999999999</v>
      </c>
      <c r="D2502">
        <v>1314.0042724609375</v>
      </c>
      <c r="E2502">
        <v>433.5521240234375</v>
      </c>
      <c r="F2502">
        <v>0.32994699478149414</v>
      </c>
      <c r="G2502">
        <v>1663.2498779296875</v>
      </c>
      <c r="H2502">
        <v>0.34999999403953552</v>
      </c>
      <c r="I2502">
        <v>46972.28125</v>
      </c>
      <c r="J2502">
        <v>1359</v>
      </c>
    </row>
    <row r="2503" spans="1:10" x14ac:dyDescent="0.25">
      <c r="A2503">
        <v>557</v>
      </c>
      <c r="B2503" t="str">
        <v>Tata Consumer</v>
      </c>
      <c r="C2503">
        <v>22.908799999999999</v>
      </c>
      <c r="D2503">
        <v>785.73382568359375</v>
      </c>
      <c r="E2503">
        <v>236.06832885742188</v>
      </c>
      <c r="F2503">
        <v>0.30044299364089966</v>
      </c>
      <c r="G2503">
        <v>1077.2125244140625</v>
      </c>
      <c r="H2503">
        <v>7.0000000298023224E-2</v>
      </c>
      <c r="I2503">
        <v>107658.8125</v>
      </c>
      <c r="J2503">
        <v>1359</v>
      </c>
    </row>
    <row r="2504" spans="1:10" x14ac:dyDescent="0.25">
      <c r="A2504">
        <v>2322</v>
      </c>
      <c r="B2504" t="str">
        <v>Tata Elxsi</v>
      </c>
      <c r="C2504">
        <v>39.111300999999997</v>
      </c>
      <c r="D2504">
        <v>5559.99853515625</v>
      </c>
      <c r="E2504">
        <v>2603.099853515625</v>
      </c>
      <c r="F2504">
        <v>0.46818399429321289</v>
      </c>
      <c r="G2504">
        <v>6371.4375</v>
      </c>
      <c r="H2504">
        <v>7.9999998211860657E-2</v>
      </c>
      <c r="I2504">
        <v>38714.921875</v>
      </c>
      <c r="J2504">
        <v>1359</v>
      </c>
    </row>
    <row r="2505" spans="1:10" x14ac:dyDescent="0.25">
      <c r="A2505">
        <v>298</v>
      </c>
      <c r="B2505" t="str">
        <v>Tata Inv.Corpn.</v>
      </c>
      <c r="C2505">
        <v>40.023704000000002</v>
      </c>
      <c r="D2505">
        <v>2884.53125</v>
      </c>
      <c r="E2505">
        <v>2276.796142578125</v>
      </c>
      <c r="F2505">
        <v>0.78931200504302979</v>
      </c>
      <c r="G2505">
        <v>6506.625</v>
      </c>
      <c r="H2505">
        <v>0</v>
      </c>
      <c r="I2505">
        <v>32500.140625</v>
      </c>
      <c r="J2505">
        <v>1359</v>
      </c>
    </row>
    <row r="2506" spans="1:10" x14ac:dyDescent="0.25">
      <c r="A2506">
        <v>560</v>
      </c>
      <c r="B2506" t="str">
        <v>Tata Motors</v>
      </c>
      <c r="C2506">
        <v>24.253775000000001</v>
      </c>
      <c r="D2506">
        <v>500.18569946289063</v>
      </c>
      <c r="E2506">
        <v>273.86386108398438</v>
      </c>
      <c r="F2506">
        <v>0.54752397537231445</v>
      </c>
      <c r="G2506">
        <v>671.5625</v>
      </c>
      <c r="H2506">
        <v>0.36000001430511475</v>
      </c>
      <c r="I2506">
        <v>247467.90625</v>
      </c>
      <c r="J2506">
        <v>1359</v>
      </c>
    </row>
    <row r="2507" spans="1:10" x14ac:dyDescent="0.25">
      <c r="A2507">
        <v>566</v>
      </c>
      <c r="B2507" t="str">
        <v>Tata Steel</v>
      </c>
      <c r="C2507">
        <v>21.940826000000001</v>
      </c>
      <c r="D2507">
        <v>109.28857421875</v>
      </c>
      <c r="E2507">
        <v>40.169376373291016</v>
      </c>
      <c r="F2507">
        <v>0.3675529956817627</v>
      </c>
      <c r="G2507">
        <v>151.42500305175781</v>
      </c>
      <c r="H2507">
        <v>0.34000000357627869</v>
      </c>
      <c r="I2507">
        <v>188438.84375</v>
      </c>
      <c r="J2507">
        <v>1359</v>
      </c>
    </row>
    <row r="2508" spans="1:10" x14ac:dyDescent="0.25">
      <c r="A2508">
        <v>21214</v>
      </c>
      <c r="B2508" t="str">
        <v>Tata Tele. Mah.</v>
      </c>
      <c r="C2508">
        <v>66.775902000000002</v>
      </c>
      <c r="D2508">
        <v>67.420890808105469</v>
      </c>
      <c r="E2508">
        <v>47.782505035400391</v>
      </c>
      <c r="F2508">
        <v>0.70872002840042114</v>
      </c>
      <c r="G2508">
        <v>65.705001831054688</v>
      </c>
      <c r="H2508">
        <v>0</v>
      </c>
      <c r="I2508">
        <v>12491.990234375</v>
      </c>
      <c r="J2508">
        <v>1359</v>
      </c>
    </row>
    <row r="2509" spans="1:10" x14ac:dyDescent="0.25">
      <c r="A2509">
        <v>4505</v>
      </c>
      <c r="B2509" t="str">
        <v>Tatia Global</v>
      </c>
      <c r="C2509">
        <v>52.512233000000002</v>
      </c>
      <c r="D2509">
        <v>2.2222499847412109</v>
      </c>
      <c r="E2509">
        <v>1.4290070533752441</v>
      </c>
      <c r="F2509">
        <v>0.64304500818252563</v>
      </c>
      <c r="G2509">
        <v>2.942500114440918</v>
      </c>
      <c r="H2509">
        <v>0</v>
      </c>
      <c r="I2509">
        <v>44.270000457763672</v>
      </c>
      <c r="J2509">
        <v>1257</v>
      </c>
    </row>
    <row r="2510" spans="1:10" x14ac:dyDescent="0.25">
      <c r="A2510">
        <v>5903</v>
      </c>
      <c r="B2510" t="str">
        <v>Tavernier Res.</v>
      </c>
      <c r="C2510">
        <v>36.766084999999997</v>
      </c>
      <c r="D2510">
        <v>21.705230712890625</v>
      </c>
      <c r="E2510">
        <v>19.346168518066406</v>
      </c>
      <c r="F2510">
        <v>0.89131402969360352</v>
      </c>
      <c r="G2510">
        <v>63.279998779296875</v>
      </c>
      <c r="H2510">
        <v>0.28999999165534973</v>
      </c>
      <c r="I2510">
        <v>37.840000152587891</v>
      </c>
      <c r="J2510">
        <v>422</v>
      </c>
    </row>
    <row r="2511" spans="1:10" x14ac:dyDescent="0.25">
      <c r="A2511">
        <v>72184</v>
      </c>
      <c r="B2511" t="str">
        <v>Taylormade Renew</v>
      </c>
      <c r="C2511">
        <v>68.199256000000005</v>
      </c>
      <c r="D2511">
        <v>300.42486572265625</v>
      </c>
      <c r="E2511">
        <v>238.28694152832031</v>
      </c>
      <c r="F2511">
        <v>0.79316598176956177</v>
      </c>
      <c r="G2511">
        <v>275.91250610351563</v>
      </c>
      <c r="H2511">
        <v>0.11999999731779099</v>
      </c>
      <c r="I2511">
        <v>329.1199951171875</v>
      </c>
      <c r="J2511">
        <v>858</v>
      </c>
    </row>
    <row r="2512" spans="1:10" x14ac:dyDescent="0.25">
      <c r="A2512">
        <v>558</v>
      </c>
      <c r="B2512" t="str">
        <v>Tayo Rolls</v>
      </c>
      <c r="C2512">
        <v>24.281126</v>
      </c>
      <c r="D2512">
        <v>72.689926147460938</v>
      </c>
      <c r="E2512">
        <v>34.086578369140625</v>
      </c>
      <c r="F2512">
        <v>0.46893098950386047</v>
      </c>
      <c r="G2512">
        <v>89.040000915527344</v>
      </c>
      <c r="H2512">
        <v>0</v>
      </c>
      <c r="I2512">
        <v>91.720001220703125</v>
      </c>
      <c r="J2512">
        <v>1123</v>
      </c>
    </row>
    <row r="2513" spans="1:10" x14ac:dyDescent="0.25">
      <c r="A2513">
        <v>24915</v>
      </c>
      <c r="B2513" t="str">
        <v>Team Lease Serv.</v>
      </c>
      <c r="C2513">
        <v>-4.1214490000000001</v>
      </c>
      <c r="D2513">
        <v>2882.668701171875</v>
      </c>
      <c r="E2513">
        <v>747.2762451171875</v>
      </c>
      <c r="F2513">
        <v>0.25923100113868713</v>
      </c>
      <c r="G2513">
        <v>2007.012451171875</v>
      </c>
      <c r="H2513">
        <v>0.10999999940395355</v>
      </c>
      <c r="I2513">
        <v>3332.47998046875</v>
      </c>
      <c r="J2513">
        <v>1359</v>
      </c>
    </row>
    <row r="2514" spans="1:10" x14ac:dyDescent="0.25">
      <c r="A2514">
        <v>27966</v>
      </c>
      <c r="B2514" t="str">
        <v>Teamo Production</v>
      </c>
      <c r="C2514">
        <v>32.275381000000003</v>
      </c>
      <c r="D2514">
        <v>1.0787479877471924</v>
      </c>
      <c r="E2514">
        <v>0.65006202459335327</v>
      </c>
      <c r="F2514">
        <v>0.60260802507400513</v>
      </c>
      <c r="G2514">
        <v>0.76499998569488525</v>
      </c>
      <c r="H2514">
        <v>9.9999997764825821E-3</v>
      </c>
      <c r="I2514">
        <v>84.410003662109375</v>
      </c>
      <c r="J2514">
        <v>761</v>
      </c>
    </row>
    <row r="2515" spans="1:10" x14ac:dyDescent="0.25">
      <c r="A2515">
        <v>17215</v>
      </c>
      <c r="B2515" t="str">
        <v>Tech Mahindra</v>
      </c>
      <c r="C2515">
        <v>14.703832</v>
      </c>
      <c r="D2515">
        <v>1181.7755126953125</v>
      </c>
      <c r="E2515">
        <v>317.5650634765625</v>
      </c>
      <c r="F2515">
        <v>0.26871898770332336</v>
      </c>
      <c r="G2515">
        <v>1682.125</v>
      </c>
      <c r="H2515">
        <v>1.9999999552965164E-2</v>
      </c>
      <c r="I2515">
        <v>164780.234375</v>
      </c>
      <c r="J2515">
        <v>1359</v>
      </c>
    </row>
    <row r="2516" spans="1:10" x14ac:dyDescent="0.25">
      <c r="A2516">
        <v>37716</v>
      </c>
      <c r="B2516" t="str">
        <v>Techno Elec.Engg</v>
      </c>
      <c r="C2516">
        <v>31.738302999999998</v>
      </c>
      <c r="D2516">
        <v>559.13873291015625</v>
      </c>
      <c r="E2516">
        <v>455.30841064453125</v>
      </c>
      <c r="F2516">
        <v>0.81430298089981079</v>
      </c>
      <c r="G2516">
        <v>1491.72509765625</v>
      </c>
      <c r="H2516">
        <v>0</v>
      </c>
      <c r="I2516">
        <v>17044.279296875</v>
      </c>
      <c r="J2516">
        <v>1351</v>
      </c>
    </row>
    <row r="2517" spans="1:10" x14ac:dyDescent="0.25">
      <c r="A2517">
        <v>26912</v>
      </c>
      <c r="B2517" t="str">
        <v>Technocraf.Inds.</v>
      </c>
      <c r="C2517">
        <v>44.084918000000002</v>
      </c>
      <c r="D2517">
        <v>1352.6385498046875</v>
      </c>
      <c r="E2517">
        <v>975.4454345703125</v>
      </c>
      <c r="F2517">
        <v>0.72114300727844238</v>
      </c>
      <c r="G2517">
        <v>2855.7001953125</v>
      </c>
      <c r="H2517">
        <v>0.36000001430511475</v>
      </c>
      <c r="I2517">
        <v>6476.56982421875</v>
      </c>
      <c r="J2517">
        <v>1357</v>
      </c>
    </row>
    <row r="2518" spans="1:10" x14ac:dyDescent="0.25">
      <c r="A2518">
        <v>13786</v>
      </c>
      <c r="B2518" t="str">
        <v>Technofab Engg.</v>
      </c>
      <c r="C2518">
        <v>-45.732981000000002</v>
      </c>
      <c r="D2518">
        <v>9.713749885559082</v>
      </c>
      <c r="E2518">
        <v>3.8660449981689453</v>
      </c>
      <c r="F2518">
        <v>0.39799699187278748</v>
      </c>
      <c r="G2518">
        <v>6.7624998092651367</v>
      </c>
      <c r="H2518">
        <v>0</v>
      </c>
      <c r="I2518">
        <v>7.190000057220459</v>
      </c>
      <c r="J2518">
        <v>258</v>
      </c>
    </row>
    <row r="2519" spans="1:10" x14ac:dyDescent="0.25">
      <c r="A2519">
        <v>1668</v>
      </c>
      <c r="B2519" t="str">
        <v>Technvision Ven.</v>
      </c>
      <c r="C2519">
        <v>59.983110000000003</v>
      </c>
      <c r="D2519">
        <v>1309.45458984375</v>
      </c>
      <c r="E2519">
        <v>1710.2991943359375</v>
      </c>
      <c r="F2519">
        <v>1.306115984916687</v>
      </c>
      <c r="G2519">
        <v>3896.8876953125</v>
      </c>
      <c r="H2519">
        <v>0.55000001192092896</v>
      </c>
      <c r="I2519">
        <v>2406.2099609375</v>
      </c>
      <c r="J2519">
        <v>1004</v>
      </c>
    </row>
    <row r="2520" spans="1:10" x14ac:dyDescent="0.25">
      <c r="A2520">
        <v>35619</v>
      </c>
      <c r="B2520" t="str">
        <v>Tejas Networks</v>
      </c>
      <c r="C2520">
        <v>38.464675</v>
      </c>
      <c r="D2520">
        <v>565.50482177734375</v>
      </c>
      <c r="E2520">
        <v>383.772216796875</v>
      </c>
      <c r="F2520">
        <v>0.67863601446151733</v>
      </c>
      <c r="G2520">
        <v>689.07501220703125</v>
      </c>
      <c r="H2520">
        <v>0.74000000953674316</v>
      </c>
      <c r="I2520">
        <v>12055.2197265625</v>
      </c>
      <c r="J2520">
        <v>1359</v>
      </c>
    </row>
    <row r="2521" spans="1:10" x14ac:dyDescent="0.25">
      <c r="A2521">
        <v>65863</v>
      </c>
      <c r="B2521" t="str">
        <v>Tejnaksh Health.</v>
      </c>
      <c r="C2521">
        <v>-6.2168279999999996</v>
      </c>
      <c r="D2521">
        <v>38.38299560546875</v>
      </c>
      <c r="E2521">
        <v>19.120405197143555</v>
      </c>
      <c r="F2521">
        <v>0.49814799427986145</v>
      </c>
      <c r="G2521">
        <v>21.239999771118164</v>
      </c>
      <c r="H2521">
        <v>0.25999999046325684</v>
      </c>
      <c r="I2521">
        <v>42.939998626708984</v>
      </c>
      <c r="J2521">
        <v>1331</v>
      </c>
    </row>
    <row r="2522" spans="1:10" x14ac:dyDescent="0.25">
      <c r="A2522">
        <v>5100</v>
      </c>
      <c r="B2522" t="str">
        <v>TeleCanor Global</v>
      </c>
      <c r="C2522">
        <v>8.1578970000000002</v>
      </c>
      <c r="D2522">
        <v>7.4987339973449707</v>
      </c>
      <c r="E2522">
        <v>2.1197741031646729</v>
      </c>
      <c r="F2522">
        <v>0.28268399834632874</v>
      </c>
      <c r="G2522">
        <v>10.260000228881836</v>
      </c>
      <c r="H2522">
        <v>0</v>
      </c>
      <c r="I2522">
        <v>11.689999580383301</v>
      </c>
      <c r="J2522">
        <v>980</v>
      </c>
    </row>
    <row r="2523" spans="1:10" x14ac:dyDescent="0.25">
      <c r="A2523">
        <v>28174</v>
      </c>
      <c r="B2523" t="str">
        <v>Telogica</v>
      </c>
      <c r="C2523">
        <v>36.299754</v>
      </c>
      <c r="D2523">
        <v>8.2257757186889648</v>
      </c>
      <c r="E2523">
        <v>8.1152544021606445</v>
      </c>
      <c r="F2523">
        <v>0.98656398057937622</v>
      </c>
      <c r="G2523">
        <v>10.239999771118164</v>
      </c>
      <c r="H2523">
        <v>0</v>
      </c>
      <c r="I2523">
        <v>34.680000305175781</v>
      </c>
      <c r="J2523">
        <v>919</v>
      </c>
    </row>
    <row r="2524" spans="1:10" x14ac:dyDescent="0.25">
      <c r="A2524">
        <v>21179</v>
      </c>
      <c r="B2524" t="str">
        <v>Tera Software</v>
      </c>
      <c r="C2524">
        <v>46.857754</v>
      </c>
      <c r="D2524">
        <v>65.068130493164063</v>
      </c>
      <c r="E2524">
        <v>56.880416870117188</v>
      </c>
      <c r="F2524">
        <v>0.87416702508926392</v>
      </c>
      <c r="G2524">
        <v>269.375</v>
      </c>
      <c r="H2524">
        <v>0.25999999046325684</v>
      </c>
      <c r="I2524">
        <v>331.05999755859375</v>
      </c>
      <c r="J2524">
        <v>1352</v>
      </c>
    </row>
    <row r="2525" spans="1:10" x14ac:dyDescent="0.25">
      <c r="A2525">
        <v>5148</v>
      </c>
      <c r="B2525" t="str">
        <v>Terai Tea Co</v>
      </c>
      <c r="C2525">
        <v>24.549028</v>
      </c>
      <c r="D2525">
        <v>80.204360961914063</v>
      </c>
      <c r="E2525">
        <v>43.957611083984375</v>
      </c>
      <c r="F2525">
        <v>0.54807001352310181</v>
      </c>
      <c r="G2525">
        <v>168.61250305175781</v>
      </c>
      <c r="H2525">
        <v>0.40999999642372131</v>
      </c>
      <c r="I2525">
        <v>115.87999725341797</v>
      </c>
      <c r="J2525">
        <v>1281</v>
      </c>
    </row>
    <row r="2526" spans="1:10" x14ac:dyDescent="0.25">
      <c r="A2526">
        <v>562</v>
      </c>
      <c r="B2526" t="str">
        <v>Texmaco Infrast.</v>
      </c>
      <c r="C2526">
        <v>15.316793000000001</v>
      </c>
      <c r="D2526">
        <v>73.888786315917969</v>
      </c>
      <c r="E2526">
        <v>29.868581771850586</v>
      </c>
      <c r="F2526">
        <v>0.40423700213432312</v>
      </c>
      <c r="G2526">
        <v>100.76499938964844</v>
      </c>
      <c r="H2526">
        <v>2.9999999329447746E-2</v>
      </c>
      <c r="I2526">
        <v>1265.469970703125</v>
      </c>
      <c r="J2526">
        <v>1358</v>
      </c>
    </row>
    <row r="2527" spans="1:10" x14ac:dyDescent="0.25">
      <c r="A2527">
        <v>27419</v>
      </c>
      <c r="B2527" t="str">
        <v>Texmaco Rail</v>
      </c>
      <c r="C2527">
        <v>31.323145</v>
      </c>
      <c r="D2527">
        <v>86.580230712890625</v>
      </c>
      <c r="E2527">
        <v>72.925407409667969</v>
      </c>
      <c r="F2527">
        <v>0.84228700399398804</v>
      </c>
      <c r="G2527">
        <v>160.48750305175781</v>
      </c>
      <c r="H2527">
        <v>0.41999998688697815</v>
      </c>
      <c r="I2527">
        <v>6307.58984375</v>
      </c>
      <c r="J2527">
        <v>1359</v>
      </c>
    </row>
    <row r="2528" spans="1:10" x14ac:dyDescent="0.25">
      <c r="A2528">
        <v>30992</v>
      </c>
      <c r="B2528" t="str">
        <v>Texmo Pipes</v>
      </c>
      <c r="C2528">
        <v>27.536358</v>
      </c>
      <c r="D2528">
        <v>54.179496765136719</v>
      </c>
      <c r="E2528">
        <v>23.832887649536133</v>
      </c>
      <c r="F2528">
        <v>0.43988800048828125</v>
      </c>
      <c r="G2528">
        <v>62.967498779296875</v>
      </c>
      <c r="H2528">
        <v>0.27000001072883606</v>
      </c>
      <c r="I2528">
        <v>181.10000610351563</v>
      </c>
      <c r="J2528">
        <v>1357</v>
      </c>
    </row>
    <row r="2529" spans="1:10" x14ac:dyDescent="0.25">
      <c r="A2529">
        <v>4313</v>
      </c>
      <c r="B2529" t="str">
        <v>Thakkers Develp.</v>
      </c>
      <c r="C2529">
        <v>20.081104</v>
      </c>
      <c r="D2529">
        <v>137.92405700683594</v>
      </c>
      <c r="E2529">
        <v>46.788715362548828</v>
      </c>
      <c r="F2529">
        <v>0.33923500776290894</v>
      </c>
      <c r="G2529">
        <v>173.625</v>
      </c>
      <c r="H2529">
        <v>0.15999999642372131</v>
      </c>
      <c r="I2529">
        <v>154.80000305175781</v>
      </c>
      <c r="J2529">
        <v>1114</v>
      </c>
    </row>
    <row r="2530" spans="1:10" x14ac:dyDescent="0.25">
      <c r="A2530">
        <v>2257</v>
      </c>
      <c r="B2530" t="str">
        <v>Thakral Services</v>
      </c>
      <c r="C2530">
        <v>2.1435249999999999</v>
      </c>
      <c r="D2530">
        <v>28.766347885131836</v>
      </c>
      <c r="E2530">
        <v>19.144462585449219</v>
      </c>
      <c r="F2530">
        <v>0.66551601886749268</v>
      </c>
      <c r="G2530">
        <v>8.9899997711181641</v>
      </c>
      <c r="H2530">
        <v>0</v>
      </c>
      <c r="I2530">
        <v>10.560000419616699</v>
      </c>
      <c r="J2530">
        <v>358</v>
      </c>
    </row>
    <row r="2531" spans="1:10" x14ac:dyDescent="0.25">
      <c r="A2531">
        <v>73498</v>
      </c>
      <c r="B2531" t="str">
        <v>The Anup Enginee</v>
      </c>
      <c r="C2531">
        <v>45.957369999999997</v>
      </c>
      <c r="D2531">
        <v>1004.6912231445313</v>
      </c>
      <c r="E2531">
        <v>962.6107177734375</v>
      </c>
      <c r="F2531">
        <v>0.95811599493026733</v>
      </c>
      <c r="G2531">
        <v>2644.64990234375</v>
      </c>
      <c r="H2531">
        <v>5.9999998658895493E-2</v>
      </c>
      <c r="I2531">
        <v>5210.2900390625</v>
      </c>
      <c r="J2531">
        <v>1357</v>
      </c>
    </row>
    <row r="2532" spans="1:10" x14ac:dyDescent="0.25">
      <c r="A2532">
        <v>6454</v>
      </c>
      <c r="B2532" t="str">
        <v>The Byke Hospi.</v>
      </c>
      <c r="C2532">
        <v>28.595742000000001</v>
      </c>
      <c r="D2532">
        <v>42.925514221191406</v>
      </c>
      <c r="E2532">
        <v>23.033746719360352</v>
      </c>
      <c r="F2532">
        <v>0.53659802675247192</v>
      </c>
      <c r="G2532">
        <v>85.540000915527344</v>
      </c>
      <c r="H2532">
        <v>0.38999998569488525</v>
      </c>
      <c r="I2532">
        <v>441.60000610351563</v>
      </c>
      <c r="J2532">
        <v>1357</v>
      </c>
    </row>
    <row r="2533" spans="1:10" x14ac:dyDescent="0.25">
      <c r="A2533">
        <v>1102</v>
      </c>
      <c r="B2533" t="str">
        <v>The Hi-Tech Gear</v>
      </c>
      <c r="C2533">
        <v>28.177384</v>
      </c>
      <c r="D2533">
        <v>375.59103393554688</v>
      </c>
      <c r="E2533">
        <v>271.42529296875</v>
      </c>
      <c r="F2533">
        <v>0.72266197204589844</v>
      </c>
      <c r="G2533">
        <v>739</v>
      </c>
      <c r="H2533">
        <v>0.40999999642372131</v>
      </c>
      <c r="I2533">
        <v>1428.280029296875</v>
      </c>
      <c r="J2533">
        <v>1316</v>
      </c>
    </row>
    <row r="2534" spans="1:10" x14ac:dyDescent="0.25">
      <c r="A2534">
        <v>4803</v>
      </c>
      <c r="B2534" t="str">
        <v>The Invest.Trust</v>
      </c>
      <c r="C2534">
        <v>4.8133710000000001</v>
      </c>
      <c r="D2534">
        <v>119.52386474609375</v>
      </c>
      <c r="E2534">
        <v>34.543895721435547</v>
      </c>
      <c r="F2534">
        <v>0.28901299834251404</v>
      </c>
      <c r="G2534">
        <v>149.41250610351563</v>
      </c>
      <c r="H2534">
        <v>0.11999999731779099</v>
      </c>
      <c r="I2534">
        <v>775.27001953125</v>
      </c>
      <c r="J2534">
        <v>1299</v>
      </c>
    </row>
    <row r="2535" spans="1:10" x14ac:dyDescent="0.25">
      <c r="A2535">
        <v>357</v>
      </c>
      <c r="B2535" t="str">
        <v>The Ramco Cement</v>
      </c>
      <c r="C2535">
        <v>5.5794769999999998</v>
      </c>
      <c r="D2535">
        <v>840.67669677734375</v>
      </c>
      <c r="E2535">
        <v>133.86041259765625</v>
      </c>
      <c r="F2535">
        <v>0.15922899544239044</v>
      </c>
      <c r="G2535">
        <v>1021.3499755859375</v>
      </c>
      <c r="H2535">
        <v>0.68000000715255737</v>
      </c>
      <c r="I2535">
        <v>24025.029296875</v>
      </c>
      <c r="J2535">
        <v>1359</v>
      </c>
    </row>
    <row r="2536" spans="1:10" x14ac:dyDescent="0.25">
      <c r="A2536">
        <v>960</v>
      </c>
      <c r="B2536" t="str">
        <v>The Ravalgaon</v>
      </c>
      <c r="C2536">
        <v>19.558892</v>
      </c>
      <c r="D2536">
        <v>761.20465087890625</v>
      </c>
      <c r="E2536">
        <v>477.391357421875</v>
      </c>
      <c r="F2536">
        <v>0.62715202569961548</v>
      </c>
      <c r="G2536">
        <v>1023.3125</v>
      </c>
      <c r="H2536">
        <v>0.8399999737739563</v>
      </c>
      <c r="I2536">
        <v>34.75</v>
      </c>
      <c r="J2536">
        <v>1165</v>
      </c>
    </row>
    <row r="2537" spans="1:10" x14ac:dyDescent="0.25">
      <c r="A2537">
        <v>4895</v>
      </c>
      <c r="B2537" t="str">
        <v>Themis Medicare</v>
      </c>
      <c r="C2537">
        <v>26.126631</v>
      </c>
      <c r="D2537">
        <v>123.73987579345703</v>
      </c>
      <c r="E2537">
        <v>75.191390991210938</v>
      </c>
      <c r="F2537">
        <v>0.60765701532363892</v>
      </c>
      <c r="G2537">
        <v>133.48750305175781</v>
      </c>
      <c r="H2537">
        <v>0.36000001430511475</v>
      </c>
      <c r="I2537">
        <v>1188.699951171875</v>
      </c>
      <c r="J2537">
        <v>1341</v>
      </c>
    </row>
    <row r="2538" spans="1:10" x14ac:dyDescent="0.25">
      <c r="A2538">
        <v>4767</v>
      </c>
      <c r="B2538" t="str">
        <v>Thermax</v>
      </c>
      <c r="C2538">
        <v>21.662827</v>
      </c>
      <c r="D2538">
        <v>2359.451904296875</v>
      </c>
      <c r="E2538">
        <v>1312.1011962890625</v>
      </c>
      <c r="F2538">
        <v>0.55610400438308716</v>
      </c>
      <c r="G2538">
        <v>3520.02490234375</v>
      </c>
      <c r="H2538">
        <v>7.9999998211860657E-2</v>
      </c>
      <c r="I2538">
        <v>42114.6015625</v>
      </c>
      <c r="J2538">
        <v>1359</v>
      </c>
    </row>
    <row r="2539" spans="1:10" x14ac:dyDescent="0.25">
      <c r="A2539">
        <v>66284</v>
      </c>
      <c r="B2539" t="str">
        <v>Thinkink Picture</v>
      </c>
      <c r="C2539">
        <v>-40.860067000000001</v>
      </c>
      <c r="D2539">
        <v>5.2862939834594727</v>
      </c>
      <c r="E2539">
        <v>3.052933931350708</v>
      </c>
      <c r="F2539">
        <v>0.5775189995765686</v>
      </c>
      <c r="G2539">
        <v>0.29750001430511475</v>
      </c>
      <c r="H2539">
        <v>9.9999997764825821E-3</v>
      </c>
      <c r="I2539">
        <v>42.659999847412109</v>
      </c>
      <c r="J2539">
        <v>1344</v>
      </c>
    </row>
    <row r="2540" spans="1:10" x14ac:dyDescent="0.25">
      <c r="A2540">
        <v>26420</v>
      </c>
      <c r="B2540" t="str">
        <v>Thirani Projects</v>
      </c>
      <c r="C2540">
        <v>43.118858000000003</v>
      </c>
      <c r="D2540">
        <v>2.5647420883178711</v>
      </c>
      <c r="E2540">
        <v>1.2061049938201904</v>
      </c>
      <c r="F2540">
        <v>0.47026300430297852</v>
      </c>
      <c r="G2540">
        <v>3.6649999618530273</v>
      </c>
      <c r="H2540">
        <v>0</v>
      </c>
      <c r="I2540">
        <v>7.2800002098083496</v>
      </c>
      <c r="J2540">
        <v>1252</v>
      </c>
    </row>
    <row r="2541" spans="1:10" x14ac:dyDescent="0.25">
      <c r="A2541">
        <v>563</v>
      </c>
      <c r="B2541" t="str">
        <v>Thirumalai Chem.</v>
      </c>
      <c r="C2541">
        <v>26.370788000000001</v>
      </c>
      <c r="D2541">
        <v>197.27423095703125</v>
      </c>
      <c r="E2541">
        <v>84.955429077148438</v>
      </c>
      <c r="F2541">
        <v>0.43064600229263306</v>
      </c>
      <c r="G2541">
        <v>291.67498779296875</v>
      </c>
      <c r="H2541">
        <v>0.27000001072883606</v>
      </c>
      <c r="I2541">
        <v>2999.4599609375</v>
      </c>
      <c r="J2541">
        <v>1359</v>
      </c>
    </row>
    <row r="2542" spans="1:10" x14ac:dyDescent="0.25">
      <c r="A2542">
        <v>564</v>
      </c>
      <c r="B2542" t="str">
        <v>Thomas Cook (I)</v>
      </c>
      <c r="C2542">
        <v>17.287618999999999</v>
      </c>
      <c r="D2542">
        <v>96.562042236328125</v>
      </c>
      <c r="E2542">
        <v>60.332859039306641</v>
      </c>
      <c r="F2542">
        <v>0.62480902671813965</v>
      </c>
      <c r="G2542">
        <v>163.38749694824219</v>
      </c>
      <c r="H2542">
        <v>7.0000000298023224E-2</v>
      </c>
      <c r="I2542">
        <v>7677.919921875</v>
      </c>
      <c r="J2542">
        <v>1359</v>
      </c>
    </row>
    <row r="2543" spans="1:10" x14ac:dyDescent="0.25">
      <c r="A2543">
        <v>40521</v>
      </c>
      <c r="B2543" t="str">
        <v>Thomas Scott</v>
      </c>
      <c r="C2543">
        <v>86.942458000000002</v>
      </c>
      <c r="D2543">
        <v>135.13754272460938</v>
      </c>
      <c r="E2543">
        <v>131.40431213378906</v>
      </c>
      <c r="F2543">
        <v>0.97237497568130493</v>
      </c>
      <c r="G2543">
        <v>296.28750610351563</v>
      </c>
      <c r="H2543">
        <v>0.15999999642372131</v>
      </c>
      <c r="I2543">
        <v>427.26998901367188</v>
      </c>
      <c r="J2543">
        <v>1042</v>
      </c>
    </row>
    <row r="2544" spans="1:10" x14ac:dyDescent="0.25">
      <c r="A2544">
        <v>42518</v>
      </c>
      <c r="B2544" t="str">
        <v>Thyrocare Tech.</v>
      </c>
      <c r="C2544">
        <v>11.392322999999999</v>
      </c>
      <c r="D2544">
        <v>771.29583740234375</v>
      </c>
      <c r="E2544">
        <v>233.31135559082031</v>
      </c>
      <c r="F2544">
        <v>0.30249300599098206</v>
      </c>
      <c r="G2544">
        <v>999.07501220703125</v>
      </c>
      <c r="H2544">
        <v>5.9999998658895493E-2</v>
      </c>
      <c r="I2544">
        <v>5328.58984375</v>
      </c>
      <c r="J2544">
        <v>1359</v>
      </c>
    </row>
    <row r="2545" spans="1:10" x14ac:dyDescent="0.25">
      <c r="A2545">
        <v>7081</v>
      </c>
      <c r="B2545" t="str">
        <v>Tiaan Consumer</v>
      </c>
      <c r="C2545">
        <v>-15.602314</v>
      </c>
      <c r="D2545">
        <v>9.8090648651123047</v>
      </c>
      <c r="E2545">
        <v>8.087885856628418</v>
      </c>
      <c r="F2545">
        <v>0.82453197240829468</v>
      </c>
      <c r="G2545">
        <v>4.8949999809265137</v>
      </c>
      <c r="H2545">
        <v>0.44999998807907104</v>
      </c>
      <c r="I2545">
        <v>4.8400001525878906</v>
      </c>
      <c r="J2545">
        <v>1293</v>
      </c>
    </row>
    <row r="2546" spans="1:10" x14ac:dyDescent="0.25">
      <c r="A2546">
        <v>43787</v>
      </c>
      <c r="B2546" t="str">
        <v>Tiger Logistics</v>
      </c>
      <c r="C2546">
        <v>47.511916999999997</v>
      </c>
      <c r="D2546">
        <v>29.926433563232422</v>
      </c>
      <c r="E2546">
        <v>22.887702941894531</v>
      </c>
      <c r="F2546">
        <v>0.76479899883270264</v>
      </c>
      <c r="G2546">
        <v>58.134998321533203</v>
      </c>
      <c r="H2546">
        <v>5.9999998658895493E-2</v>
      </c>
      <c r="I2546">
        <v>602.95001220703125</v>
      </c>
      <c r="J2546">
        <v>1359</v>
      </c>
    </row>
    <row r="2547" spans="1:10" x14ac:dyDescent="0.25">
      <c r="A2547">
        <v>40460</v>
      </c>
      <c r="B2547" t="str">
        <v>Tijaria Polypipe</v>
      </c>
      <c r="C2547">
        <v>-1.9072530000000001</v>
      </c>
      <c r="D2547">
        <v>8.0543184280395508</v>
      </c>
      <c r="E2547">
        <v>4.063377857208252</v>
      </c>
      <c r="F2547">
        <v>0.5044969916343689</v>
      </c>
      <c r="G2547">
        <v>6.5749998092651367</v>
      </c>
      <c r="H2547">
        <v>0</v>
      </c>
      <c r="I2547">
        <v>18.809999465942383</v>
      </c>
      <c r="J2547">
        <v>1281</v>
      </c>
    </row>
    <row r="2548" spans="1:10" x14ac:dyDescent="0.25">
      <c r="A2548">
        <v>24826</v>
      </c>
      <c r="B2548" t="str">
        <v>Tilak Ventures</v>
      </c>
      <c r="C2548">
        <v>43.833674999999999</v>
      </c>
      <c r="D2548">
        <v>3.9742429256439209</v>
      </c>
      <c r="E2548">
        <v>3.4466381072998047</v>
      </c>
      <c r="F2548">
        <v>0.86724400520324707</v>
      </c>
      <c r="G2548">
        <v>3.2125000953674316</v>
      </c>
      <c r="H2548">
        <v>2.9999999329447746E-2</v>
      </c>
      <c r="I2548">
        <v>141.72999572753906</v>
      </c>
      <c r="J2548">
        <v>1258</v>
      </c>
    </row>
    <row r="2549" spans="1:10" x14ac:dyDescent="0.25">
      <c r="A2549">
        <v>3388</v>
      </c>
      <c r="B2549" t="str">
        <v>Tilaknagar Inds.</v>
      </c>
      <c r="C2549">
        <v>65.420006000000001</v>
      </c>
      <c r="D2549">
        <v>133.90419006347656</v>
      </c>
      <c r="E2549">
        <v>112.15602111816406</v>
      </c>
      <c r="F2549">
        <v>0.83758401870727539</v>
      </c>
      <c r="G2549">
        <v>368.26251220703125</v>
      </c>
      <c r="H2549">
        <v>0.33000001311302185</v>
      </c>
      <c r="I2549">
        <v>7103.27001953125</v>
      </c>
      <c r="J2549">
        <v>1358</v>
      </c>
    </row>
    <row r="2550" spans="1:10" x14ac:dyDescent="0.25">
      <c r="A2550">
        <v>27753</v>
      </c>
      <c r="B2550" t="str">
        <v>Time Technoplast</v>
      </c>
      <c r="C2550">
        <v>39.059883999999997</v>
      </c>
      <c r="D2550">
        <v>152.33041381835938</v>
      </c>
      <c r="E2550">
        <v>127.68317413330078</v>
      </c>
      <c r="F2550">
        <v>0.83819901943206787</v>
      </c>
      <c r="G2550">
        <v>435.45001220703125</v>
      </c>
      <c r="H2550">
        <v>0.43999999761581421</v>
      </c>
      <c r="I2550">
        <v>9727.3095703125</v>
      </c>
      <c r="J2550">
        <v>1359</v>
      </c>
    </row>
    <row r="2551" spans="1:10" x14ac:dyDescent="0.25">
      <c r="A2551">
        <v>4157</v>
      </c>
      <c r="B2551" t="str">
        <v>Times Guaranty</v>
      </c>
      <c r="C2551">
        <v>31.930157000000001</v>
      </c>
      <c r="D2551">
        <v>73.191741943359375</v>
      </c>
      <c r="E2551">
        <v>47.052505493164063</v>
      </c>
      <c r="F2551">
        <v>0.64286601543426514</v>
      </c>
      <c r="G2551">
        <v>165.44999694824219</v>
      </c>
      <c r="H2551">
        <v>0</v>
      </c>
      <c r="I2551">
        <v>146.22000122070313</v>
      </c>
      <c r="J2551">
        <v>1256</v>
      </c>
    </row>
    <row r="2552" spans="1:10" x14ac:dyDescent="0.25">
      <c r="A2552">
        <v>3143</v>
      </c>
      <c r="B2552" t="str">
        <v>Timex Group</v>
      </c>
      <c r="C2552">
        <v>39.319018999999997</v>
      </c>
      <c r="D2552">
        <v>103.25090026855469</v>
      </c>
      <c r="E2552">
        <v>63.571414947509766</v>
      </c>
      <c r="F2552">
        <v>0.61569797992706299</v>
      </c>
      <c r="G2552">
        <v>256.16250610351563</v>
      </c>
      <c r="H2552">
        <v>0.30000001192092896</v>
      </c>
      <c r="I2552">
        <v>2571.699951171875</v>
      </c>
      <c r="J2552">
        <v>1359</v>
      </c>
    </row>
    <row r="2553" spans="1:10" x14ac:dyDescent="0.25">
      <c r="A2553">
        <v>2226</v>
      </c>
      <c r="B2553" t="str">
        <v>Timken India</v>
      </c>
      <c r="C2553">
        <v>23.382282</v>
      </c>
      <c r="D2553">
        <v>2381.919921875</v>
      </c>
      <c r="E2553">
        <v>985.2012939453125</v>
      </c>
      <c r="F2553">
        <v>0.41361600160598755</v>
      </c>
      <c r="G2553">
        <v>3203.33740234375</v>
      </c>
      <c r="H2553">
        <v>9.9999997764825821E-3</v>
      </c>
      <c r="I2553">
        <v>24029.380859375</v>
      </c>
      <c r="J2553">
        <v>1359</v>
      </c>
    </row>
    <row r="2554" spans="1:10" x14ac:dyDescent="0.25">
      <c r="A2554">
        <v>5039</v>
      </c>
      <c r="B2554" t="str">
        <v>Tinna Rubber</v>
      </c>
      <c r="C2554">
        <v>92.336613999999997</v>
      </c>
      <c r="D2554">
        <v>478.32595825195313</v>
      </c>
      <c r="E2554">
        <v>529.7215576171875</v>
      </c>
      <c r="F2554">
        <v>1.1074490547180176</v>
      </c>
      <c r="G2554">
        <v>921.23748779296875</v>
      </c>
      <c r="H2554">
        <v>0.63999998569488525</v>
      </c>
      <c r="I2554">
        <v>1572.489990234375</v>
      </c>
      <c r="J2554">
        <v>1204</v>
      </c>
    </row>
    <row r="2555" spans="1:10" x14ac:dyDescent="0.25">
      <c r="A2555">
        <v>8022</v>
      </c>
      <c r="B2555" t="str">
        <v>Tips Music</v>
      </c>
      <c r="C2555">
        <v>90.409170000000003</v>
      </c>
      <c r="D2555">
        <v>260.01394653320313</v>
      </c>
      <c r="E2555">
        <v>242.91065979003906</v>
      </c>
      <c r="F2555">
        <v>0.93422198295593262</v>
      </c>
      <c r="G2555">
        <v>659.2125244140625</v>
      </c>
      <c r="H2555">
        <v>2.9999999329447746E-2</v>
      </c>
      <c r="I2555">
        <v>8329.509765625</v>
      </c>
      <c r="J2555">
        <v>1354</v>
      </c>
    </row>
    <row r="2556" spans="1:10" x14ac:dyDescent="0.25">
      <c r="A2556">
        <v>7254</v>
      </c>
      <c r="B2556" t="str">
        <v>Tirupati Sarjan</v>
      </c>
      <c r="C2556">
        <v>11.104031000000001</v>
      </c>
      <c r="D2556">
        <v>10.302468299865723</v>
      </c>
      <c r="E2556">
        <v>3.9403619766235352</v>
      </c>
      <c r="F2556">
        <v>0.38246798515319824</v>
      </c>
      <c r="G2556">
        <v>14.347499847412109</v>
      </c>
      <c r="H2556">
        <v>0.70999997854232788</v>
      </c>
      <c r="I2556">
        <v>46.959999084472656</v>
      </c>
      <c r="J2556">
        <v>1349</v>
      </c>
    </row>
    <row r="2557" spans="1:10" x14ac:dyDescent="0.25">
      <c r="A2557">
        <v>15802</v>
      </c>
      <c r="B2557" t="str">
        <v>Tirupati Tyres</v>
      </c>
      <c r="C2557">
        <v>47.561360000000001</v>
      </c>
      <c r="D2557">
        <v>21.041042327880859</v>
      </c>
      <c r="E2557">
        <v>21.750816345214844</v>
      </c>
      <c r="F2557">
        <v>1.0337330102920532</v>
      </c>
      <c r="G2557">
        <v>10.755000114440918</v>
      </c>
      <c r="H2557">
        <v>0</v>
      </c>
      <c r="I2557">
        <v>78.169998168945313</v>
      </c>
      <c r="J2557">
        <v>1241</v>
      </c>
    </row>
    <row r="2558" spans="1:10" x14ac:dyDescent="0.25">
      <c r="A2558">
        <v>19939</v>
      </c>
      <c r="B2558" t="str">
        <v>Titagarh Rail</v>
      </c>
      <c r="C2558">
        <v>55.147950000000002</v>
      </c>
      <c r="D2558">
        <v>440.0052490234375</v>
      </c>
      <c r="E2558">
        <v>475.66055297851563</v>
      </c>
      <c r="F2558">
        <v>1.0810339450836182</v>
      </c>
      <c r="G2558">
        <v>855.17498779296875</v>
      </c>
      <c r="H2558">
        <v>0.15999999642372131</v>
      </c>
      <c r="I2558">
        <v>11305.1904296875</v>
      </c>
      <c r="J2558">
        <v>1359</v>
      </c>
    </row>
    <row r="2559" spans="1:10" x14ac:dyDescent="0.25">
      <c r="A2559">
        <v>4349</v>
      </c>
      <c r="B2559" t="str">
        <v>Titan Biotech</v>
      </c>
      <c r="C2559">
        <v>44.977420000000002</v>
      </c>
      <c r="D2559">
        <v>330.91067504882813</v>
      </c>
      <c r="E2559">
        <v>193.89828491210938</v>
      </c>
      <c r="F2559">
        <v>0.58595401048660278</v>
      </c>
      <c r="G2559">
        <v>406.16250610351563</v>
      </c>
      <c r="H2559">
        <v>7.0000000298023224E-2</v>
      </c>
      <c r="I2559">
        <v>327.989990234375</v>
      </c>
      <c r="J2559">
        <v>1359</v>
      </c>
    </row>
    <row r="2560" spans="1:10" x14ac:dyDescent="0.25">
      <c r="A2560">
        <v>1016</v>
      </c>
      <c r="B2560" t="str">
        <v>Titan Company</v>
      </c>
      <c r="C2560">
        <v>20.410951000000001</v>
      </c>
      <c r="D2560">
        <v>2448.415283203125</v>
      </c>
      <c r="E2560">
        <v>880.16070556640625</v>
      </c>
      <c r="F2560">
        <v>0.35948199033737183</v>
      </c>
      <c r="G2560">
        <v>3493.8125</v>
      </c>
      <c r="H2560">
        <v>0.77999997138977051</v>
      </c>
      <c r="I2560">
        <v>311098.03125</v>
      </c>
      <c r="J2560">
        <v>1359</v>
      </c>
    </row>
    <row r="2561" spans="1:10" x14ac:dyDescent="0.25">
      <c r="A2561">
        <v>1728</v>
      </c>
      <c r="B2561" t="str">
        <v>Titan Intech</v>
      </c>
      <c r="C2561">
        <v>25.131367000000001</v>
      </c>
      <c r="D2561">
        <v>28.814966201782227</v>
      </c>
      <c r="E2561">
        <v>16.643550872802734</v>
      </c>
      <c r="F2561">
        <v>0.57760101556777954</v>
      </c>
      <c r="G2561">
        <v>14.939999580383301</v>
      </c>
      <c r="H2561">
        <v>3.9999999105930328E-2</v>
      </c>
      <c r="I2561">
        <v>45.930000305175781</v>
      </c>
      <c r="J2561">
        <v>865</v>
      </c>
    </row>
    <row r="2562" spans="1:10" x14ac:dyDescent="0.25">
      <c r="A2562">
        <v>4896</v>
      </c>
      <c r="B2562" t="str">
        <v>Titan Securities</v>
      </c>
      <c r="C2562">
        <v>44.323281999999999</v>
      </c>
      <c r="D2562">
        <v>21.059589385986328</v>
      </c>
      <c r="E2562">
        <v>11.87732982635498</v>
      </c>
      <c r="F2562">
        <v>0.56398701667785645</v>
      </c>
      <c r="G2562">
        <v>33.657501220703125</v>
      </c>
      <c r="H2562">
        <v>0</v>
      </c>
      <c r="I2562">
        <v>83.94000244140625</v>
      </c>
      <c r="J2562">
        <v>1357</v>
      </c>
    </row>
    <row r="2563" spans="1:10" x14ac:dyDescent="0.25">
      <c r="A2563">
        <v>4159</v>
      </c>
      <c r="B2563" t="str">
        <v>Tokyo Plast Intl</v>
      </c>
      <c r="C2563">
        <v>11.129647</v>
      </c>
      <c r="D2563">
        <v>97.153648376464844</v>
      </c>
      <c r="E2563">
        <v>21.169889450073242</v>
      </c>
      <c r="F2563">
        <v>0.21790100634098053</v>
      </c>
      <c r="G2563">
        <v>131.25</v>
      </c>
      <c r="H2563">
        <v>0.2800000011920929</v>
      </c>
      <c r="I2563">
        <v>121.59999847412109</v>
      </c>
      <c r="J2563">
        <v>1296</v>
      </c>
    </row>
    <row r="2564" spans="1:10" x14ac:dyDescent="0.25">
      <c r="A2564">
        <v>1980</v>
      </c>
      <c r="B2564" t="str">
        <v>Tomorrow Tech.</v>
      </c>
      <c r="C2564">
        <v>32.497149999999998</v>
      </c>
      <c r="D2564">
        <v>4.1406059265136719</v>
      </c>
      <c r="E2564">
        <v>3.8710870742797852</v>
      </c>
      <c r="F2564">
        <v>0.93490797281265259</v>
      </c>
      <c r="G2564">
        <v>10.375</v>
      </c>
      <c r="H2564">
        <v>0</v>
      </c>
      <c r="I2564">
        <v>117.09999847412109</v>
      </c>
      <c r="J2564">
        <v>1315</v>
      </c>
    </row>
    <row r="2565" spans="1:10" x14ac:dyDescent="0.25">
      <c r="A2565">
        <v>3616</v>
      </c>
      <c r="B2565" t="str">
        <v>Torrent Pharma.</v>
      </c>
      <c r="C2565">
        <v>23.312677000000001</v>
      </c>
      <c r="D2565">
        <v>1897.18896484375</v>
      </c>
      <c r="E2565">
        <v>743.5244140625</v>
      </c>
      <c r="F2565">
        <v>0.39190798997879028</v>
      </c>
      <c r="G2565">
        <v>3197.10009765625</v>
      </c>
      <c r="H2565">
        <v>0.60000002384185791</v>
      </c>
      <c r="I2565">
        <v>107213.0078125</v>
      </c>
      <c r="J2565">
        <v>1359</v>
      </c>
    </row>
    <row r="2566" spans="1:10" x14ac:dyDescent="0.25">
      <c r="A2566">
        <v>18488</v>
      </c>
      <c r="B2566" t="str">
        <v>Torrent Power</v>
      </c>
      <c r="C2566">
        <v>29.843855000000001</v>
      </c>
      <c r="D2566">
        <v>746.0770263671875</v>
      </c>
      <c r="E2566">
        <v>474.281005859375</v>
      </c>
      <c r="F2566">
        <v>0.63569998741149902</v>
      </c>
      <c r="G2566">
        <v>1376.1624755859375</v>
      </c>
      <c r="H2566">
        <v>0.79000002145767212</v>
      </c>
      <c r="I2566">
        <v>68903.78125</v>
      </c>
      <c r="J2566">
        <v>1359</v>
      </c>
    </row>
    <row r="2567" spans="1:10" x14ac:dyDescent="0.25">
      <c r="A2567">
        <v>4317</v>
      </c>
      <c r="B2567" t="str">
        <v>Tour. Fin. Corp.</v>
      </c>
      <c r="C2567">
        <v>22.253063000000001</v>
      </c>
      <c r="D2567">
        <v>95.164421081542969</v>
      </c>
      <c r="E2567">
        <v>53.852027893066406</v>
      </c>
      <c r="F2567">
        <v>0.56588399410247803</v>
      </c>
      <c r="G2567">
        <v>223.4375</v>
      </c>
      <c r="H2567">
        <v>0.93999999761581421</v>
      </c>
      <c r="I2567">
        <v>2069.510009765625</v>
      </c>
      <c r="J2567">
        <v>1359</v>
      </c>
    </row>
    <row r="2568" spans="1:10" x14ac:dyDescent="0.25">
      <c r="A2568">
        <v>37062</v>
      </c>
      <c r="B2568" t="str">
        <v>Toyam Sports</v>
      </c>
      <c r="C2568">
        <v>-5.0162779999999998</v>
      </c>
      <c r="D2568">
        <v>5.9130377769470215</v>
      </c>
      <c r="E2568">
        <v>4.4613661766052246</v>
      </c>
      <c r="F2568">
        <v>0.75449597835540771</v>
      </c>
      <c r="G2568">
        <v>1.3125</v>
      </c>
      <c r="H2568">
        <v>0</v>
      </c>
      <c r="I2568">
        <v>75.120002746582031</v>
      </c>
      <c r="J2568">
        <v>1356</v>
      </c>
    </row>
    <row r="2569" spans="1:10" x14ac:dyDescent="0.25">
      <c r="A2569">
        <v>1982</v>
      </c>
      <c r="B2569" t="str">
        <v>Trans Freight</v>
      </c>
      <c r="C2569">
        <v>33.367161000000003</v>
      </c>
      <c r="D2569">
        <v>20.660608291625977</v>
      </c>
      <c r="E2569">
        <v>9.8250970840454102</v>
      </c>
      <c r="F2569">
        <v>0.47554698586463928</v>
      </c>
      <c r="G2569">
        <v>32.770000457763672</v>
      </c>
      <c r="H2569">
        <v>0</v>
      </c>
      <c r="I2569">
        <v>23.299999237060547</v>
      </c>
      <c r="J2569">
        <v>1176</v>
      </c>
    </row>
    <row r="2570" spans="1:10" x14ac:dyDescent="0.25">
      <c r="A2570">
        <v>2826</v>
      </c>
      <c r="B2570" t="str">
        <v>Transchem</v>
      </c>
      <c r="C2570">
        <v>18.952127999999998</v>
      </c>
      <c r="D2570">
        <v>26.436906814575195</v>
      </c>
      <c r="E2570">
        <v>10.054501533508301</v>
      </c>
      <c r="F2570">
        <v>0.38032099604606628</v>
      </c>
      <c r="G2570">
        <v>38.392501831054688</v>
      </c>
      <c r="H2570">
        <v>0</v>
      </c>
      <c r="I2570">
        <v>46.830001831054688</v>
      </c>
      <c r="J2570">
        <v>1309</v>
      </c>
    </row>
    <row r="2571" spans="1:10" x14ac:dyDescent="0.25">
      <c r="A2571">
        <v>8035</v>
      </c>
      <c r="B2571" t="str">
        <v>Transcorp Intl.</v>
      </c>
      <c r="C2571">
        <v>10.116526</v>
      </c>
      <c r="D2571">
        <v>23.787799835205078</v>
      </c>
      <c r="E2571">
        <v>10.469327926635742</v>
      </c>
      <c r="F2571">
        <v>0.44011300802230835</v>
      </c>
      <c r="G2571">
        <v>25.457500457763672</v>
      </c>
      <c r="H2571">
        <v>0.37000000476837158</v>
      </c>
      <c r="I2571">
        <v>79.949996948242188</v>
      </c>
      <c r="J2571">
        <v>1354</v>
      </c>
    </row>
    <row r="2572" spans="1:10" x14ac:dyDescent="0.25">
      <c r="A2572">
        <v>3154</v>
      </c>
      <c r="B2572" t="str">
        <v>Transgene Biotek</v>
      </c>
      <c r="C2572">
        <v>11.599421</v>
      </c>
      <c r="D2572">
        <v>4.8402957916259766</v>
      </c>
      <c r="E2572">
        <v>2.0926439762115479</v>
      </c>
      <c r="F2572">
        <v>0.43233799934387207</v>
      </c>
      <c r="G2572">
        <v>4.257500171661377</v>
      </c>
      <c r="H2572">
        <v>0</v>
      </c>
      <c r="I2572">
        <v>32.509998321533203</v>
      </c>
      <c r="J2572">
        <v>1358</v>
      </c>
    </row>
    <row r="2573" spans="1:10" x14ac:dyDescent="0.25">
      <c r="A2573">
        <v>3674</v>
      </c>
      <c r="B2573" t="str">
        <v>Transglobe Foods</v>
      </c>
      <c r="C2573">
        <v>56.256492000000001</v>
      </c>
      <c r="D2573">
        <v>129.28695678710938</v>
      </c>
      <c r="E2573">
        <v>57.121879577636719</v>
      </c>
      <c r="F2573">
        <v>0.44182199239730835</v>
      </c>
      <c r="G2573">
        <v>222</v>
      </c>
      <c r="H2573">
        <v>0</v>
      </c>
      <c r="I2573">
        <v>3.2200000286102295</v>
      </c>
      <c r="J2573">
        <v>1122</v>
      </c>
    </row>
    <row r="2574" spans="1:10" x14ac:dyDescent="0.25">
      <c r="A2574">
        <v>570</v>
      </c>
      <c r="B2574" t="str">
        <v>Transpek Inds.</v>
      </c>
      <c r="C2574">
        <v>7.5163330000000004</v>
      </c>
      <c r="D2574">
        <v>1729.2430419921875</v>
      </c>
      <c r="E2574">
        <v>243.84164428710938</v>
      </c>
      <c r="F2574">
        <v>0.14101099967956543</v>
      </c>
      <c r="G2574">
        <v>1731.324951171875</v>
      </c>
      <c r="H2574">
        <v>0.20999999344348907</v>
      </c>
      <c r="I2574">
        <v>961.3900146484375</v>
      </c>
      <c r="J2574">
        <v>1359</v>
      </c>
    </row>
    <row r="2575" spans="1:10" x14ac:dyDescent="0.25">
      <c r="A2575">
        <v>20561</v>
      </c>
      <c r="B2575" t="str">
        <v>Transport Corp.</v>
      </c>
      <c r="C2575">
        <v>27.580842000000001</v>
      </c>
      <c r="D2575">
        <v>643.3018798828125</v>
      </c>
      <c r="E2575">
        <v>301.531494140625</v>
      </c>
      <c r="F2575">
        <v>0.46872499585151672</v>
      </c>
      <c r="G2575">
        <v>1140.77490234375</v>
      </c>
      <c r="H2575">
        <v>5.9999998658895493E-2</v>
      </c>
      <c r="I2575">
        <v>8605.2001953125</v>
      </c>
      <c r="J2575">
        <v>1358</v>
      </c>
    </row>
    <row r="2576" spans="1:10" x14ac:dyDescent="0.25">
      <c r="A2576">
        <v>4441</v>
      </c>
      <c r="B2576" t="str">
        <v>Transworld Shipp</v>
      </c>
      <c r="C2576">
        <v>24.103173000000002</v>
      </c>
      <c r="D2576">
        <v>250.32083129882813</v>
      </c>
      <c r="E2576">
        <v>116.57923126220703</v>
      </c>
      <c r="F2576">
        <v>0.46571901440620422</v>
      </c>
      <c r="G2576">
        <v>269.9375</v>
      </c>
      <c r="H2576">
        <v>0.56999999284744263</v>
      </c>
      <c r="I2576">
        <v>580.07000732421875</v>
      </c>
      <c r="J2576">
        <v>1357</v>
      </c>
    </row>
    <row r="2577" spans="1:10" x14ac:dyDescent="0.25">
      <c r="A2577">
        <v>40647</v>
      </c>
      <c r="B2577" t="str">
        <v>Tree House Edu.</v>
      </c>
      <c r="C2577">
        <v>8.6159079999999992</v>
      </c>
      <c r="D2577">
        <v>13.496223449707031</v>
      </c>
      <c r="E2577">
        <v>6.4141178131103516</v>
      </c>
      <c r="F2577">
        <v>0.47525298595428467</v>
      </c>
      <c r="G2577">
        <v>8.2899999618530273</v>
      </c>
      <c r="H2577">
        <v>0</v>
      </c>
      <c r="I2577">
        <v>34.310001373291016</v>
      </c>
      <c r="J2577">
        <v>1340</v>
      </c>
    </row>
    <row r="2578" spans="1:10" x14ac:dyDescent="0.25">
      <c r="A2578">
        <v>70925</v>
      </c>
      <c r="B2578" t="str">
        <v>Trejhara Solutio</v>
      </c>
      <c r="C2578">
        <v>57.825921000000001</v>
      </c>
      <c r="D2578">
        <v>102.44105529785156</v>
      </c>
      <c r="E2578">
        <v>78.378150939941406</v>
      </c>
      <c r="F2578">
        <v>0.76510500907897949</v>
      </c>
      <c r="G2578">
        <v>230.32499694824219</v>
      </c>
      <c r="H2578">
        <v>0</v>
      </c>
      <c r="I2578">
        <v>329.8800048828125</v>
      </c>
      <c r="J2578">
        <v>1313</v>
      </c>
    </row>
    <row r="2579" spans="1:10" x14ac:dyDescent="0.25">
      <c r="A2579">
        <v>345</v>
      </c>
      <c r="B2579" t="str">
        <v>Trent</v>
      </c>
      <c r="C2579">
        <v>46.092191</v>
      </c>
      <c r="D2579">
        <v>2297.0869140625</v>
      </c>
      <c r="E2579">
        <v>2080.553466796875</v>
      </c>
      <c r="F2579">
        <v>0.90573602914810181</v>
      </c>
      <c r="G2579">
        <v>5746.875</v>
      </c>
      <c r="H2579">
        <v>0.37999999523162842</v>
      </c>
      <c r="I2579">
        <v>203393.9375</v>
      </c>
      <c r="J2579">
        <v>1359</v>
      </c>
    </row>
    <row r="2580" spans="1:10" x14ac:dyDescent="0.25">
      <c r="A2580">
        <v>7938</v>
      </c>
      <c r="B2580" t="str">
        <v>Trescon</v>
      </c>
      <c r="C2580">
        <v>-32.267158000000002</v>
      </c>
      <c r="D2580">
        <v>32.224048614501953</v>
      </c>
      <c r="E2580">
        <v>24.583011627197266</v>
      </c>
      <c r="F2580">
        <v>0.76287800073623657</v>
      </c>
      <c r="G2580">
        <v>11.232500076293945</v>
      </c>
      <c r="H2580">
        <v>9.9999997764825821E-3</v>
      </c>
      <c r="I2580">
        <v>81.400001525878906</v>
      </c>
      <c r="J2580">
        <v>1351</v>
      </c>
    </row>
    <row r="2581" spans="1:10" x14ac:dyDescent="0.25">
      <c r="A2581">
        <v>7125</v>
      </c>
      <c r="B2581" t="str">
        <v>Tricom Fruit</v>
      </c>
      <c r="C2581">
        <v>-11.013842</v>
      </c>
      <c r="D2581">
        <v>1.940858006477356</v>
      </c>
      <c r="E2581">
        <v>0.87855798006057739</v>
      </c>
      <c r="F2581">
        <v>0.45266500115394592</v>
      </c>
      <c r="G2581">
        <v>2.9500000476837158</v>
      </c>
      <c r="H2581">
        <v>0</v>
      </c>
      <c r="I2581">
        <v>5.7300000190734863</v>
      </c>
      <c r="J2581">
        <v>927</v>
      </c>
    </row>
    <row r="2582" spans="1:10" x14ac:dyDescent="0.25">
      <c r="A2582">
        <v>2970</v>
      </c>
      <c r="B2582" t="str">
        <v>Trident</v>
      </c>
      <c r="C2582">
        <v>28.042679</v>
      </c>
      <c r="D2582">
        <v>29.350387573242188</v>
      </c>
      <c r="E2582">
        <v>14.562583923339844</v>
      </c>
      <c r="F2582">
        <v>0.496163010597229</v>
      </c>
      <c r="G2582">
        <v>29.649999618530273</v>
      </c>
      <c r="H2582">
        <v>0.5</v>
      </c>
      <c r="I2582">
        <v>14895.8095703125</v>
      </c>
      <c r="J2582">
        <v>1359</v>
      </c>
    </row>
    <row r="2583" spans="1:10" x14ac:dyDescent="0.25">
      <c r="A2583">
        <v>6495</v>
      </c>
      <c r="B2583" t="str">
        <v>Trident Tools</v>
      </c>
      <c r="C2583">
        <v>-13.146056</v>
      </c>
      <c r="D2583">
        <v>6.3994121551513672</v>
      </c>
      <c r="E2583">
        <v>2.7050740718841553</v>
      </c>
      <c r="F2583">
        <v>0.42270699143409729</v>
      </c>
      <c r="G2583">
        <v>7.125</v>
      </c>
      <c r="H2583">
        <v>0</v>
      </c>
      <c r="I2583">
        <v>9.8999996185302734</v>
      </c>
      <c r="J2583">
        <v>170</v>
      </c>
    </row>
    <row r="2584" spans="1:10" x14ac:dyDescent="0.25">
      <c r="A2584">
        <v>14151</v>
      </c>
      <c r="B2584" t="str">
        <v>Tridev Infra.</v>
      </c>
      <c r="C2584">
        <v>45.701284999999999</v>
      </c>
      <c r="D2584">
        <v>5.0593838691711426</v>
      </c>
      <c r="E2584">
        <v>3.5720200538635254</v>
      </c>
      <c r="F2584">
        <v>0.70601898431777954</v>
      </c>
      <c r="G2584">
        <v>6.3874998092651367</v>
      </c>
      <c r="H2584">
        <v>0</v>
      </c>
      <c r="I2584">
        <v>4.2100000381469727</v>
      </c>
      <c r="J2584">
        <v>434</v>
      </c>
    </row>
    <row r="2585" spans="1:10" x14ac:dyDescent="0.25">
      <c r="A2585">
        <v>4584</v>
      </c>
      <c r="B2585" t="str">
        <v>Trigyn Techno.</v>
      </c>
      <c r="C2585">
        <v>10.510325</v>
      </c>
      <c r="D2585">
        <v>99.962150573730469</v>
      </c>
      <c r="E2585">
        <v>35.341907501220703</v>
      </c>
      <c r="F2585">
        <v>0.35355299711227417</v>
      </c>
      <c r="G2585">
        <v>81.852500915527344</v>
      </c>
      <c r="H2585">
        <v>9.9999997764825821E-3</v>
      </c>
      <c r="I2585">
        <v>249.21000671386719</v>
      </c>
      <c r="J2585">
        <v>1359</v>
      </c>
    </row>
    <row r="2586" spans="1:10" x14ac:dyDescent="0.25">
      <c r="A2586">
        <v>14132</v>
      </c>
      <c r="B2586" t="str">
        <v>Trinity League</v>
      </c>
      <c r="C2586">
        <v>-2.7082549999999999</v>
      </c>
      <c r="D2586">
        <v>15.020038604736328</v>
      </c>
      <c r="E2586">
        <v>5.2378039360046387</v>
      </c>
      <c r="F2586">
        <v>0.34872099757194519</v>
      </c>
      <c r="G2586">
        <v>11.5625</v>
      </c>
      <c r="H2586">
        <v>0</v>
      </c>
      <c r="I2586">
        <v>9.2899999618530273</v>
      </c>
      <c r="J2586">
        <v>910</v>
      </c>
    </row>
    <row r="2587" spans="1:10" x14ac:dyDescent="0.25">
      <c r="A2587">
        <v>23444</v>
      </c>
      <c r="B2587" t="str">
        <v>Trio Merc. Trad.</v>
      </c>
      <c r="C2587">
        <v>-34.324694000000001</v>
      </c>
      <c r="D2587">
        <v>2.5163021087646484</v>
      </c>
      <c r="E2587">
        <v>2.1105849742889404</v>
      </c>
      <c r="F2587">
        <v>0.8387640118598938</v>
      </c>
      <c r="G2587">
        <v>0.72500002384185791</v>
      </c>
      <c r="H2587">
        <v>1.9999999552965164E-2</v>
      </c>
      <c r="I2587">
        <v>4.820000171661377</v>
      </c>
      <c r="J2587">
        <v>1355</v>
      </c>
    </row>
    <row r="2588" spans="1:10" x14ac:dyDescent="0.25">
      <c r="A2588">
        <v>6237</v>
      </c>
      <c r="B2588" t="str">
        <v>Trishakti Indus</v>
      </c>
      <c r="C2588">
        <v>73.885807</v>
      </c>
      <c r="D2588">
        <v>43.935504913330078</v>
      </c>
      <c r="E2588">
        <v>53.812362670898438</v>
      </c>
      <c r="F2588">
        <v>1.2248040437698364</v>
      </c>
      <c r="G2588">
        <v>143.61250305175781</v>
      </c>
      <c r="H2588">
        <v>0.15999999642372131</v>
      </c>
      <c r="I2588">
        <v>236.71000671386719</v>
      </c>
      <c r="J2588">
        <v>1033</v>
      </c>
    </row>
    <row r="2589" spans="1:10" x14ac:dyDescent="0.25">
      <c r="A2589">
        <v>2069</v>
      </c>
      <c r="B2589" t="str">
        <v>Triton Corp.</v>
      </c>
      <c r="C2589">
        <v>21.365402</v>
      </c>
      <c r="D2589">
        <v>0.37973600625991821</v>
      </c>
      <c r="E2589">
        <v>0.11232399940490723</v>
      </c>
      <c r="F2589">
        <v>0.29579600691795349</v>
      </c>
      <c r="G2589">
        <v>0.5899999737739563</v>
      </c>
      <c r="H2589">
        <v>7.0000000298023224E-2</v>
      </c>
      <c r="I2589">
        <v>11.789999961853027</v>
      </c>
      <c r="J2589">
        <v>246</v>
      </c>
    </row>
    <row r="2590" spans="1:10" x14ac:dyDescent="0.25">
      <c r="A2590">
        <v>2670</v>
      </c>
      <c r="B2590" t="str">
        <v>Triton Valves</v>
      </c>
      <c r="C2590">
        <v>19.957286</v>
      </c>
      <c r="D2590">
        <v>1866.143798828125</v>
      </c>
      <c r="E2590">
        <v>1198.1365966796875</v>
      </c>
      <c r="F2590">
        <v>0.64203900098800659</v>
      </c>
      <c r="G2590">
        <v>2792.85009765625</v>
      </c>
      <c r="H2590">
        <v>0.80000001192092896</v>
      </c>
      <c r="I2590">
        <v>330.57998657226563</v>
      </c>
      <c r="J2590">
        <v>1359</v>
      </c>
    </row>
    <row r="2591" spans="1:10" x14ac:dyDescent="0.25">
      <c r="A2591">
        <v>20058</v>
      </c>
      <c r="B2591" t="str">
        <v>Triven.Engg.Ind.</v>
      </c>
      <c r="C2591">
        <v>32.341920999999999</v>
      </c>
      <c r="D2591">
        <v>250.78155517578125</v>
      </c>
      <c r="E2591">
        <v>126.32225036621094</v>
      </c>
      <c r="F2591">
        <v>0.50371402502059937</v>
      </c>
      <c r="G2591">
        <v>396.67498779296875</v>
      </c>
      <c r="H2591">
        <v>0.38999998569488525</v>
      </c>
      <c r="I2591">
        <v>8596.1201171875</v>
      </c>
      <c r="J2591">
        <v>1359</v>
      </c>
    </row>
    <row r="2592" spans="1:10" x14ac:dyDescent="0.25">
      <c r="A2592">
        <v>45816</v>
      </c>
      <c r="B2592" t="str">
        <v>Triveni Enterpri</v>
      </c>
      <c r="C2592">
        <v>-66.941149999999993</v>
      </c>
      <c r="D2592">
        <v>7.4888138771057129</v>
      </c>
      <c r="E2592">
        <v>12.05452823638916</v>
      </c>
      <c r="F2592">
        <v>1.6096709966659546</v>
      </c>
      <c r="G2592">
        <v>1.7250000238418579</v>
      </c>
      <c r="H2592">
        <v>5.9999998658895493E-2</v>
      </c>
      <c r="I2592">
        <v>10.020000457763672</v>
      </c>
      <c r="J2592">
        <v>1068</v>
      </c>
    </row>
    <row r="2593" spans="1:10" x14ac:dyDescent="0.25">
      <c r="A2593">
        <v>764</v>
      </c>
      <c r="B2593" t="str">
        <v>Triveni Glass</v>
      </c>
      <c r="C2593">
        <v>17.912814999999998</v>
      </c>
      <c r="D2593">
        <v>15.384943008422852</v>
      </c>
      <c r="E2593">
        <v>7.6421761512756348</v>
      </c>
      <c r="F2593">
        <v>0.49673101305961609</v>
      </c>
      <c r="G2593">
        <v>13.954999923706055</v>
      </c>
      <c r="H2593">
        <v>0</v>
      </c>
      <c r="I2593">
        <v>17.430000305175781</v>
      </c>
      <c r="J2593">
        <v>1351</v>
      </c>
    </row>
    <row r="2594" spans="1:10" x14ac:dyDescent="0.25">
      <c r="A2594">
        <v>22929</v>
      </c>
      <c r="B2594" t="str">
        <v>Triveni Turbine</v>
      </c>
      <c r="C2594">
        <v>35.729205999999998</v>
      </c>
      <c r="D2594">
        <v>304.78271484375</v>
      </c>
      <c r="E2594">
        <v>214.20626831054688</v>
      </c>
      <c r="F2594">
        <v>0.70281600952148438</v>
      </c>
      <c r="G2594">
        <v>610.38751220703125</v>
      </c>
      <c r="H2594">
        <v>0</v>
      </c>
      <c r="I2594">
        <v>19350.759765625</v>
      </c>
      <c r="J2594">
        <v>1358</v>
      </c>
    </row>
    <row r="2595" spans="1:10" x14ac:dyDescent="0.25">
      <c r="A2595">
        <v>35844</v>
      </c>
      <c r="B2595" t="str">
        <v>True Green</v>
      </c>
      <c r="C2595">
        <v>44.357647999999998</v>
      </c>
      <c r="D2595">
        <v>35.344970703125</v>
      </c>
      <c r="E2595">
        <v>27.76713752746582</v>
      </c>
      <c r="F2595">
        <v>0.78560400009155273</v>
      </c>
      <c r="G2595">
        <v>76.019996643066406</v>
      </c>
      <c r="H2595">
        <v>0.10000000149011612</v>
      </c>
      <c r="I2595">
        <v>220.22000122070313</v>
      </c>
      <c r="J2595">
        <v>1224</v>
      </c>
    </row>
    <row r="2596" spans="1:10" x14ac:dyDescent="0.25">
      <c r="A2596">
        <v>1592</v>
      </c>
      <c r="B2596" t="str">
        <v>Trustwave</v>
      </c>
      <c r="C2596">
        <v>26.911203</v>
      </c>
      <c r="D2596">
        <v>13.398107528686523</v>
      </c>
      <c r="E2596">
        <v>10.650716781616211</v>
      </c>
      <c r="F2596">
        <v>0.79494202136993408</v>
      </c>
      <c r="G2596">
        <v>29</v>
      </c>
      <c r="H2596">
        <v>0</v>
      </c>
      <c r="I2596">
        <v>18.770000457763672</v>
      </c>
      <c r="J2596">
        <v>788</v>
      </c>
    </row>
    <row r="2597" spans="1:10" x14ac:dyDescent="0.25">
      <c r="A2597">
        <v>40963</v>
      </c>
      <c r="B2597" t="str">
        <v>Tube Investments</v>
      </c>
      <c r="C2597">
        <v>33.686673999999996</v>
      </c>
      <c r="D2597">
        <v>2207.732666015625</v>
      </c>
      <c r="E2597">
        <v>1205.5003662109375</v>
      </c>
      <c r="F2597">
        <v>0.54603499174118042</v>
      </c>
      <c r="G2597">
        <v>2866.449951171875</v>
      </c>
      <c r="H2597">
        <v>0.14000000059604645</v>
      </c>
      <c r="I2597">
        <v>55178.6484375</v>
      </c>
      <c r="J2597">
        <v>1359</v>
      </c>
    </row>
    <row r="2598" spans="1:10" x14ac:dyDescent="0.25">
      <c r="A2598">
        <v>6308</v>
      </c>
      <c r="B2598" t="str">
        <v>Tulive Developer</v>
      </c>
      <c r="C2598">
        <v>24.859670000000001</v>
      </c>
      <c r="D2598">
        <v>500.04312133789063</v>
      </c>
      <c r="E2598">
        <v>281.31173706054688</v>
      </c>
      <c r="F2598">
        <v>0.56257498264312744</v>
      </c>
      <c r="G2598">
        <v>921.1500244140625</v>
      </c>
      <c r="H2598">
        <v>0</v>
      </c>
      <c r="I2598">
        <v>198.44999694824219</v>
      </c>
      <c r="J2598">
        <v>391</v>
      </c>
    </row>
    <row r="2599" spans="1:10" x14ac:dyDescent="0.25">
      <c r="A2599">
        <v>574</v>
      </c>
      <c r="B2599" t="str">
        <v>Tuticorin Alkali</v>
      </c>
      <c r="C2599">
        <v>55.660753</v>
      </c>
      <c r="D2599">
        <v>47.563823699951172</v>
      </c>
      <c r="E2599">
        <v>34.89898681640625</v>
      </c>
      <c r="F2599">
        <v>0.7337300181388855</v>
      </c>
      <c r="G2599">
        <v>79.970001220703125</v>
      </c>
      <c r="H2599">
        <v>0.12999999523162842</v>
      </c>
      <c r="I2599">
        <v>974.55999755859375</v>
      </c>
      <c r="J2599">
        <v>1351</v>
      </c>
    </row>
    <row r="2600" spans="1:10" x14ac:dyDescent="0.25">
      <c r="A2600">
        <v>22835</v>
      </c>
      <c r="B2600" t="str">
        <v>Twamev Constr.</v>
      </c>
      <c r="C2600">
        <v>54.362451999999998</v>
      </c>
      <c r="D2600">
        <v>19.815605163574219</v>
      </c>
      <c r="E2600">
        <v>15.234538078308105</v>
      </c>
      <c r="F2600">
        <v>0.76881498098373413</v>
      </c>
      <c r="G2600">
        <v>25.819999694824219</v>
      </c>
      <c r="H2600">
        <v>0.18999999761581421</v>
      </c>
      <c r="I2600">
        <v>404.39999389648438</v>
      </c>
      <c r="J2600">
        <v>1159</v>
      </c>
    </row>
    <row r="2601" spans="1:10" x14ac:dyDescent="0.25">
      <c r="A2601">
        <v>13321</v>
      </c>
      <c r="B2601" t="str">
        <v>Twinstar Indus.</v>
      </c>
      <c r="C2601">
        <v>15.522049000000001</v>
      </c>
      <c r="D2601">
        <v>1.217399001121521</v>
      </c>
      <c r="E2601">
        <v>0.59594202041625977</v>
      </c>
      <c r="F2601">
        <v>0.48952099680900574</v>
      </c>
      <c r="G2601">
        <v>1.377500057220459</v>
      </c>
      <c r="H2601">
        <v>0.74000000953674316</v>
      </c>
      <c r="I2601">
        <v>2.9900000095367432</v>
      </c>
      <c r="J2601">
        <v>568</v>
      </c>
    </row>
    <row r="2602" spans="1:10" x14ac:dyDescent="0.25">
      <c r="A2602">
        <v>21199</v>
      </c>
      <c r="B2602" t="str">
        <v>Tyche Industries</v>
      </c>
      <c r="C2602">
        <v>9.3717539999999993</v>
      </c>
      <c r="D2602">
        <v>171.14097595214844</v>
      </c>
      <c r="E2602">
        <v>42.147705078125</v>
      </c>
      <c r="F2602">
        <v>0.24627499282360077</v>
      </c>
      <c r="G2602">
        <v>136.53750610351563</v>
      </c>
      <c r="H2602">
        <v>0</v>
      </c>
      <c r="I2602">
        <v>138.88999938964844</v>
      </c>
      <c r="J2602">
        <v>1359</v>
      </c>
    </row>
    <row r="2603" spans="1:10" x14ac:dyDescent="0.25">
      <c r="A2603">
        <v>4823</v>
      </c>
      <c r="B2603" t="str">
        <v>Tyroon Tea Co.</v>
      </c>
      <c r="C2603">
        <v>23.845012000000001</v>
      </c>
      <c r="D2603">
        <v>87.529411315917969</v>
      </c>
      <c r="E2603">
        <v>28.297908782958984</v>
      </c>
      <c r="F2603">
        <v>0.32329601049423218</v>
      </c>
      <c r="G2603">
        <v>100.34999847412109</v>
      </c>
      <c r="H2603">
        <v>0.17000000178813934</v>
      </c>
      <c r="I2603">
        <v>33.970001220703125</v>
      </c>
      <c r="J2603">
        <v>1217</v>
      </c>
    </row>
    <row r="2604" spans="1:10" x14ac:dyDescent="0.25">
      <c r="A2604">
        <v>72510</v>
      </c>
      <c r="B2604" t="str">
        <v>U. H. Zaveri</v>
      </c>
      <c r="C2604">
        <v>9.1249339999999997</v>
      </c>
      <c r="D2604">
        <v>27.038202285766602</v>
      </c>
      <c r="E2604">
        <v>16.925342559814453</v>
      </c>
      <c r="F2604">
        <v>0.62597900629043579</v>
      </c>
      <c r="G2604">
        <v>15.284999847412109</v>
      </c>
      <c r="H2604">
        <v>0.33000001311302185</v>
      </c>
      <c r="I2604">
        <v>15.680000305175781</v>
      </c>
      <c r="J2604">
        <v>700</v>
      </c>
    </row>
    <row r="2605" spans="1:10" x14ac:dyDescent="0.25">
      <c r="A2605">
        <v>5190</v>
      </c>
      <c r="B2605" t="str">
        <v>U. Y. Fincorp</v>
      </c>
      <c r="C2605">
        <v>38.751384000000002</v>
      </c>
      <c r="D2605">
        <v>14.976248741149902</v>
      </c>
      <c r="E2605">
        <v>9.5251445770263672</v>
      </c>
      <c r="F2605">
        <v>0.63601702451705933</v>
      </c>
      <c r="G2605">
        <v>17.912500381469727</v>
      </c>
      <c r="H2605">
        <v>0</v>
      </c>
      <c r="I2605">
        <v>329.29998779296875</v>
      </c>
      <c r="J2605">
        <v>1350</v>
      </c>
    </row>
    <row r="2606" spans="1:10" x14ac:dyDescent="0.25">
      <c r="A2606">
        <v>5475</v>
      </c>
      <c r="B2606" t="str">
        <v>UCO Bank</v>
      </c>
      <c r="C2606">
        <v>11.018840000000001</v>
      </c>
      <c r="D2606">
        <v>25.518869400024414</v>
      </c>
      <c r="E2606">
        <v>15.378079414367676</v>
      </c>
      <c r="F2606">
        <v>0.60261601209640503</v>
      </c>
      <c r="G2606">
        <v>30.427499771118164</v>
      </c>
      <c r="H2606">
        <v>0</v>
      </c>
      <c r="I2606">
        <v>37593.6015625</v>
      </c>
      <c r="J2606">
        <v>1359</v>
      </c>
    </row>
    <row r="2607" spans="1:10" x14ac:dyDescent="0.25">
      <c r="A2607">
        <v>65118</v>
      </c>
      <c r="B2607" t="str">
        <v>UFO Moviez</v>
      </c>
      <c r="C2607">
        <v>-10.634611</v>
      </c>
      <c r="D2607">
        <v>98.37860107421875</v>
      </c>
      <c r="E2607">
        <v>22.203617095947266</v>
      </c>
      <c r="F2607">
        <v>0.22569599747657776</v>
      </c>
      <c r="G2607">
        <v>69.802497863769531</v>
      </c>
      <c r="H2607">
        <v>0.34999999403953552</v>
      </c>
      <c r="I2607">
        <v>264.91000366210938</v>
      </c>
      <c r="J2607">
        <v>1359</v>
      </c>
    </row>
    <row r="2608" spans="1:10" x14ac:dyDescent="0.25">
      <c r="A2608">
        <v>2461</v>
      </c>
      <c r="B2608" t="str">
        <v>UPL</v>
      </c>
      <c r="C2608">
        <v>2.2208329999999998</v>
      </c>
      <c r="D2608">
        <v>597.04876708984375</v>
      </c>
      <c r="E2608">
        <v>116.57556915283203</v>
      </c>
      <c r="F2608">
        <v>0.19525299966335297</v>
      </c>
      <c r="G2608">
        <v>634.8499755859375</v>
      </c>
      <c r="H2608">
        <v>0.17000000178813934</v>
      </c>
      <c r="I2608">
        <v>51232.73828125</v>
      </c>
      <c r="J2608">
        <v>1359</v>
      </c>
    </row>
    <row r="2609" spans="1:10" x14ac:dyDescent="0.25">
      <c r="A2609">
        <v>65837</v>
      </c>
      <c r="B2609" t="str">
        <v>UR Sugar</v>
      </c>
      <c r="C2609">
        <v>13.105741</v>
      </c>
      <c r="D2609">
        <v>14.21766185760498</v>
      </c>
      <c r="E2609">
        <v>4.7196698188781738</v>
      </c>
      <c r="F2609">
        <v>0.33195799589157104</v>
      </c>
      <c r="G2609">
        <v>6.0850000381469727</v>
      </c>
      <c r="H2609">
        <v>0</v>
      </c>
      <c r="I2609">
        <v>32.240001678466797</v>
      </c>
      <c r="J2609">
        <v>1222</v>
      </c>
    </row>
    <row r="2610" spans="1:10" x14ac:dyDescent="0.25">
      <c r="A2610">
        <v>21255</v>
      </c>
      <c r="B2610" t="str">
        <v>USG Tech</v>
      </c>
      <c r="C2610">
        <v>34.317497000000003</v>
      </c>
      <c r="D2610">
        <v>8.2065696716308594</v>
      </c>
      <c r="E2610">
        <v>4.2976269721984863</v>
      </c>
      <c r="F2610">
        <v>0.52368098497390747</v>
      </c>
      <c r="G2610">
        <v>15.022500038146973</v>
      </c>
      <c r="H2610">
        <v>7.9999998211860657E-2</v>
      </c>
      <c r="I2610">
        <v>56.990001678466797</v>
      </c>
      <c r="J2610">
        <v>1075</v>
      </c>
    </row>
    <row r="2611" spans="1:10" x14ac:dyDescent="0.25">
      <c r="A2611">
        <v>3855</v>
      </c>
      <c r="B2611" t="str">
        <v>UTL Industries</v>
      </c>
      <c r="C2611">
        <v>-19.354313999999999</v>
      </c>
      <c r="D2611">
        <v>5.3939838409423828</v>
      </c>
      <c r="E2611">
        <v>3.5113968849182129</v>
      </c>
      <c r="F2611">
        <v>0.65098398923873901</v>
      </c>
      <c r="G2611">
        <v>2.8050000667572021</v>
      </c>
      <c r="H2611">
        <v>9.9999997764825821E-3</v>
      </c>
      <c r="I2611">
        <v>9.3299999237060547</v>
      </c>
      <c r="J2611">
        <v>1340</v>
      </c>
    </row>
    <row r="2612" spans="1:10" x14ac:dyDescent="0.25">
      <c r="A2612">
        <v>6939</v>
      </c>
      <c r="B2612" t="str">
        <v>UVS Hospitality</v>
      </c>
      <c r="C2612">
        <v>37.560951000000003</v>
      </c>
      <c r="D2612">
        <v>67.724990844726563</v>
      </c>
      <c r="E2612">
        <v>56.691547393798828</v>
      </c>
      <c r="F2612">
        <v>0.83708500862121582</v>
      </c>
      <c r="G2612">
        <v>131.98750305175781</v>
      </c>
      <c r="H2612">
        <v>0</v>
      </c>
      <c r="I2612">
        <v>461.79998779296875</v>
      </c>
      <c r="J2612">
        <v>786</v>
      </c>
    </row>
    <row r="2613" spans="1:10" x14ac:dyDescent="0.25">
      <c r="A2613">
        <v>1514</v>
      </c>
      <c r="B2613" t="str">
        <v>Ucal</v>
      </c>
      <c r="C2613">
        <v>2.608946</v>
      </c>
      <c r="D2613">
        <v>140.14987182617188</v>
      </c>
      <c r="E2613">
        <v>24.495918273925781</v>
      </c>
      <c r="F2613">
        <v>0.17478400468826294</v>
      </c>
      <c r="G2613">
        <v>154.19999694824219</v>
      </c>
      <c r="H2613">
        <v>0.43999999761581421</v>
      </c>
      <c r="I2613">
        <v>339.5</v>
      </c>
      <c r="J2613">
        <v>1358</v>
      </c>
    </row>
    <row r="2614" spans="1:10" x14ac:dyDescent="0.25">
      <c r="A2614">
        <v>41553</v>
      </c>
      <c r="B2614" t="str">
        <v>Uday Jewellery</v>
      </c>
      <c r="C2614">
        <v>7.3247410000000004</v>
      </c>
      <c r="D2614">
        <v>126.11238861083984</v>
      </c>
      <c r="E2614">
        <v>29.636064529418945</v>
      </c>
      <c r="F2614">
        <v>0.23499700427055359</v>
      </c>
      <c r="G2614">
        <v>147.82499694824219</v>
      </c>
      <c r="H2614">
        <v>0.38999998569488525</v>
      </c>
      <c r="I2614">
        <v>336.489990234375</v>
      </c>
      <c r="J2614">
        <v>1358</v>
      </c>
    </row>
    <row r="2615" spans="1:10" x14ac:dyDescent="0.25">
      <c r="A2615">
        <v>1474</v>
      </c>
      <c r="B2615" t="str">
        <v>Uflex</v>
      </c>
      <c r="C2615">
        <v>20.467063</v>
      </c>
      <c r="D2615">
        <v>470.629150390625</v>
      </c>
      <c r="E2615">
        <v>141.12644958496094</v>
      </c>
      <c r="F2615">
        <v>0.29986798763275146</v>
      </c>
      <c r="G2615">
        <v>602.0250244140625</v>
      </c>
      <c r="H2615">
        <v>0.93999999761581421</v>
      </c>
      <c r="I2615">
        <v>4226.18017578125</v>
      </c>
      <c r="J2615">
        <v>1359</v>
      </c>
    </row>
    <row r="2616" spans="1:10" x14ac:dyDescent="0.25">
      <c r="A2616">
        <v>40564</v>
      </c>
      <c r="B2616" t="str">
        <v>Ujaas Energy</v>
      </c>
      <c r="C2616">
        <v>112.416845</v>
      </c>
      <c r="D2616">
        <v>25.049335479736328</v>
      </c>
      <c r="E2616">
        <v>77.936958312988281</v>
      </c>
      <c r="F2616">
        <v>3.1113379001617432</v>
      </c>
      <c r="G2616">
        <v>353.54998779296875</v>
      </c>
      <c r="H2616">
        <v>0.89999997615814209</v>
      </c>
      <c r="I2616">
        <v>3929.090087890625</v>
      </c>
      <c r="J2616">
        <v>1062</v>
      </c>
    </row>
    <row r="2617" spans="1:10" x14ac:dyDescent="0.25">
      <c r="A2617">
        <v>70055</v>
      </c>
      <c r="B2617" t="str">
        <v>Ujjivan Small</v>
      </c>
      <c r="C2617">
        <v>-1.9045890000000001</v>
      </c>
      <c r="D2617">
        <v>34.856494903564453</v>
      </c>
      <c r="E2617">
        <v>12.029369354248047</v>
      </c>
      <c r="F2617">
        <v>0.34511101245880127</v>
      </c>
      <c r="G2617">
        <v>48.25</v>
      </c>
      <c r="H2617">
        <v>0</v>
      </c>
      <c r="I2617">
        <v>9283.23046875</v>
      </c>
      <c r="J2617">
        <v>1359</v>
      </c>
    </row>
    <row r="2618" spans="1:10" x14ac:dyDescent="0.25">
      <c r="A2618">
        <v>24951</v>
      </c>
      <c r="B2618" t="str">
        <v>UltraTech Cem.</v>
      </c>
      <c r="C2618">
        <v>19.338595999999999</v>
      </c>
      <c r="D2618">
        <v>7617.16845703125</v>
      </c>
      <c r="E2618">
        <v>2443.101318359375</v>
      </c>
      <c r="F2618">
        <v>0.32073599100112915</v>
      </c>
      <c r="G2618">
        <v>11412.587890625</v>
      </c>
      <c r="H2618">
        <v>0.17000000178813934</v>
      </c>
      <c r="I2618">
        <v>336170</v>
      </c>
      <c r="J2618">
        <v>1359</v>
      </c>
    </row>
    <row r="2619" spans="1:10" x14ac:dyDescent="0.25">
      <c r="A2619">
        <v>576</v>
      </c>
      <c r="B2619" t="str">
        <v>Ultramarine Pig.</v>
      </c>
      <c r="C2619">
        <v>19.543084</v>
      </c>
      <c r="D2619">
        <v>358.80386352539063</v>
      </c>
      <c r="E2619">
        <v>98.137542724609375</v>
      </c>
      <c r="F2619">
        <v>0.27351298928260803</v>
      </c>
      <c r="G2619">
        <v>507.6875</v>
      </c>
      <c r="H2619">
        <v>5.9999998658895493E-2</v>
      </c>
      <c r="I2619">
        <v>1456.3499755859375</v>
      </c>
      <c r="J2619">
        <v>1359</v>
      </c>
    </row>
    <row r="2620" spans="1:10" x14ac:dyDescent="0.25">
      <c r="A2620">
        <v>67829</v>
      </c>
      <c r="B2620" t="str">
        <v>Umiya Tubes</v>
      </c>
      <c r="C2620">
        <v>11.353301</v>
      </c>
      <c r="D2620">
        <v>10.037385940551758</v>
      </c>
      <c r="E2620">
        <v>6.5064220428466797</v>
      </c>
      <c r="F2620">
        <v>0.64821898937225342</v>
      </c>
      <c r="G2620">
        <v>18.219999313354492</v>
      </c>
      <c r="H2620">
        <v>0.44999998807907104</v>
      </c>
      <c r="I2620">
        <v>23.610000610351563</v>
      </c>
      <c r="J2620">
        <v>1284</v>
      </c>
    </row>
    <row r="2621" spans="1:10" x14ac:dyDescent="0.25">
      <c r="A2621">
        <v>1350</v>
      </c>
      <c r="B2621" t="str">
        <v>Uni Abex Alloy</v>
      </c>
      <c r="C2621">
        <v>36.384563999999997</v>
      </c>
      <c r="D2621">
        <v>1363.5406494140625</v>
      </c>
      <c r="E2621">
        <v>1080.9737548828125</v>
      </c>
      <c r="F2621">
        <v>0.79277002811431885</v>
      </c>
      <c r="G2621">
        <v>3438.21240234375</v>
      </c>
      <c r="H2621">
        <v>0.17000000178813934</v>
      </c>
      <c r="I2621">
        <v>680.92999267578125</v>
      </c>
      <c r="J2621">
        <v>1324</v>
      </c>
    </row>
    <row r="2622" spans="1:10" x14ac:dyDescent="0.25">
      <c r="A2622">
        <v>577</v>
      </c>
      <c r="B2622" t="str">
        <v>Unichem Labs.</v>
      </c>
      <c r="C2622">
        <v>23.525089999999999</v>
      </c>
      <c r="D2622">
        <v>378.1207275390625</v>
      </c>
      <c r="E2622">
        <v>170.64474487304688</v>
      </c>
      <c r="F2622">
        <v>0.45129698514938354</v>
      </c>
      <c r="G2622">
        <v>567.7874755859375</v>
      </c>
      <c r="H2622">
        <v>3.9999999105930328E-2</v>
      </c>
      <c r="I2622">
        <v>4006.090087890625</v>
      </c>
      <c r="J2622">
        <v>1359</v>
      </c>
    </row>
    <row r="2623" spans="1:10" x14ac:dyDescent="0.25">
      <c r="A2623">
        <v>6141</v>
      </c>
      <c r="B2623" t="str">
        <v>Unick Fix-A-Form</v>
      </c>
      <c r="C2623">
        <v>16.412669999999999</v>
      </c>
      <c r="D2623">
        <v>48.150363922119141</v>
      </c>
      <c r="E2623">
        <v>17.317466735839844</v>
      </c>
      <c r="F2623">
        <v>0.3596540093421936</v>
      </c>
      <c r="G2623">
        <v>60.275001525878906</v>
      </c>
      <c r="H2623">
        <v>0.69999998807907104</v>
      </c>
      <c r="I2623">
        <v>32.909999847412109</v>
      </c>
      <c r="J2623">
        <v>1123</v>
      </c>
    </row>
    <row r="2624" spans="1:10" x14ac:dyDescent="0.25">
      <c r="A2624">
        <v>5493</v>
      </c>
      <c r="B2624" t="str">
        <v>Union Bank (I)</v>
      </c>
      <c r="C2624">
        <v>17.650113999999999</v>
      </c>
      <c r="D2624">
        <v>72.166030883789063</v>
      </c>
      <c r="E2624">
        <v>41.754493713378906</v>
      </c>
      <c r="F2624">
        <v>0.57858902215957642</v>
      </c>
      <c r="G2624">
        <v>141.21249389648438</v>
      </c>
      <c r="H2624">
        <v>0</v>
      </c>
      <c r="I2624">
        <v>106603.296875</v>
      </c>
      <c r="J2624">
        <v>1359</v>
      </c>
    </row>
    <row r="2625" spans="1:10" x14ac:dyDescent="0.25">
      <c r="A2625">
        <v>4688</v>
      </c>
      <c r="B2625" t="str">
        <v>Union Qual. Pla.</v>
      </c>
      <c r="C2625">
        <v>-23.421410999999999</v>
      </c>
      <c r="D2625">
        <v>11.908941268920898</v>
      </c>
      <c r="E2625">
        <v>3.989285945892334</v>
      </c>
      <c r="F2625">
        <v>0.3349820077419281</v>
      </c>
      <c r="G2625">
        <v>7.1399998664855957</v>
      </c>
      <c r="H2625">
        <v>0</v>
      </c>
      <c r="I2625">
        <v>4.820000171661377</v>
      </c>
      <c r="J2625">
        <v>775</v>
      </c>
    </row>
    <row r="2626" spans="1:10" x14ac:dyDescent="0.25">
      <c r="A2626">
        <v>810</v>
      </c>
      <c r="B2626" t="str">
        <v>Uniphos Enter.</v>
      </c>
      <c r="C2626">
        <v>14.757315999999999</v>
      </c>
      <c r="D2626">
        <v>126.28678131103516</v>
      </c>
      <c r="E2626">
        <v>37.791103363037109</v>
      </c>
      <c r="F2626">
        <v>0.29924800992012024</v>
      </c>
      <c r="G2626">
        <v>150.97500610351563</v>
      </c>
      <c r="H2626">
        <v>0</v>
      </c>
      <c r="I2626">
        <v>1042.550048828125</v>
      </c>
      <c r="J2626">
        <v>1345</v>
      </c>
    </row>
    <row r="2627" spans="1:10" x14ac:dyDescent="0.25">
      <c r="A2627">
        <v>4788</v>
      </c>
      <c r="B2627" t="str">
        <v>Uniply Decor</v>
      </c>
      <c r="C2627">
        <v>-51.134300000000003</v>
      </c>
      <c r="D2627">
        <v>4.3346800804138184</v>
      </c>
      <c r="E2627">
        <v>1.0121719837188721</v>
      </c>
      <c r="F2627">
        <v>0.23350599408149719</v>
      </c>
      <c r="G2627">
        <v>2.5225000381469727</v>
      </c>
      <c r="H2627">
        <v>0.2199999988079071</v>
      </c>
      <c r="I2627">
        <v>30.590000152587891</v>
      </c>
      <c r="J2627">
        <v>227</v>
      </c>
    </row>
    <row r="2628" spans="1:10" x14ac:dyDescent="0.25">
      <c r="A2628">
        <v>25636</v>
      </c>
      <c r="B2628" t="str">
        <v>Uniply Industrie</v>
      </c>
      <c r="C2628">
        <v>-52.035493000000002</v>
      </c>
      <c r="D2628">
        <v>6.3223910331726074</v>
      </c>
      <c r="E2628">
        <v>2.2516000270843506</v>
      </c>
      <c r="F2628">
        <v>0.35613098740577698</v>
      </c>
      <c r="G2628">
        <v>3.8524999618530273</v>
      </c>
      <c r="H2628">
        <v>0.20000000298023224</v>
      </c>
      <c r="I2628">
        <v>66.55999755859375</v>
      </c>
      <c r="J2628">
        <v>228</v>
      </c>
    </row>
    <row r="2629" spans="1:10" x14ac:dyDescent="0.25">
      <c r="A2629">
        <v>5327</v>
      </c>
      <c r="B2629" t="str">
        <v>Unique Organics</v>
      </c>
      <c r="C2629">
        <v>73.201901000000007</v>
      </c>
      <c r="D2629">
        <v>58.400482177734375</v>
      </c>
      <c r="E2629">
        <v>53.369564056396484</v>
      </c>
      <c r="F2629">
        <v>0.91385501623153687</v>
      </c>
      <c r="G2629">
        <v>125.83750152587891</v>
      </c>
      <c r="H2629">
        <v>0.27000001072883606</v>
      </c>
      <c r="I2629">
        <v>74.410003662109375</v>
      </c>
      <c r="J2629">
        <v>1284</v>
      </c>
    </row>
    <row r="2630" spans="1:10" x14ac:dyDescent="0.25">
      <c r="A2630">
        <v>4557</v>
      </c>
      <c r="B2630" t="str">
        <v>Uniroyal Ind</v>
      </c>
      <c r="C2630">
        <v>20.317943</v>
      </c>
      <c r="D2630">
        <v>16.33021354675293</v>
      </c>
      <c r="E2630">
        <v>6.3317298889160156</v>
      </c>
      <c r="F2630">
        <v>0.38773098587989807</v>
      </c>
      <c r="G2630">
        <v>22.600000381469727</v>
      </c>
      <c r="H2630">
        <v>0.40000000596046448</v>
      </c>
      <c r="I2630">
        <v>18.059999465942383</v>
      </c>
      <c r="J2630">
        <v>1150</v>
      </c>
    </row>
    <row r="2631" spans="1:10" x14ac:dyDescent="0.25">
      <c r="A2631">
        <v>7493</v>
      </c>
      <c r="B2631" t="str">
        <v>Unistar Multim.</v>
      </c>
      <c r="C2631">
        <v>6.9810790000000003</v>
      </c>
      <c r="D2631">
        <v>14.115100860595703</v>
      </c>
      <c r="E2631">
        <v>12.442569732666016</v>
      </c>
      <c r="F2631">
        <v>0.8815079927444458</v>
      </c>
      <c r="G2631">
        <v>3.1524999141693115</v>
      </c>
      <c r="H2631">
        <v>9.9999997764825821E-3</v>
      </c>
      <c r="I2631">
        <v>7.5999999046325684</v>
      </c>
      <c r="J2631">
        <v>1118</v>
      </c>
    </row>
    <row r="2632" spans="1:10" x14ac:dyDescent="0.25">
      <c r="A2632">
        <v>986</v>
      </c>
      <c r="B2632" t="str">
        <v>Unitech</v>
      </c>
      <c r="C2632">
        <v>39.745043000000003</v>
      </c>
      <c r="D2632">
        <v>4.1923642158508301</v>
      </c>
      <c r="E2632">
        <v>3.8281769752502441</v>
      </c>
      <c r="F2632">
        <v>0.9131309986114502</v>
      </c>
      <c r="G2632">
        <v>7.9499998092651367</v>
      </c>
      <c r="H2632">
        <v>0</v>
      </c>
      <c r="I2632">
        <v>2079.9599609375</v>
      </c>
      <c r="J2632">
        <v>1359</v>
      </c>
    </row>
    <row r="2633" spans="1:10" x14ac:dyDescent="0.25">
      <c r="A2633">
        <v>7392</v>
      </c>
      <c r="B2633" t="str">
        <v>Unitech Internat</v>
      </c>
      <c r="C2633">
        <v>-1.739106</v>
      </c>
      <c r="D2633">
        <v>5.9536900520324707</v>
      </c>
      <c r="E2633">
        <v>1.5180720090866089</v>
      </c>
      <c r="F2633">
        <v>0.25497999787330627</v>
      </c>
      <c r="G2633">
        <v>4.9000000953674316</v>
      </c>
      <c r="H2633">
        <v>0</v>
      </c>
      <c r="I2633">
        <v>5.1500000953674316</v>
      </c>
      <c r="J2633">
        <v>1290</v>
      </c>
    </row>
    <row r="2634" spans="1:10" x14ac:dyDescent="0.25">
      <c r="A2634">
        <v>23220</v>
      </c>
      <c r="B2634" t="str">
        <v>United Breweries</v>
      </c>
      <c r="C2634">
        <v>7.9693050000000003</v>
      </c>
      <c r="D2634">
        <v>1548.85888671875</v>
      </c>
      <c r="E2634">
        <v>336.84036254882813</v>
      </c>
      <c r="F2634">
        <v>0.21747599542140961</v>
      </c>
      <c r="G2634">
        <v>1963.074951171875</v>
      </c>
      <c r="H2634">
        <v>9.9999997764825821E-3</v>
      </c>
      <c r="I2634">
        <v>51786.390625</v>
      </c>
      <c r="J2634">
        <v>1359</v>
      </c>
    </row>
    <row r="2635" spans="1:10" x14ac:dyDescent="0.25">
      <c r="A2635">
        <v>5370</v>
      </c>
      <c r="B2635" t="str">
        <v>United Credit</v>
      </c>
      <c r="C2635">
        <v>14.129458</v>
      </c>
      <c r="D2635">
        <v>18.245119094848633</v>
      </c>
      <c r="E2635">
        <v>8.1316022872924805</v>
      </c>
      <c r="F2635">
        <v>0.44568601250648499</v>
      </c>
      <c r="G2635">
        <v>33.790000915527344</v>
      </c>
      <c r="H2635">
        <v>0</v>
      </c>
      <c r="I2635">
        <v>18</v>
      </c>
      <c r="J2635">
        <v>1175</v>
      </c>
    </row>
    <row r="2636" spans="1:10" x14ac:dyDescent="0.25">
      <c r="A2636">
        <v>1508</v>
      </c>
      <c r="B2636" t="str">
        <v>United Drilling</v>
      </c>
      <c r="C2636">
        <v>10.229671</v>
      </c>
      <c r="D2636">
        <v>275.78628540039063</v>
      </c>
      <c r="E2636">
        <v>99.458938598632813</v>
      </c>
      <c r="F2636">
        <v>0.36063799262046814</v>
      </c>
      <c r="G2636">
        <v>228.96249389648438</v>
      </c>
      <c r="H2636">
        <v>7.9999998211860657E-2</v>
      </c>
      <c r="I2636">
        <v>467.17001342773438</v>
      </c>
      <c r="J2636">
        <v>1359</v>
      </c>
    </row>
    <row r="2637" spans="1:10" x14ac:dyDescent="0.25">
      <c r="A2637">
        <v>8036</v>
      </c>
      <c r="B2637" t="str">
        <v>United Spirits</v>
      </c>
      <c r="C2637">
        <v>16.699435000000001</v>
      </c>
      <c r="D2637">
        <v>920.9041748046875</v>
      </c>
      <c r="E2637">
        <v>316.97491455078125</v>
      </c>
      <c r="F2637">
        <v>0.34419998526573181</v>
      </c>
      <c r="G2637">
        <v>1465.5</v>
      </c>
      <c r="H2637">
        <v>2.9999999329447746E-2</v>
      </c>
      <c r="I2637">
        <v>106262.3203125</v>
      </c>
      <c r="J2637">
        <v>1359</v>
      </c>
    </row>
    <row r="2638" spans="1:10" x14ac:dyDescent="0.25">
      <c r="A2638">
        <v>1522</v>
      </c>
      <c r="B2638" t="str">
        <v>United Van Der</v>
      </c>
      <c r="C2638">
        <v>50.268934000000002</v>
      </c>
      <c r="D2638">
        <v>67.11370849609375</v>
      </c>
      <c r="E2638">
        <v>45.485050201416016</v>
      </c>
      <c r="F2638">
        <v>0.6777309775352478</v>
      </c>
      <c r="G2638">
        <v>137.72500610351563</v>
      </c>
      <c r="H2638">
        <v>0.73000001907348633</v>
      </c>
      <c r="I2638">
        <v>187.27000427246094</v>
      </c>
      <c r="J2638">
        <v>1141</v>
      </c>
    </row>
    <row r="2639" spans="1:10" x14ac:dyDescent="0.25">
      <c r="A2639">
        <v>25397</v>
      </c>
      <c r="B2639" t="str">
        <v>Unity Infra.</v>
      </c>
      <c r="C2639">
        <v>66.214813000000007</v>
      </c>
      <c r="D2639">
        <v>0.85335397720336914</v>
      </c>
      <c r="E2639">
        <v>0.37302801012992859</v>
      </c>
      <c r="F2639">
        <v>0.43713098764419556</v>
      </c>
      <c r="G2639">
        <v>0.80000001192092896</v>
      </c>
      <c r="H2639">
        <v>0</v>
      </c>
      <c r="I2639">
        <v>9.6700000762939453</v>
      </c>
      <c r="J2639">
        <v>237</v>
      </c>
    </row>
    <row r="2640" spans="1:10" x14ac:dyDescent="0.25">
      <c r="A2640">
        <v>4387</v>
      </c>
      <c r="B2640" t="str">
        <v>Univa Foods</v>
      </c>
      <c r="C2640">
        <v>35.748280000000001</v>
      </c>
      <c r="D2640">
        <v>3.3634200096130371</v>
      </c>
      <c r="E2640">
        <v>2.0251219272613525</v>
      </c>
      <c r="F2640">
        <v>0.60210198163986206</v>
      </c>
      <c r="G2640">
        <v>6.809999942779541</v>
      </c>
      <c r="H2640">
        <v>0</v>
      </c>
      <c r="I2640">
        <v>9.75</v>
      </c>
      <c r="J2640">
        <v>519</v>
      </c>
    </row>
    <row r="2641" spans="1:10" x14ac:dyDescent="0.25">
      <c r="A2641">
        <v>20972</v>
      </c>
      <c r="B2641" t="str">
        <v>Universal Arts</v>
      </c>
      <c r="C2641">
        <v>27.456243000000001</v>
      </c>
      <c r="D2641">
        <v>2.8135800361633301</v>
      </c>
      <c r="E2641">
        <v>1.8895390033721924</v>
      </c>
      <c r="F2641">
        <v>0.67157799005508423</v>
      </c>
      <c r="G2641">
        <v>5.0450000762939453</v>
      </c>
      <c r="H2641">
        <v>0</v>
      </c>
      <c r="I2641">
        <v>5.2600002288818359</v>
      </c>
      <c r="J2641">
        <v>590</v>
      </c>
    </row>
    <row r="2642" spans="1:10" x14ac:dyDescent="0.25">
      <c r="A2642">
        <v>39642</v>
      </c>
      <c r="B2642" t="str">
        <v>Universal Auto.</v>
      </c>
      <c r="C2642">
        <v>17.277429999999999</v>
      </c>
      <c r="D2642">
        <v>128.16383361816406</v>
      </c>
      <c r="E2642">
        <v>62.680065155029297</v>
      </c>
      <c r="F2642">
        <v>0.48906201124191284</v>
      </c>
      <c r="G2642">
        <v>85.989997863769531</v>
      </c>
      <c r="H2642">
        <v>0.69999998807907104</v>
      </c>
      <c r="I2642">
        <v>106.91999816894531</v>
      </c>
      <c r="J2642">
        <v>881</v>
      </c>
    </row>
    <row r="2643" spans="1:10" x14ac:dyDescent="0.25">
      <c r="A2643">
        <v>587</v>
      </c>
      <c r="B2643" t="str">
        <v>Universal Cables</v>
      </c>
      <c r="C2643">
        <v>26.645496999999999</v>
      </c>
      <c r="D2643">
        <v>328.5010986328125</v>
      </c>
      <c r="E2643">
        <v>209.53413391113281</v>
      </c>
      <c r="F2643">
        <v>0.63784897327423096</v>
      </c>
      <c r="G2643">
        <v>664.17498779296875</v>
      </c>
      <c r="H2643">
        <v>0.9100000262260437</v>
      </c>
      <c r="I2643">
        <v>2260.22998046875</v>
      </c>
      <c r="J2643">
        <v>1358</v>
      </c>
    </row>
    <row r="2644" spans="1:10" x14ac:dyDescent="0.25">
      <c r="A2644">
        <v>2328</v>
      </c>
      <c r="B2644" t="str">
        <v>Universal Office</v>
      </c>
      <c r="C2644">
        <v>37.182917000000003</v>
      </c>
      <c r="D2644">
        <v>4.4383420944213867</v>
      </c>
      <c r="E2644">
        <v>1.7386980056762695</v>
      </c>
      <c r="F2644">
        <v>0.39174500107765198</v>
      </c>
      <c r="G2644">
        <v>8.0450000762939453</v>
      </c>
      <c r="H2644">
        <v>0</v>
      </c>
      <c r="I2644">
        <v>11.720000267028809</v>
      </c>
      <c r="J2644">
        <v>1188</v>
      </c>
    </row>
    <row r="2645" spans="1:10" x14ac:dyDescent="0.25">
      <c r="A2645">
        <v>7112</v>
      </c>
      <c r="B2645" t="str">
        <v>Unjha Formul.</v>
      </c>
      <c r="C2645">
        <v>21.447929999999999</v>
      </c>
      <c r="D2645">
        <v>14.824543952941895</v>
      </c>
      <c r="E2645">
        <v>7.4386019706726074</v>
      </c>
      <c r="F2645">
        <v>0.50177597999572754</v>
      </c>
      <c r="G2645">
        <v>23.979999542236328</v>
      </c>
      <c r="H2645">
        <v>0</v>
      </c>
      <c r="I2645">
        <v>10.350000381469727</v>
      </c>
      <c r="J2645">
        <v>1224</v>
      </c>
    </row>
    <row r="2646" spans="1:10" x14ac:dyDescent="0.25">
      <c r="A2646">
        <v>12295</v>
      </c>
      <c r="B2646" t="str">
        <v>Uno Minda</v>
      </c>
      <c r="C2646">
        <v>33.732897999999999</v>
      </c>
      <c r="D2646">
        <v>534.98919677734375</v>
      </c>
      <c r="E2646">
        <v>286.06134033203125</v>
      </c>
      <c r="F2646">
        <v>0.53470498323440552</v>
      </c>
      <c r="G2646">
        <v>1046.675048828125</v>
      </c>
      <c r="H2646">
        <v>0.23999999463558197</v>
      </c>
      <c r="I2646">
        <v>59535.05078125</v>
      </c>
      <c r="J2646">
        <v>1359</v>
      </c>
    </row>
    <row r="2647" spans="1:10" x14ac:dyDescent="0.25">
      <c r="A2647">
        <v>6493</v>
      </c>
      <c r="B2647" t="str">
        <v>Upsurge Invest.</v>
      </c>
      <c r="C2647">
        <v>39.342097000000003</v>
      </c>
      <c r="D2647">
        <v>53.548820495605469</v>
      </c>
      <c r="E2647">
        <v>41.102027893066406</v>
      </c>
      <c r="F2647">
        <v>0.76756197214126587</v>
      </c>
      <c r="G2647">
        <v>102.09999847412109</v>
      </c>
      <c r="H2647">
        <v>5.9999998658895493E-2</v>
      </c>
      <c r="I2647">
        <v>202.08000183105469</v>
      </c>
      <c r="J2647">
        <v>1289</v>
      </c>
    </row>
    <row r="2648" spans="1:10" x14ac:dyDescent="0.25">
      <c r="A2648">
        <v>4829</v>
      </c>
      <c r="B2648" t="str">
        <v>Urja Global</v>
      </c>
      <c r="C2648">
        <v>42.271329000000001</v>
      </c>
      <c r="D2648">
        <v>11.439000129699707</v>
      </c>
      <c r="E2648">
        <v>6.7868361473083496</v>
      </c>
      <c r="F2648">
        <v>0.5933070182800293</v>
      </c>
      <c r="G2648">
        <v>15.229999542236328</v>
      </c>
      <c r="H2648">
        <v>0</v>
      </c>
      <c r="I2648">
        <v>792.3800048828125</v>
      </c>
      <c r="J2648">
        <v>1359</v>
      </c>
    </row>
    <row r="2649" spans="1:10" x14ac:dyDescent="0.25">
      <c r="A2649">
        <v>8032</v>
      </c>
      <c r="B2649" t="str">
        <v>Usha Mart. Edu.</v>
      </c>
      <c r="C2649">
        <v>33.413268000000002</v>
      </c>
      <c r="D2649">
        <v>4.6347918510437012</v>
      </c>
      <c r="E2649">
        <v>1.8483380079269409</v>
      </c>
      <c r="F2649">
        <v>0.39879599213600159</v>
      </c>
      <c r="G2649">
        <v>5.7300000190734863</v>
      </c>
      <c r="H2649">
        <v>0.15999999642372131</v>
      </c>
      <c r="I2649">
        <v>14.979999542236328</v>
      </c>
      <c r="J2649">
        <v>1199</v>
      </c>
    </row>
    <row r="2650" spans="1:10" x14ac:dyDescent="0.25">
      <c r="A2650">
        <v>1076</v>
      </c>
      <c r="B2650" t="str">
        <v>Usha Martin</v>
      </c>
      <c r="C2650">
        <v>46.999009000000001</v>
      </c>
      <c r="D2650">
        <v>179.50985717773438</v>
      </c>
      <c r="E2650">
        <v>133.83433532714844</v>
      </c>
      <c r="F2650">
        <v>0.74555397033691406</v>
      </c>
      <c r="G2650">
        <v>311.04998779296875</v>
      </c>
      <c r="H2650">
        <v>0.12999999523162842</v>
      </c>
      <c r="I2650">
        <v>9486.6103515625</v>
      </c>
      <c r="J2650">
        <v>1359</v>
      </c>
    </row>
    <row r="2651" spans="1:10" x14ac:dyDescent="0.25">
      <c r="A2651">
        <v>4689</v>
      </c>
      <c r="B2651" t="str">
        <v>Ushdev Intl.</v>
      </c>
      <c r="C2651">
        <v>39.393492999999999</v>
      </c>
      <c r="D2651">
        <v>1.6172829866409302</v>
      </c>
      <c r="E2651">
        <v>1.4197139739990234</v>
      </c>
      <c r="F2651">
        <v>0.87783902883529663</v>
      </c>
      <c r="G2651">
        <v>1.0099999904632568</v>
      </c>
      <c r="H2651">
        <v>0</v>
      </c>
      <c r="I2651">
        <v>34.860000610351563</v>
      </c>
      <c r="J2651">
        <v>921</v>
      </c>
    </row>
    <row r="2652" spans="1:10" x14ac:dyDescent="0.25">
      <c r="A2652">
        <v>24</v>
      </c>
      <c r="B2652" t="str">
        <v>Utique Enterp.</v>
      </c>
      <c r="C2652">
        <v>24.483446000000001</v>
      </c>
      <c r="D2652">
        <v>5.0535140037536621</v>
      </c>
      <c r="E2652">
        <v>2.6079471111297607</v>
      </c>
      <c r="F2652">
        <v>0.51606601476669312</v>
      </c>
      <c r="G2652">
        <v>4.807499885559082</v>
      </c>
      <c r="H2652">
        <v>9.9999997764825821E-3</v>
      </c>
      <c r="I2652">
        <v>26.329999923706055</v>
      </c>
      <c r="J2652">
        <v>1349</v>
      </c>
    </row>
    <row r="2653" spans="1:10" x14ac:dyDescent="0.25">
      <c r="A2653">
        <v>1354</v>
      </c>
      <c r="B2653" t="str">
        <v>V B Desai Fin.</v>
      </c>
      <c r="C2653">
        <v>36.917603999999997</v>
      </c>
      <c r="D2653">
        <v>12.989841461181641</v>
      </c>
      <c r="E2653">
        <v>9.107177734375</v>
      </c>
      <c r="F2653">
        <v>0.70109999179840088</v>
      </c>
      <c r="G2653">
        <v>33.205001831054688</v>
      </c>
      <c r="H2653">
        <v>0</v>
      </c>
      <c r="I2653">
        <v>13.819999694824219</v>
      </c>
      <c r="J2653">
        <v>1174</v>
      </c>
    </row>
    <row r="2654" spans="1:10" x14ac:dyDescent="0.25">
      <c r="A2654">
        <v>24181</v>
      </c>
      <c r="B2654" t="str">
        <v>V B Industries</v>
      </c>
      <c r="C2654">
        <v>46.645707999999999</v>
      </c>
      <c r="D2654">
        <v>6.7392578125</v>
      </c>
      <c r="E2654">
        <v>2.865678071975708</v>
      </c>
      <c r="F2654">
        <v>0.4252220094203949</v>
      </c>
      <c r="G2654">
        <v>9.432499885559082</v>
      </c>
      <c r="H2654">
        <v>0</v>
      </c>
      <c r="I2654">
        <v>12.189999580383301</v>
      </c>
      <c r="J2654">
        <v>832</v>
      </c>
    </row>
    <row r="2655" spans="1:10" x14ac:dyDescent="0.25">
      <c r="A2655">
        <v>720</v>
      </c>
      <c r="B2655" t="str">
        <v>V I P Inds.</v>
      </c>
      <c r="C2655">
        <v>-1.037693</v>
      </c>
      <c r="D2655">
        <v>492.97543334960938</v>
      </c>
      <c r="E2655">
        <v>142.31912231445313</v>
      </c>
      <c r="F2655">
        <v>0.28869399428367615</v>
      </c>
      <c r="G2655">
        <v>407.72500610351563</v>
      </c>
      <c r="H2655">
        <v>0.85000002384185791</v>
      </c>
      <c r="I2655">
        <v>5675.10986328125</v>
      </c>
      <c r="J2655">
        <v>1359</v>
      </c>
    </row>
    <row r="2656" spans="1:10" x14ac:dyDescent="0.25">
      <c r="A2656">
        <v>74068</v>
      </c>
      <c r="B2656" t="str">
        <v>V R Films &amp; Stud</v>
      </c>
      <c r="C2656">
        <v>-1.066384</v>
      </c>
      <c r="D2656">
        <v>33.058128356933594</v>
      </c>
      <c r="E2656">
        <v>15.299910545349121</v>
      </c>
      <c r="F2656">
        <v>0.46281799674034119</v>
      </c>
      <c r="G2656">
        <v>15.512499809265137</v>
      </c>
      <c r="H2656">
        <v>0.82999998331069946</v>
      </c>
      <c r="I2656">
        <v>16.510000228881836</v>
      </c>
      <c r="J2656">
        <v>964</v>
      </c>
    </row>
    <row r="2657" spans="1:10" x14ac:dyDescent="0.25">
      <c r="A2657">
        <v>19611</v>
      </c>
      <c r="B2657" t="str">
        <v>V-Guard Industri</v>
      </c>
      <c r="C2657">
        <v>10.400456999999999</v>
      </c>
      <c r="D2657">
        <v>273.41152954101563</v>
      </c>
      <c r="E2657">
        <v>81.138900756835938</v>
      </c>
      <c r="F2657">
        <v>0.29676499962806702</v>
      </c>
      <c r="G2657">
        <v>373.28750610351563</v>
      </c>
      <c r="H2657">
        <v>0.25999999046325684</v>
      </c>
      <c r="I2657">
        <v>16127.4296875</v>
      </c>
      <c r="J2657">
        <v>1359</v>
      </c>
    </row>
    <row r="2658" spans="1:10" x14ac:dyDescent="0.25">
      <c r="A2658">
        <v>43812</v>
      </c>
      <c r="B2658" t="str">
        <v>VCU Data Managem</v>
      </c>
      <c r="C2658">
        <v>-1.4525129999999999</v>
      </c>
      <c r="D2658">
        <v>8.5388765335083008</v>
      </c>
      <c r="E2658">
        <v>7.3034501075744629</v>
      </c>
      <c r="F2658">
        <v>0.85531699657440186</v>
      </c>
      <c r="G2658">
        <v>6.442500114440918</v>
      </c>
      <c r="H2658">
        <v>0</v>
      </c>
      <c r="I2658">
        <v>9.8599996566772461</v>
      </c>
      <c r="J2658">
        <v>1182</v>
      </c>
    </row>
    <row r="2659" spans="1:10" x14ac:dyDescent="0.25">
      <c r="A2659">
        <v>23165</v>
      </c>
      <c r="B2659" t="str">
        <v>VIP Clothing</v>
      </c>
      <c r="C2659">
        <v>29.965226000000001</v>
      </c>
      <c r="D2659">
        <v>29.45692253112793</v>
      </c>
      <c r="E2659">
        <v>14.906829833984375</v>
      </c>
      <c r="F2659">
        <v>0.50605499744415283</v>
      </c>
      <c r="G2659">
        <v>39.647499084472656</v>
      </c>
      <c r="H2659">
        <v>0.57999998331069946</v>
      </c>
      <c r="I2659">
        <v>352.58999633789063</v>
      </c>
      <c r="J2659">
        <v>1358</v>
      </c>
    </row>
    <row r="2660" spans="1:10" x14ac:dyDescent="0.25">
      <c r="A2660">
        <v>4884</v>
      </c>
      <c r="B2660" t="str">
        <v>VK Global</v>
      </c>
      <c r="C2660">
        <v>22.671852000000001</v>
      </c>
      <c r="D2660">
        <v>14.788233757019043</v>
      </c>
      <c r="E2660">
        <v>11.615479469299316</v>
      </c>
      <c r="F2660">
        <v>0.78545397520065308</v>
      </c>
      <c r="G2660">
        <v>43.947498321533203</v>
      </c>
      <c r="H2660">
        <v>0</v>
      </c>
      <c r="I2660">
        <v>18.170000076293945</v>
      </c>
      <c r="J2660">
        <v>447</v>
      </c>
    </row>
    <row r="2661" spans="1:10" x14ac:dyDescent="0.25">
      <c r="A2661">
        <v>43767</v>
      </c>
      <c r="B2661" t="str">
        <v>VKJ Infradevelop</v>
      </c>
      <c r="C2661">
        <v>6.655786</v>
      </c>
      <c r="D2661">
        <v>0.34175598621368408</v>
      </c>
      <c r="E2661">
        <v>0.11082900315523148</v>
      </c>
      <c r="F2661">
        <v>0.32429298758506775</v>
      </c>
      <c r="G2661">
        <v>0.27250000834465027</v>
      </c>
      <c r="H2661">
        <v>7.9999998211860657E-2</v>
      </c>
      <c r="I2661">
        <v>6.429999828338623</v>
      </c>
      <c r="J2661">
        <v>272</v>
      </c>
    </row>
    <row r="2662" spans="1:10" x14ac:dyDescent="0.25">
      <c r="A2662">
        <v>2848</v>
      </c>
      <c r="B2662" t="str">
        <v>VLS Finance</v>
      </c>
      <c r="C2662">
        <v>29.421921000000001</v>
      </c>
      <c r="D2662">
        <v>177.722900390625</v>
      </c>
      <c r="E2662">
        <v>93.006980895996094</v>
      </c>
      <c r="F2662">
        <v>0.52332597970962524</v>
      </c>
      <c r="G2662">
        <v>239.60000610351563</v>
      </c>
      <c r="H2662">
        <v>0</v>
      </c>
      <c r="I2662">
        <v>830.58001708984375</v>
      </c>
      <c r="J2662">
        <v>1359</v>
      </c>
    </row>
    <row r="2663" spans="1:10" x14ac:dyDescent="0.25">
      <c r="A2663">
        <v>40341</v>
      </c>
      <c r="B2663" t="str">
        <v>VMS Industries</v>
      </c>
      <c r="C2663">
        <v>17.325406999999998</v>
      </c>
      <c r="D2663">
        <v>21.504737854003906</v>
      </c>
      <c r="E2663">
        <v>15.022809982299805</v>
      </c>
      <c r="F2663">
        <v>0.69858098030090332</v>
      </c>
      <c r="G2663">
        <v>42.240001678466797</v>
      </c>
      <c r="H2663">
        <v>0.41999998688697815</v>
      </c>
      <c r="I2663">
        <v>101.70999908447266</v>
      </c>
      <c r="J2663">
        <v>1283</v>
      </c>
    </row>
    <row r="2664" spans="1:10" x14ac:dyDescent="0.25">
      <c r="A2664">
        <v>29776</v>
      </c>
      <c r="B2664" t="str">
        <v>VRL Logistics</v>
      </c>
      <c r="C2664">
        <v>13.385755</v>
      </c>
      <c r="D2664">
        <v>461.20648193359375</v>
      </c>
      <c r="E2664">
        <v>186.25436401367188</v>
      </c>
      <c r="F2664">
        <v>0.40384200215339661</v>
      </c>
      <c r="G2664">
        <v>563.0250244140625</v>
      </c>
      <c r="H2664">
        <v>0.9100000262260437</v>
      </c>
      <c r="I2664">
        <v>4832.6298828125</v>
      </c>
      <c r="J2664">
        <v>1359</v>
      </c>
    </row>
    <row r="2665" spans="1:10" x14ac:dyDescent="0.25">
      <c r="A2665">
        <v>598</v>
      </c>
      <c r="B2665" t="str">
        <v>VST Industries</v>
      </c>
      <c r="C2665">
        <v>-5.7528329999999999</v>
      </c>
      <c r="D2665">
        <v>315.1641845703125</v>
      </c>
      <c r="E2665">
        <v>35.572711944580078</v>
      </c>
      <c r="F2665">
        <v>0.1128700003027916</v>
      </c>
      <c r="G2665">
        <v>281.75</v>
      </c>
      <c r="H2665">
        <v>0</v>
      </c>
      <c r="I2665">
        <v>4760.35986328125</v>
      </c>
      <c r="J2665">
        <v>1359</v>
      </c>
    </row>
    <row r="2666" spans="1:10" x14ac:dyDescent="0.25">
      <c r="A2666">
        <v>2531</v>
      </c>
      <c r="B2666" t="str">
        <v>VST Till. Tract.</v>
      </c>
      <c r="C2666">
        <v>22.964803</v>
      </c>
      <c r="D2666">
        <v>2726.362060546875</v>
      </c>
      <c r="E2666">
        <v>1006.9072265625</v>
      </c>
      <c r="F2666">
        <v>0.36932298541069031</v>
      </c>
      <c r="G2666">
        <v>3701.6748046875</v>
      </c>
      <c r="H2666">
        <v>0</v>
      </c>
      <c r="I2666">
        <v>3176.8701171875</v>
      </c>
      <c r="J2666">
        <v>1359</v>
      </c>
    </row>
    <row r="2667" spans="1:10" x14ac:dyDescent="0.25">
      <c r="A2667">
        <v>2365</v>
      </c>
      <c r="B2667" t="str">
        <v>VTM</v>
      </c>
      <c r="C2667">
        <v>42.799073999999997</v>
      </c>
      <c r="D2667">
        <v>24.201244354248047</v>
      </c>
      <c r="E2667">
        <v>19.473953247070313</v>
      </c>
      <c r="F2667">
        <v>0.80466699600219727</v>
      </c>
      <c r="G2667">
        <v>90.050003051757813</v>
      </c>
      <c r="H2667">
        <v>7.9999998211860657E-2</v>
      </c>
      <c r="I2667">
        <v>887.52001953125</v>
      </c>
      <c r="J2667">
        <v>1357</v>
      </c>
    </row>
    <row r="2668" spans="1:10" x14ac:dyDescent="0.25">
      <c r="A2668">
        <v>3566</v>
      </c>
      <c r="B2668" t="str">
        <v>VXL Instruments</v>
      </c>
      <c r="C2668">
        <v>29.469474000000002</v>
      </c>
      <c r="D2668">
        <v>6.216008186340332</v>
      </c>
      <c r="E2668">
        <v>2.1901700496673584</v>
      </c>
      <c r="F2668">
        <v>0.35234299302101135</v>
      </c>
      <c r="G2668">
        <v>5.445000171661377</v>
      </c>
      <c r="H2668">
        <v>0.69999998807907104</v>
      </c>
      <c r="I2668">
        <v>7.25</v>
      </c>
      <c r="J2668">
        <v>959</v>
      </c>
    </row>
    <row r="2669" spans="1:10" x14ac:dyDescent="0.25">
      <c r="A2669">
        <v>36019</v>
      </c>
      <c r="B2669" t="str">
        <v>Va Tech Wabag</v>
      </c>
      <c r="C2669">
        <v>40.654384</v>
      </c>
      <c r="D2669">
        <v>557.2803955078125</v>
      </c>
      <c r="E2669">
        <v>475.6983642578125</v>
      </c>
      <c r="F2669">
        <v>0.85360699892044067</v>
      </c>
      <c r="G2669">
        <v>1507.887451171875</v>
      </c>
      <c r="H2669">
        <v>0.12999999523162842</v>
      </c>
      <c r="I2669">
        <v>9235.2802734375</v>
      </c>
      <c r="J2669">
        <v>1359</v>
      </c>
    </row>
    <row r="2670" spans="1:10" x14ac:dyDescent="0.25">
      <c r="A2670">
        <v>4843</v>
      </c>
      <c r="B2670" t="str">
        <v>Vaarad Ventures</v>
      </c>
      <c r="C2670">
        <v>12.659907</v>
      </c>
      <c r="D2670">
        <v>13.207168579101563</v>
      </c>
      <c r="E2670">
        <v>5.0170340538024902</v>
      </c>
      <c r="F2670">
        <v>0.37987199425697327</v>
      </c>
      <c r="G2670">
        <v>13.327500343322754</v>
      </c>
      <c r="H2670">
        <v>0.15999999642372131</v>
      </c>
      <c r="I2670">
        <v>333.1199951171875</v>
      </c>
      <c r="J2670">
        <v>1199</v>
      </c>
    </row>
    <row r="2671" spans="1:10" x14ac:dyDescent="0.25">
      <c r="A2671">
        <v>1524</v>
      </c>
      <c r="B2671" t="str">
        <v>Vadilal Inds.</v>
      </c>
      <c r="C2671">
        <v>38.446243000000003</v>
      </c>
      <c r="D2671">
        <v>2261.58984375</v>
      </c>
      <c r="E2671">
        <v>1481.195068359375</v>
      </c>
      <c r="F2671">
        <v>0.65493500232696533</v>
      </c>
      <c r="G2671">
        <v>5402.46240234375</v>
      </c>
      <c r="H2671">
        <v>0.63999998569488525</v>
      </c>
      <c r="I2671">
        <v>3857.719970703125</v>
      </c>
      <c r="J2671">
        <v>1358</v>
      </c>
    </row>
    <row r="2672" spans="1:10" x14ac:dyDescent="0.25">
      <c r="A2672">
        <v>7087</v>
      </c>
      <c r="B2672" t="str">
        <v>Vaghani Techno</v>
      </c>
      <c r="C2672">
        <v>16.127526</v>
      </c>
      <c r="D2672">
        <v>11.059149742126465</v>
      </c>
      <c r="E2672">
        <v>3.9209680557250977</v>
      </c>
      <c r="F2672">
        <v>0.354544997215271</v>
      </c>
      <c r="G2672">
        <v>24.190000534057617</v>
      </c>
      <c r="H2672">
        <v>0</v>
      </c>
      <c r="I2672">
        <v>12.630000114440918</v>
      </c>
      <c r="J2672">
        <v>380</v>
      </c>
    </row>
    <row r="2673" spans="1:10" x14ac:dyDescent="0.25">
      <c r="A2673">
        <v>16437</v>
      </c>
      <c r="B2673" t="str">
        <v>Vaibhav Global</v>
      </c>
      <c r="C2673">
        <v>6.3936539999999997</v>
      </c>
      <c r="D2673">
        <v>401.49774169921875</v>
      </c>
      <c r="E2673">
        <v>172.59849548339844</v>
      </c>
      <c r="F2673">
        <v>0.42988699674606323</v>
      </c>
      <c r="G2673">
        <v>236.22500610351563</v>
      </c>
      <c r="H2673">
        <v>0.17000000178813934</v>
      </c>
      <c r="I2673">
        <v>3908.18994140625</v>
      </c>
      <c r="J2673">
        <v>1359</v>
      </c>
    </row>
    <row r="2674" spans="1:10" x14ac:dyDescent="0.25">
      <c r="A2674">
        <v>3546</v>
      </c>
      <c r="B2674" t="str">
        <v>Vakrangee</v>
      </c>
      <c r="C2674">
        <v>-26.081341999999999</v>
      </c>
      <c r="D2674">
        <v>27.118503570556641</v>
      </c>
      <c r="E2674">
        <v>9.9081344604492188</v>
      </c>
      <c r="F2674">
        <v>0.36536398530006409</v>
      </c>
      <c r="G2674">
        <v>9.4449996948242188</v>
      </c>
      <c r="H2674">
        <v>0.37000000476837158</v>
      </c>
      <c r="I2674">
        <v>1021.4500122070313</v>
      </c>
      <c r="J2674">
        <v>1359</v>
      </c>
    </row>
    <row r="2675" spans="1:10" x14ac:dyDescent="0.25">
      <c r="A2675">
        <v>4658</v>
      </c>
      <c r="B2675" t="str">
        <v>Valiant Commun.</v>
      </c>
      <c r="C2675">
        <v>68.618512999999993</v>
      </c>
      <c r="D2675">
        <v>226.59526062011719</v>
      </c>
      <c r="E2675">
        <v>213.3914794921875</v>
      </c>
      <c r="F2675">
        <v>0.94173002243041992</v>
      </c>
      <c r="G2675">
        <v>674.25</v>
      </c>
      <c r="H2675">
        <v>5.000000074505806E-2</v>
      </c>
      <c r="I2675">
        <v>509.1300048828125</v>
      </c>
      <c r="J2675">
        <v>1347</v>
      </c>
    </row>
    <row r="2676" spans="1:10" x14ac:dyDescent="0.25">
      <c r="A2676">
        <v>68789</v>
      </c>
      <c r="B2676" t="str">
        <v>Valiant Organics</v>
      </c>
      <c r="C2676">
        <v>-7.2828730000000004</v>
      </c>
      <c r="D2676">
        <v>780.39691162109375</v>
      </c>
      <c r="E2676">
        <v>430.47091674804688</v>
      </c>
      <c r="F2676">
        <v>0.5516049861907959</v>
      </c>
      <c r="G2676">
        <v>434.64999389648438</v>
      </c>
      <c r="H2676">
        <v>0.33000001311302185</v>
      </c>
      <c r="I2676">
        <v>1226.3199462890625</v>
      </c>
      <c r="J2676">
        <v>1356</v>
      </c>
    </row>
    <row r="2677" spans="1:10" x14ac:dyDescent="0.25">
      <c r="A2677">
        <v>2861</v>
      </c>
      <c r="B2677" t="str">
        <v>Vallabh Steels</v>
      </c>
      <c r="C2677">
        <v>-18.344072000000001</v>
      </c>
      <c r="D2677">
        <v>8.7133760452270508</v>
      </c>
      <c r="E2677">
        <v>2.7973160743713379</v>
      </c>
      <c r="F2677">
        <v>0.32103699445724487</v>
      </c>
      <c r="G2677">
        <v>8.1999998092651367</v>
      </c>
      <c r="H2677">
        <v>0</v>
      </c>
      <c r="I2677">
        <v>4.059999942779541</v>
      </c>
      <c r="J2677">
        <v>873</v>
      </c>
    </row>
    <row r="2678" spans="1:10" x14ac:dyDescent="0.25">
      <c r="A2678">
        <v>35717</v>
      </c>
      <c r="B2678" t="str">
        <v>Valor Estate</v>
      </c>
      <c r="C2678">
        <v>58.211776999999998</v>
      </c>
      <c r="D2678">
        <v>95.085182189941406</v>
      </c>
      <c r="E2678">
        <v>76.051994323730469</v>
      </c>
      <c r="F2678">
        <v>0.79983001947402954</v>
      </c>
      <c r="G2678">
        <v>217.35000610351563</v>
      </c>
      <c r="H2678">
        <v>0.12999999523162842</v>
      </c>
      <c r="I2678">
        <v>11420.849609375</v>
      </c>
      <c r="J2678">
        <v>1359</v>
      </c>
    </row>
    <row r="2679" spans="1:10" x14ac:dyDescent="0.25">
      <c r="A2679">
        <v>5022</v>
      </c>
      <c r="B2679" t="str">
        <v>Valson Industrie</v>
      </c>
      <c r="C2679">
        <v>9.0278980000000004</v>
      </c>
      <c r="D2679">
        <v>22.699142456054688</v>
      </c>
      <c r="E2679">
        <v>6.6263551712036133</v>
      </c>
      <c r="F2679">
        <v>0.2919209897518158</v>
      </c>
      <c r="G2679">
        <v>28.867500305175781</v>
      </c>
      <c r="H2679">
        <v>0.62999999523162842</v>
      </c>
      <c r="I2679">
        <v>22.219999313354492</v>
      </c>
      <c r="J2679">
        <v>1342</v>
      </c>
    </row>
    <row r="2680" spans="1:10" x14ac:dyDescent="0.25">
      <c r="A2680">
        <v>2359</v>
      </c>
      <c r="B2680" t="str">
        <v>Vama Industries</v>
      </c>
      <c r="C2680">
        <v>-0.95223000000000002</v>
      </c>
      <c r="D2680">
        <v>7.3189702033996582</v>
      </c>
      <c r="E2680">
        <v>1.9560730457305908</v>
      </c>
      <c r="F2680">
        <v>0.26726099848747253</v>
      </c>
      <c r="G2680">
        <v>8.4975004196166992</v>
      </c>
      <c r="H2680">
        <v>0.25999999046325684</v>
      </c>
      <c r="I2680">
        <v>42.979999542236328</v>
      </c>
      <c r="J2680">
        <v>1355</v>
      </c>
    </row>
    <row r="2681" spans="1:10" x14ac:dyDescent="0.25">
      <c r="A2681">
        <v>7541</v>
      </c>
      <c r="B2681" t="str">
        <v>Vandana Knitwear</v>
      </c>
      <c r="C2681">
        <v>85.032425000000003</v>
      </c>
      <c r="D2681">
        <v>3.2205379009246826</v>
      </c>
      <c r="E2681">
        <v>4.0156397819519043</v>
      </c>
      <c r="F2681">
        <v>1.2468849420547485</v>
      </c>
      <c r="G2681">
        <v>18.299999237060547</v>
      </c>
      <c r="H2681">
        <v>0.10999999940395355</v>
      </c>
      <c r="I2681">
        <v>195.77999877929688</v>
      </c>
      <c r="J2681">
        <v>1172</v>
      </c>
    </row>
    <row r="2682" spans="1:10" x14ac:dyDescent="0.25">
      <c r="A2682">
        <v>43981</v>
      </c>
      <c r="B2682" t="str">
        <v>Vantage Knowledg</v>
      </c>
      <c r="C2682">
        <v>71.394778000000002</v>
      </c>
      <c r="D2682">
        <v>16.149530410766602</v>
      </c>
      <c r="E2682">
        <v>18.70939826965332</v>
      </c>
      <c r="F2682">
        <v>1.1585099697113037</v>
      </c>
      <c r="G2682">
        <v>8.1575002670288086</v>
      </c>
      <c r="H2682">
        <v>0</v>
      </c>
      <c r="I2682">
        <v>278.6400146484375</v>
      </c>
      <c r="J2682">
        <v>621</v>
      </c>
    </row>
    <row r="2683" spans="1:10" x14ac:dyDescent="0.25">
      <c r="A2683">
        <v>1463</v>
      </c>
      <c r="B2683" t="str">
        <v>Vapi Enterprise</v>
      </c>
      <c r="C2683">
        <v>26.865113999999998</v>
      </c>
      <c r="D2683">
        <v>85.232742309570313</v>
      </c>
      <c r="E2683">
        <v>46.771488189697266</v>
      </c>
      <c r="F2683">
        <v>0.54874998331069946</v>
      </c>
      <c r="G2683">
        <v>143</v>
      </c>
      <c r="H2683">
        <v>9.9999997764825821E-3</v>
      </c>
      <c r="I2683">
        <v>32.599998474121094</v>
      </c>
      <c r="J2683">
        <v>856</v>
      </c>
    </row>
    <row r="2684" spans="1:10" x14ac:dyDescent="0.25">
      <c r="A2684">
        <v>12803</v>
      </c>
      <c r="B2684" t="str">
        <v>Vardhman Concr.</v>
      </c>
      <c r="C2684">
        <v>13.910294</v>
      </c>
      <c r="D2684">
        <v>8.4036369323730469</v>
      </c>
      <c r="E2684">
        <v>2.2864561080932617</v>
      </c>
      <c r="F2684">
        <v>0.2720789909362793</v>
      </c>
      <c r="G2684">
        <v>11.380000114440918</v>
      </c>
      <c r="H2684">
        <v>0</v>
      </c>
      <c r="I2684">
        <v>8.1400003433227539</v>
      </c>
      <c r="J2684">
        <v>882</v>
      </c>
    </row>
    <row r="2685" spans="1:10" x14ac:dyDescent="0.25">
      <c r="A2685">
        <v>983</v>
      </c>
      <c r="B2685" t="str">
        <v>Vardhman Hold.</v>
      </c>
      <c r="C2685">
        <v>20.955755</v>
      </c>
      <c r="D2685">
        <v>2813.846923828125</v>
      </c>
      <c r="E2685">
        <v>980.2830810546875</v>
      </c>
      <c r="F2685">
        <v>0.34837800264358521</v>
      </c>
      <c r="G2685">
        <v>4029.487548828125</v>
      </c>
      <c r="H2685">
        <v>0</v>
      </c>
      <c r="I2685">
        <v>1269.6199951171875</v>
      </c>
      <c r="J2685">
        <v>1329</v>
      </c>
    </row>
    <row r="2686" spans="1:10" x14ac:dyDescent="0.25">
      <c r="A2686">
        <v>2900</v>
      </c>
      <c r="B2686" t="str">
        <v>Vardhman Polytex</v>
      </c>
      <c r="C2686">
        <v>79.162988999999996</v>
      </c>
      <c r="D2686">
        <v>4.2585558891296387</v>
      </c>
      <c r="E2686">
        <v>3.8679249286651611</v>
      </c>
      <c r="F2686">
        <v>0.90827202796936035</v>
      </c>
      <c r="G2686">
        <v>11.447500228881836</v>
      </c>
      <c r="H2686">
        <v>0</v>
      </c>
      <c r="I2686">
        <v>518.54998779296875</v>
      </c>
      <c r="J2686">
        <v>1319</v>
      </c>
    </row>
    <row r="2687" spans="1:10" x14ac:dyDescent="0.25">
      <c r="A2687">
        <v>40412</v>
      </c>
      <c r="B2687" t="str">
        <v>Vardhman Special</v>
      </c>
      <c r="C2687">
        <v>38.287689999999998</v>
      </c>
      <c r="D2687">
        <v>152.71182250976563</v>
      </c>
      <c r="E2687">
        <v>81.46551513671875</v>
      </c>
      <c r="F2687">
        <v>0.53345900774002075</v>
      </c>
      <c r="G2687">
        <v>258.47500610351563</v>
      </c>
      <c r="H2687">
        <v>0.17000000178813934</v>
      </c>
      <c r="I2687">
        <v>2011.8699951171875</v>
      </c>
      <c r="J2687">
        <v>1343</v>
      </c>
    </row>
    <row r="2688" spans="1:10" x14ac:dyDescent="0.25">
      <c r="A2688">
        <v>932</v>
      </c>
      <c r="B2688" t="str">
        <v>Vardhman Textile</v>
      </c>
      <c r="C2688">
        <v>15.711924</v>
      </c>
      <c r="D2688">
        <v>343.87310791015625</v>
      </c>
      <c r="E2688">
        <v>117.46501159667969</v>
      </c>
      <c r="F2688">
        <v>0.34159401059150696</v>
      </c>
      <c r="G2688">
        <v>460.71249389648438</v>
      </c>
      <c r="H2688">
        <v>0.20000000298023224</v>
      </c>
      <c r="I2688">
        <v>13156.9296875</v>
      </c>
      <c r="J2688">
        <v>1358</v>
      </c>
    </row>
    <row r="2689" spans="1:10" x14ac:dyDescent="0.25">
      <c r="A2689">
        <v>13839</v>
      </c>
      <c r="B2689" t="str">
        <v>Variman Global</v>
      </c>
      <c r="C2689">
        <v>47.904423999999999</v>
      </c>
      <c r="D2689">
        <v>12.219456672668457</v>
      </c>
      <c r="E2689">
        <v>8.0172491073608398</v>
      </c>
      <c r="F2689">
        <v>0.65610498189926147</v>
      </c>
      <c r="G2689">
        <v>16.702499389648438</v>
      </c>
      <c r="H2689">
        <v>0.33000001311302185</v>
      </c>
      <c r="I2689">
        <v>327.29000854492188</v>
      </c>
      <c r="J2689">
        <v>1280</v>
      </c>
    </row>
    <row r="2690" spans="1:10" x14ac:dyDescent="0.25">
      <c r="A2690">
        <v>24608</v>
      </c>
      <c r="B2690" t="str">
        <v>Varun Beverages</v>
      </c>
      <c r="C2690">
        <v>37.869934000000001</v>
      </c>
      <c r="D2690">
        <v>275.94290161132813</v>
      </c>
      <c r="E2690">
        <v>204.28947448730469</v>
      </c>
      <c r="F2690">
        <v>0.74033200740814209</v>
      </c>
      <c r="G2690">
        <v>453.96249389648438</v>
      </c>
      <c r="H2690">
        <v>0.23999999463558197</v>
      </c>
      <c r="I2690">
        <v>151611.328125</v>
      </c>
      <c r="J2690">
        <v>1359</v>
      </c>
    </row>
    <row r="2691" spans="1:10" x14ac:dyDescent="0.25">
      <c r="A2691">
        <v>6872</v>
      </c>
      <c r="B2691" t="str">
        <v>Vas Infra.</v>
      </c>
      <c r="C2691">
        <v>1.729236</v>
      </c>
      <c r="D2691">
        <v>4.2829737663269043</v>
      </c>
      <c r="E2691">
        <v>1.3483819961547852</v>
      </c>
      <c r="F2691">
        <v>0.31482398509979248</v>
      </c>
      <c r="G2691">
        <v>7.434999942779541</v>
      </c>
      <c r="H2691">
        <v>0</v>
      </c>
      <c r="I2691">
        <v>11.260000228881836</v>
      </c>
      <c r="J2691">
        <v>997</v>
      </c>
    </row>
    <row r="2692" spans="1:10" x14ac:dyDescent="0.25">
      <c r="A2692">
        <v>28441</v>
      </c>
      <c r="B2692" t="str">
        <v>Vascon Engineers</v>
      </c>
      <c r="C2692">
        <v>22.968333000000001</v>
      </c>
      <c r="D2692">
        <v>35.920364379882813</v>
      </c>
      <c r="E2692">
        <v>22.054365158081055</v>
      </c>
      <c r="F2692">
        <v>0.61397898197174072</v>
      </c>
      <c r="G2692">
        <v>48.647499084472656</v>
      </c>
      <c r="H2692">
        <v>0.15000000596046448</v>
      </c>
      <c r="I2692">
        <v>1080.0699462890625</v>
      </c>
      <c r="J2692">
        <v>1359</v>
      </c>
    </row>
    <row r="2693" spans="1:10" x14ac:dyDescent="0.25">
      <c r="A2693">
        <v>7478</v>
      </c>
      <c r="B2693" t="str">
        <v>Vashu Bhagnani</v>
      </c>
      <c r="C2693">
        <v>73.613022999999998</v>
      </c>
      <c r="D2693">
        <v>61.472995758056641</v>
      </c>
      <c r="E2693">
        <v>71.549720764160156</v>
      </c>
      <c r="F2693">
        <v>1.1639209985733032</v>
      </c>
      <c r="G2693">
        <v>96.504997253417969</v>
      </c>
      <c r="H2693">
        <v>0.28999999165534973</v>
      </c>
      <c r="I2693">
        <v>531.65997314453125</v>
      </c>
      <c r="J2693">
        <v>1227</v>
      </c>
    </row>
    <row r="2694" spans="1:10" x14ac:dyDescent="0.25">
      <c r="A2694">
        <v>7143</v>
      </c>
      <c r="B2694" t="str">
        <v>Vasudhagama Ent.</v>
      </c>
      <c r="C2694">
        <v>-44.436537000000001</v>
      </c>
      <c r="D2694">
        <v>27.355325698852539</v>
      </c>
      <c r="E2694">
        <v>28.907072067260742</v>
      </c>
      <c r="F2694">
        <v>1.0567259788513184</v>
      </c>
      <c r="G2694">
        <v>6.059999942779541</v>
      </c>
      <c r="H2694">
        <v>2.9999999329447746E-2</v>
      </c>
      <c r="I2694">
        <v>26.299999237060547</v>
      </c>
      <c r="J2694">
        <v>1252</v>
      </c>
    </row>
    <row r="2695" spans="1:10" x14ac:dyDescent="0.25">
      <c r="A2695">
        <v>2723</v>
      </c>
      <c r="B2695" t="str">
        <v>Vasundhara Rasy.</v>
      </c>
      <c r="C2695">
        <v>39.948298999999999</v>
      </c>
      <c r="D2695">
        <v>151.72732543945313</v>
      </c>
      <c r="E2695">
        <v>78.588516235351563</v>
      </c>
      <c r="F2695">
        <v>0.51795899868011475</v>
      </c>
      <c r="G2695">
        <v>205.28750610351563</v>
      </c>
      <c r="H2695">
        <v>0.10000000149011612</v>
      </c>
      <c r="I2695">
        <v>63.529998779296875</v>
      </c>
      <c r="J2695">
        <v>1351</v>
      </c>
    </row>
    <row r="2696" spans="1:10" x14ac:dyDescent="0.25">
      <c r="A2696">
        <v>40458</v>
      </c>
      <c r="B2696" t="str">
        <v>Vaswani Industri</v>
      </c>
      <c r="C2696">
        <v>41.716714000000003</v>
      </c>
      <c r="D2696">
        <v>24.117652893066406</v>
      </c>
      <c r="E2696">
        <v>14.400422096252441</v>
      </c>
      <c r="F2696">
        <v>0.59709101915359497</v>
      </c>
      <c r="G2696">
        <v>44.825000762939453</v>
      </c>
      <c r="H2696">
        <v>0.31000000238418579</v>
      </c>
      <c r="I2696">
        <v>136.83000183105469</v>
      </c>
      <c r="J2696">
        <v>1268</v>
      </c>
    </row>
    <row r="2697" spans="1:10" x14ac:dyDescent="0.25">
      <c r="A2697">
        <v>7115</v>
      </c>
      <c r="B2697" t="str">
        <v>Vax Housing Fin.</v>
      </c>
      <c r="C2697">
        <v>9.7832019999999993</v>
      </c>
      <c r="D2697">
        <v>1.8141629695892334</v>
      </c>
      <c r="E2697">
        <v>0.69416201114654541</v>
      </c>
      <c r="F2697">
        <v>0.38263499736785889</v>
      </c>
      <c r="G2697">
        <v>2.5499999523162842</v>
      </c>
      <c r="H2697">
        <v>0</v>
      </c>
      <c r="I2697">
        <v>3.0699999332427979</v>
      </c>
      <c r="J2697">
        <v>215</v>
      </c>
    </row>
    <row r="2698" spans="1:10" x14ac:dyDescent="0.25">
      <c r="A2698">
        <v>502</v>
      </c>
      <c r="B2698" t="str">
        <v>Vedanta</v>
      </c>
      <c r="C2698">
        <v>20.042484000000002</v>
      </c>
      <c r="D2698">
        <v>287.41851806640625</v>
      </c>
      <c r="E2698">
        <v>113.04290771484375</v>
      </c>
      <c r="F2698">
        <v>0.39330399036407471</v>
      </c>
      <c r="G2698">
        <v>447.61248779296875</v>
      </c>
      <c r="H2698">
        <v>0.80000001192092896</v>
      </c>
      <c r="I2698">
        <v>171861.5625</v>
      </c>
      <c r="J2698">
        <v>1358</v>
      </c>
    </row>
    <row r="2699" spans="1:10" x14ac:dyDescent="0.25">
      <c r="A2699">
        <v>20958</v>
      </c>
      <c r="B2699" t="str">
        <v>Vedavaag Systems</v>
      </c>
      <c r="C2699">
        <v>7.1940660000000003</v>
      </c>
      <c r="D2699">
        <v>47.222030639648438</v>
      </c>
      <c r="E2699">
        <v>14.825583457946777</v>
      </c>
      <c r="F2699">
        <v>0.31395500898361206</v>
      </c>
      <c r="G2699">
        <v>43.612499237060547</v>
      </c>
      <c r="H2699">
        <v>2.9999999329447746E-2</v>
      </c>
      <c r="I2699">
        <v>101.93000030517578</v>
      </c>
      <c r="J2699">
        <v>1359</v>
      </c>
    </row>
    <row r="2700" spans="1:10" x14ac:dyDescent="0.25">
      <c r="A2700">
        <v>2846</v>
      </c>
      <c r="B2700" t="str">
        <v>Veedol Corporat</v>
      </c>
      <c r="C2700">
        <v>11.505038000000001</v>
      </c>
      <c r="D2700">
        <v>1334.31884765625</v>
      </c>
      <c r="E2700">
        <v>524.74835205078125</v>
      </c>
      <c r="F2700">
        <v>0.39327099919319153</v>
      </c>
      <c r="G2700">
        <v>1666.824951171875</v>
      </c>
      <c r="H2700">
        <v>0</v>
      </c>
      <c r="I2700">
        <v>2898.39990234375</v>
      </c>
      <c r="J2700">
        <v>1359</v>
      </c>
    </row>
    <row r="2701" spans="1:10" x14ac:dyDescent="0.25">
      <c r="A2701">
        <v>24481</v>
      </c>
      <c r="B2701" t="str">
        <v>Veer Energy</v>
      </c>
      <c r="C2701">
        <v>19.726939999999999</v>
      </c>
      <c r="D2701">
        <v>13.028284072875977</v>
      </c>
      <c r="E2701">
        <v>6.0774297714233398</v>
      </c>
      <c r="F2701">
        <v>0.46647998690605164</v>
      </c>
      <c r="G2701">
        <v>18.977500915527344</v>
      </c>
      <c r="H2701">
        <v>0</v>
      </c>
      <c r="I2701">
        <v>28.459999084472656</v>
      </c>
      <c r="J2701">
        <v>1359</v>
      </c>
    </row>
    <row r="2702" spans="1:10" x14ac:dyDescent="0.25">
      <c r="A2702">
        <v>69699</v>
      </c>
      <c r="B2702" t="str">
        <v>Veeram Securit.</v>
      </c>
      <c r="C2702">
        <v>25.524978000000001</v>
      </c>
      <c r="D2702">
        <v>12.000404357910156</v>
      </c>
      <c r="E2702">
        <v>4.7359399795532227</v>
      </c>
      <c r="F2702">
        <v>0.3946479856967926</v>
      </c>
      <c r="G2702">
        <v>9.0924997329711914</v>
      </c>
      <c r="H2702">
        <v>0</v>
      </c>
      <c r="I2702">
        <v>68.230003356933594</v>
      </c>
      <c r="J2702">
        <v>986</v>
      </c>
    </row>
    <row r="2703" spans="1:10" x14ac:dyDescent="0.25">
      <c r="A2703">
        <v>3988</v>
      </c>
      <c r="B2703" t="str">
        <v>Veerhealth Care</v>
      </c>
      <c r="C2703">
        <v>26.233273000000001</v>
      </c>
      <c r="D2703">
        <v>11.384509086608887</v>
      </c>
      <c r="E2703">
        <v>7.1841001510620117</v>
      </c>
      <c r="F2703">
        <v>0.6310420036315918</v>
      </c>
      <c r="G2703">
        <v>18.057500839233398</v>
      </c>
      <c r="H2703">
        <v>0</v>
      </c>
      <c r="I2703">
        <v>35.799999237060547</v>
      </c>
      <c r="J2703">
        <v>1284</v>
      </c>
    </row>
    <row r="2704" spans="1:10" x14ac:dyDescent="0.25">
      <c r="A2704">
        <v>5797</v>
      </c>
      <c r="B2704" t="str">
        <v>Veljan Denison</v>
      </c>
      <c r="C2704">
        <v>13.823278999999999</v>
      </c>
      <c r="D2704">
        <v>793.4349365234375</v>
      </c>
      <c r="E2704">
        <v>444.08230590820313</v>
      </c>
      <c r="F2704">
        <v>0.5596960186958313</v>
      </c>
      <c r="G2704">
        <v>1229.300048828125</v>
      </c>
      <c r="H2704">
        <v>3.9999999105930328E-2</v>
      </c>
      <c r="I2704">
        <v>546.1199951171875</v>
      </c>
      <c r="J2704">
        <v>1356</v>
      </c>
    </row>
    <row r="2705" spans="1:10" x14ac:dyDescent="0.25">
      <c r="A2705">
        <v>1250</v>
      </c>
      <c r="B2705" t="str">
        <v>Venky's (India)</v>
      </c>
      <c r="C2705">
        <v>-1.850115</v>
      </c>
      <c r="D2705">
        <v>1892.5772705078125</v>
      </c>
      <c r="E2705">
        <v>489.4683837890625</v>
      </c>
      <c r="F2705">
        <v>0.25862500071525574</v>
      </c>
      <c r="G2705">
        <v>1608.2625732421875</v>
      </c>
      <c r="H2705">
        <v>0.14000000059604645</v>
      </c>
      <c r="I2705">
        <v>2261.510009765625</v>
      </c>
      <c r="J2705">
        <v>1359</v>
      </c>
    </row>
    <row r="2706" spans="1:10" x14ac:dyDescent="0.25">
      <c r="A2706">
        <v>1023</v>
      </c>
      <c r="B2706" t="str">
        <v>Venlon Enterpris</v>
      </c>
      <c r="C2706">
        <v>10.292514000000001</v>
      </c>
      <c r="D2706">
        <v>4.9523577690124512</v>
      </c>
      <c r="E2706">
        <v>2.0665600299835205</v>
      </c>
      <c r="F2706">
        <v>0.41728800535202026</v>
      </c>
      <c r="G2706">
        <v>5.5500001907348633</v>
      </c>
      <c r="H2706">
        <v>0</v>
      </c>
      <c r="I2706">
        <v>28.729999542236328</v>
      </c>
      <c r="J2706">
        <v>1128</v>
      </c>
    </row>
    <row r="2707" spans="1:10" x14ac:dyDescent="0.25">
      <c r="A2707">
        <v>4791</v>
      </c>
      <c r="B2707" t="str">
        <v>Venus Remedies</v>
      </c>
      <c r="C2707">
        <v>58.190606000000002</v>
      </c>
      <c r="D2707">
        <v>261.64520263671875</v>
      </c>
      <c r="E2707">
        <v>122.00429534912109</v>
      </c>
      <c r="F2707">
        <v>0.46629700064659119</v>
      </c>
      <c r="G2707">
        <v>432.0625</v>
      </c>
      <c r="H2707">
        <v>7.9999998211860657E-2</v>
      </c>
      <c r="I2707">
        <v>570.6400146484375</v>
      </c>
      <c r="J2707">
        <v>1350</v>
      </c>
    </row>
    <row r="2708" spans="1:10" x14ac:dyDescent="0.25">
      <c r="A2708">
        <v>24496</v>
      </c>
      <c r="B2708" t="str">
        <v>Veritas (India)</v>
      </c>
      <c r="C2708">
        <v>50.731036000000003</v>
      </c>
      <c r="D2708">
        <v>335.0614013671875</v>
      </c>
      <c r="E2708">
        <v>374.4017333984375</v>
      </c>
      <c r="F2708">
        <v>1.1174119710922241</v>
      </c>
      <c r="G2708">
        <v>367.38751220703125</v>
      </c>
      <c r="H2708">
        <v>2.9999999329447746E-2</v>
      </c>
      <c r="I2708">
        <v>967.16998291015625</v>
      </c>
      <c r="J2708">
        <v>1285</v>
      </c>
    </row>
    <row r="2709" spans="1:10" x14ac:dyDescent="0.25">
      <c r="A2709">
        <v>13529</v>
      </c>
      <c r="B2709" t="str">
        <v>Vertex Secur.</v>
      </c>
      <c r="C2709">
        <v>24.487734</v>
      </c>
      <c r="D2709">
        <v>2.9272100925445557</v>
      </c>
      <c r="E2709">
        <v>1.6072649955749512</v>
      </c>
      <c r="F2709">
        <v>0.54907697439193726</v>
      </c>
      <c r="G2709">
        <v>4.5974998474121094</v>
      </c>
      <c r="H2709">
        <v>0.51999998092651367</v>
      </c>
      <c r="I2709">
        <v>34.049999237060547</v>
      </c>
      <c r="J2709">
        <v>1291</v>
      </c>
    </row>
    <row r="2710" spans="1:10" x14ac:dyDescent="0.25">
      <c r="A2710">
        <v>3196</v>
      </c>
      <c r="B2710" t="str">
        <v>Vesuvius India</v>
      </c>
      <c r="C2710">
        <v>29.858976999999999</v>
      </c>
      <c r="D2710">
        <v>233.65351867675781</v>
      </c>
      <c r="E2710">
        <v>161.63717651367188</v>
      </c>
      <c r="F2710">
        <v>0.69178098440170288</v>
      </c>
      <c r="G2710">
        <v>538.23748779296875</v>
      </c>
      <c r="H2710">
        <v>9.9999997764825821E-3</v>
      </c>
      <c r="I2710">
        <v>10821.8701171875</v>
      </c>
      <c r="J2710">
        <v>1351</v>
      </c>
    </row>
    <row r="2711" spans="1:10" x14ac:dyDescent="0.25">
      <c r="A2711">
        <v>42820</v>
      </c>
      <c r="B2711" t="str">
        <v>Veto Switchgears</v>
      </c>
      <c r="C2711">
        <v>22.514932999999999</v>
      </c>
      <c r="D2711">
        <v>104.0606689453125</v>
      </c>
      <c r="E2711">
        <v>33.550128936767578</v>
      </c>
      <c r="F2711">
        <v>0.3224090039730072</v>
      </c>
      <c r="G2711">
        <v>123.5625</v>
      </c>
      <c r="H2711">
        <v>9.0000003576278687E-2</v>
      </c>
      <c r="I2711">
        <v>231</v>
      </c>
      <c r="J2711">
        <v>1357</v>
      </c>
    </row>
    <row r="2712" spans="1:10" x14ac:dyDescent="0.25">
      <c r="A2712">
        <v>43592</v>
      </c>
      <c r="B2712" t="str">
        <v>Viaan Industries</v>
      </c>
      <c r="C2712">
        <v>-23.945062</v>
      </c>
      <c r="D2712">
        <v>0.98856902122497559</v>
      </c>
      <c r="E2712">
        <v>0.42224800586700439</v>
      </c>
      <c r="F2712">
        <v>0.42713001370429993</v>
      </c>
      <c r="G2712">
        <v>0.9725000262260437</v>
      </c>
      <c r="H2712">
        <v>0</v>
      </c>
      <c r="I2712">
        <v>10.689999580383301</v>
      </c>
      <c r="J2712">
        <v>1043</v>
      </c>
    </row>
    <row r="2713" spans="1:10" x14ac:dyDescent="0.25">
      <c r="A2713">
        <v>45948</v>
      </c>
      <c r="B2713" t="str">
        <v>Vibrant Glo. Cap</v>
      </c>
      <c r="C2713">
        <v>0.57448500000000002</v>
      </c>
      <c r="D2713">
        <v>58.682643890380859</v>
      </c>
      <c r="E2713">
        <v>20.967828750610352</v>
      </c>
      <c r="F2713">
        <v>0.3573090136051178</v>
      </c>
      <c r="G2713">
        <v>45.397499084472656</v>
      </c>
      <c r="H2713">
        <v>3.9999999105930328E-2</v>
      </c>
      <c r="I2713">
        <v>105.20999908447266</v>
      </c>
      <c r="J2713">
        <v>1162</v>
      </c>
    </row>
    <row r="2714" spans="1:10" x14ac:dyDescent="0.25">
      <c r="A2714">
        <v>2852</v>
      </c>
      <c r="B2714" t="str">
        <v>Viceroy Hotels</v>
      </c>
      <c r="C2714">
        <v>83.724751999999995</v>
      </c>
      <c r="D2714">
        <v>28.394638061523438</v>
      </c>
      <c r="E2714">
        <v>47.186302185058594</v>
      </c>
      <c r="F2714">
        <v>1.6618030071258545</v>
      </c>
      <c r="G2714">
        <v>98.4375</v>
      </c>
      <c r="H2714">
        <v>0</v>
      </c>
      <c r="I2714">
        <v>664.29998779296875</v>
      </c>
      <c r="J2714">
        <v>1036</v>
      </c>
    </row>
    <row r="2715" spans="1:10" x14ac:dyDescent="0.25">
      <c r="A2715">
        <v>1806</v>
      </c>
      <c r="B2715" t="str">
        <v>Victoria Mills</v>
      </c>
      <c r="C2715">
        <v>23.719923999999999</v>
      </c>
      <c r="D2715">
        <v>3454.767333984375</v>
      </c>
      <c r="E2715">
        <v>1898.9573974609375</v>
      </c>
      <c r="F2715">
        <v>0.5496630072593689</v>
      </c>
      <c r="G2715">
        <v>6557</v>
      </c>
      <c r="H2715">
        <v>0</v>
      </c>
      <c r="I2715">
        <v>63.860000610351563</v>
      </c>
      <c r="J2715">
        <v>1319</v>
      </c>
    </row>
    <row r="2716" spans="1:10" x14ac:dyDescent="0.25">
      <c r="A2716">
        <v>3266</v>
      </c>
      <c r="B2716" t="str">
        <v>Videocon Inds.</v>
      </c>
      <c r="C2716">
        <v>30.075527000000001</v>
      </c>
      <c r="D2716">
        <v>3.5182089805603027</v>
      </c>
      <c r="E2716">
        <v>1.9203929901123047</v>
      </c>
      <c r="F2716">
        <v>0.54584401845932007</v>
      </c>
      <c r="G2716">
        <v>7.4774999618530273</v>
      </c>
      <c r="H2716">
        <v>0</v>
      </c>
      <c r="I2716">
        <v>242.47999572753906</v>
      </c>
      <c r="J2716">
        <v>363</v>
      </c>
    </row>
    <row r="2717" spans="1:10" x14ac:dyDescent="0.25">
      <c r="A2717">
        <v>14709</v>
      </c>
      <c r="B2717" t="str">
        <v>Vidhi Specialty</v>
      </c>
      <c r="C2717">
        <v>36.098927000000003</v>
      </c>
      <c r="D2717">
        <v>327.32086181640625</v>
      </c>
      <c r="E2717">
        <v>142.00975036621094</v>
      </c>
      <c r="F2717">
        <v>0.43385499715805054</v>
      </c>
      <c r="G2717">
        <v>420.64999389648438</v>
      </c>
      <c r="H2717">
        <v>0.14000000059604645</v>
      </c>
      <c r="I2717">
        <v>2101.43994140625</v>
      </c>
      <c r="J2717">
        <v>1359</v>
      </c>
    </row>
    <row r="2718" spans="1:10" x14ac:dyDescent="0.25">
      <c r="A2718">
        <v>5414</v>
      </c>
      <c r="B2718" t="str">
        <v>Vijay Solvex</v>
      </c>
      <c r="C2718">
        <v>32.277495000000002</v>
      </c>
      <c r="D2718">
        <v>1175.225341796875</v>
      </c>
      <c r="E2718">
        <v>777.15606689453125</v>
      </c>
      <c r="F2718">
        <v>0.66128301620483398</v>
      </c>
      <c r="G2718">
        <v>892.67498779296875</v>
      </c>
      <c r="H2718">
        <v>7.9999998211860657E-2</v>
      </c>
      <c r="I2718">
        <v>285.8900146484375</v>
      </c>
      <c r="J2718">
        <v>1321</v>
      </c>
    </row>
    <row r="2719" spans="1:10" x14ac:dyDescent="0.25">
      <c r="A2719">
        <v>6975</v>
      </c>
      <c r="B2719" t="str">
        <v>Viji Finance</v>
      </c>
      <c r="C2719">
        <v>39.331902999999997</v>
      </c>
      <c r="D2719">
        <v>1.7685140371322632</v>
      </c>
      <c r="E2719">
        <v>0.97584497928619385</v>
      </c>
      <c r="F2719">
        <v>0.55178797245025635</v>
      </c>
      <c r="G2719">
        <v>2.2974998950958252</v>
      </c>
      <c r="H2719">
        <v>0.93000000715255737</v>
      </c>
      <c r="I2719">
        <v>32.630001068115234</v>
      </c>
      <c r="J2719">
        <v>1316</v>
      </c>
    </row>
    <row r="2720" spans="1:10" x14ac:dyDescent="0.25">
      <c r="A2720">
        <v>6127</v>
      </c>
      <c r="B2720" t="str">
        <v>Vikas Ecotech</v>
      </c>
      <c r="C2720">
        <v>4.9895630000000004</v>
      </c>
      <c r="D2720">
        <v>3.107058048248291</v>
      </c>
      <c r="E2720">
        <v>1.1316239833831787</v>
      </c>
      <c r="F2720">
        <v>0.36421099305152893</v>
      </c>
      <c r="G2720">
        <v>2.4725000858306885</v>
      </c>
      <c r="H2720">
        <v>0.12999999523162842</v>
      </c>
      <c r="I2720">
        <v>429.79998779296875</v>
      </c>
      <c r="J2720">
        <v>1359</v>
      </c>
    </row>
    <row r="2721" spans="1:10" x14ac:dyDescent="0.25">
      <c r="A2721">
        <v>72424</v>
      </c>
      <c r="B2721" t="str">
        <v>Vikas Lifecare</v>
      </c>
      <c r="C2721">
        <v>-1.3701840000000001</v>
      </c>
      <c r="D2721">
        <v>4.4547419548034668</v>
      </c>
      <c r="E2721">
        <v>1.9449230432510376</v>
      </c>
      <c r="F2721">
        <v>0.43659600615501404</v>
      </c>
      <c r="G2721">
        <v>2.5325000286102295</v>
      </c>
      <c r="H2721">
        <v>5.000000074505806E-2</v>
      </c>
      <c r="I2721">
        <v>466.26998901367188</v>
      </c>
      <c r="J2721">
        <v>1358</v>
      </c>
    </row>
    <row r="2722" spans="1:10" x14ac:dyDescent="0.25">
      <c r="A2722">
        <v>6662</v>
      </c>
      <c r="B2722" t="str">
        <v>Vikas Proppant</v>
      </c>
      <c r="C2722">
        <v>-51.776845000000002</v>
      </c>
      <c r="D2722">
        <v>1.8549180030822754</v>
      </c>
      <c r="E2722">
        <v>2.0295019149780273</v>
      </c>
      <c r="F2722">
        <v>1.0941200256347656</v>
      </c>
      <c r="G2722">
        <v>0.38749998807907104</v>
      </c>
      <c r="H2722">
        <v>0.27000001072883606</v>
      </c>
      <c r="I2722">
        <v>19.559999465942383</v>
      </c>
      <c r="J2722">
        <v>1334</v>
      </c>
    </row>
    <row r="2723" spans="1:10" x14ac:dyDescent="0.25">
      <c r="A2723">
        <v>3396</v>
      </c>
      <c r="B2723" t="str">
        <v>Vikas Wsp</v>
      </c>
      <c r="C2723">
        <v>-31.307058999999999</v>
      </c>
      <c r="D2723">
        <v>3.373121976852417</v>
      </c>
      <c r="E2723">
        <v>2.0601489543914795</v>
      </c>
      <c r="F2723">
        <v>0.61075401306152344</v>
      </c>
      <c r="G2723">
        <v>1.4924999475479126</v>
      </c>
      <c r="H2723">
        <v>0.36000001430511475</v>
      </c>
      <c r="I2723">
        <v>30.870000839233398</v>
      </c>
      <c r="J2723">
        <v>1261</v>
      </c>
    </row>
    <row r="2724" spans="1:10" x14ac:dyDescent="0.25">
      <c r="A2724">
        <v>67630</v>
      </c>
      <c r="B2724" t="str">
        <v>Vikram Kamats</v>
      </c>
      <c r="C2724">
        <v>49.907713999999999</v>
      </c>
      <c r="D2724">
        <v>49.903755187988281</v>
      </c>
      <c r="E2724">
        <v>24.190090179443359</v>
      </c>
      <c r="F2724">
        <v>0.48473501205444336</v>
      </c>
      <c r="G2724">
        <v>62.659999847412109</v>
      </c>
      <c r="H2724">
        <v>0.77999997138977051</v>
      </c>
      <c r="I2724">
        <v>94.419998168945313</v>
      </c>
      <c r="J2724">
        <v>956</v>
      </c>
    </row>
    <row r="2725" spans="1:10" x14ac:dyDescent="0.25">
      <c r="A2725">
        <v>5040</v>
      </c>
      <c r="B2725" t="str">
        <v>Vikram Thermo</v>
      </c>
      <c r="C2725">
        <v>39.81033</v>
      </c>
      <c r="D2725">
        <v>83.610481262207031</v>
      </c>
      <c r="E2725">
        <v>60.966449737548828</v>
      </c>
      <c r="F2725">
        <v>0.7291719913482666</v>
      </c>
      <c r="G2725">
        <v>148.75</v>
      </c>
      <c r="H2725">
        <v>0.12999999523162842</v>
      </c>
      <c r="I2725">
        <v>464.8800048828125</v>
      </c>
      <c r="J2725">
        <v>1359</v>
      </c>
    </row>
    <row r="2726" spans="1:10" x14ac:dyDescent="0.25">
      <c r="A2726">
        <v>3231</v>
      </c>
      <c r="B2726" t="str">
        <v>Vimta Labs</v>
      </c>
      <c r="C2726">
        <v>45.260024000000001</v>
      </c>
      <c r="D2726">
        <v>200.64151000976563</v>
      </c>
      <c r="E2726">
        <v>122.27019500732422</v>
      </c>
      <c r="F2726">
        <v>0.60939598083496094</v>
      </c>
      <c r="G2726">
        <v>486.79998779296875</v>
      </c>
      <c r="H2726">
        <v>3.9999999105930328E-2</v>
      </c>
      <c r="I2726">
        <v>2142.93994140625</v>
      </c>
      <c r="J2726">
        <v>1359</v>
      </c>
    </row>
    <row r="2727" spans="1:10" x14ac:dyDescent="0.25">
      <c r="A2727">
        <v>2247</v>
      </c>
      <c r="B2727" t="str">
        <v>Vinati Organics</v>
      </c>
      <c r="C2727">
        <v>12.301176999999999</v>
      </c>
      <c r="D2727">
        <v>1692.481201171875</v>
      </c>
      <c r="E2727">
        <v>364.75265502929688</v>
      </c>
      <c r="F2727">
        <v>0.21551400423049927</v>
      </c>
      <c r="G2727">
        <v>1912.6876220703125</v>
      </c>
      <c r="H2727">
        <v>9.9999997764825821E-3</v>
      </c>
      <c r="I2727">
        <v>19530.609375</v>
      </c>
      <c r="J2727">
        <v>1359</v>
      </c>
    </row>
    <row r="2728" spans="1:10" x14ac:dyDescent="0.25">
      <c r="A2728">
        <v>722</v>
      </c>
      <c r="B2728" t="str">
        <v>Vindhya Telelink</v>
      </c>
      <c r="C2728">
        <v>10.909965</v>
      </c>
      <c r="D2728">
        <v>1473.0946044921875</v>
      </c>
      <c r="E2728">
        <v>625.25262451171875</v>
      </c>
      <c r="F2728">
        <v>0.42444801330566406</v>
      </c>
      <c r="G2728">
        <v>1719.137451171875</v>
      </c>
      <c r="H2728">
        <v>0.4699999988079071</v>
      </c>
      <c r="I2728">
        <v>2011.1800537109375</v>
      </c>
      <c r="J2728">
        <v>1359</v>
      </c>
    </row>
    <row r="2729" spans="1:10" x14ac:dyDescent="0.25">
      <c r="A2729">
        <v>1224</v>
      </c>
      <c r="B2729" t="str">
        <v>Vinyl Chemicals</v>
      </c>
      <c r="C2729">
        <v>29.647127999999999</v>
      </c>
      <c r="D2729">
        <v>297.12094116210938</v>
      </c>
      <c r="E2729">
        <v>156.10113525390625</v>
      </c>
      <c r="F2729">
        <v>0.5253790020942688</v>
      </c>
      <c r="G2729">
        <v>313.01251220703125</v>
      </c>
      <c r="H2729">
        <v>0</v>
      </c>
      <c r="I2729">
        <v>564.69000244140625</v>
      </c>
      <c r="J2729">
        <v>1359</v>
      </c>
    </row>
    <row r="2730" spans="1:10" x14ac:dyDescent="0.25">
      <c r="A2730">
        <v>5016</v>
      </c>
      <c r="B2730" t="str">
        <v>Vinyoflex</v>
      </c>
      <c r="C2730">
        <v>24.114830000000001</v>
      </c>
      <c r="D2730">
        <v>57.762386322021484</v>
      </c>
      <c r="E2730">
        <v>30.78642463684082</v>
      </c>
      <c r="F2730">
        <v>0.53298401832580566</v>
      </c>
      <c r="G2730">
        <v>69.452499389648438</v>
      </c>
      <c r="H2730">
        <v>0.10999999940395355</v>
      </c>
      <c r="I2730">
        <v>29.719999313354492</v>
      </c>
      <c r="J2730">
        <v>1252</v>
      </c>
    </row>
    <row r="2731" spans="1:10" x14ac:dyDescent="0.25">
      <c r="A2731">
        <v>3178</v>
      </c>
      <c r="B2731" t="str">
        <v>Vippy Spinpro</v>
      </c>
      <c r="C2731">
        <v>29.241012000000001</v>
      </c>
      <c r="D2731">
        <v>122.86786651611328</v>
      </c>
      <c r="E2731">
        <v>55.444992065429688</v>
      </c>
      <c r="F2731">
        <v>0.45125699043273926</v>
      </c>
      <c r="G2731">
        <v>176.51249694824219</v>
      </c>
      <c r="H2731">
        <v>0.6600000262260437</v>
      </c>
      <c r="I2731">
        <v>104.01999664306641</v>
      </c>
      <c r="J2731">
        <v>1301</v>
      </c>
    </row>
    <row r="2732" spans="1:10" x14ac:dyDescent="0.25">
      <c r="A2732">
        <v>4662</v>
      </c>
      <c r="B2732" t="str">
        <v>Vipul Ltd</v>
      </c>
      <c r="C2732">
        <v>-9.4548539999999992</v>
      </c>
      <c r="D2732">
        <v>21.65656852722168</v>
      </c>
      <c r="E2732">
        <v>8.8841209411621094</v>
      </c>
      <c r="F2732">
        <v>0.41022801399230957</v>
      </c>
      <c r="G2732">
        <v>11.359999656677246</v>
      </c>
      <c r="H2732">
        <v>0.89999997615814209</v>
      </c>
      <c r="I2732">
        <v>163.22999572753906</v>
      </c>
      <c r="J2732">
        <v>1309</v>
      </c>
    </row>
    <row r="2733" spans="1:10" x14ac:dyDescent="0.25">
      <c r="A2733">
        <v>5162</v>
      </c>
      <c r="B2733" t="str">
        <v>Vipul Organics</v>
      </c>
      <c r="C2733">
        <v>15.516482999999999</v>
      </c>
      <c r="D2733">
        <v>119.74425506591797</v>
      </c>
      <c r="E2733">
        <v>38.460319519042969</v>
      </c>
      <c r="F2733">
        <v>0.32118698954582214</v>
      </c>
      <c r="G2733">
        <v>205.875</v>
      </c>
      <c r="H2733">
        <v>0.55000001192092896</v>
      </c>
      <c r="I2733">
        <v>368.29998779296875</v>
      </c>
      <c r="J2733">
        <v>1359</v>
      </c>
    </row>
    <row r="2734" spans="1:10" x14ac:dyDescent="0.25">
      <c r="A2734">
        <v>4001</v>
      </c>
      <c r="B2734" t="str">
        <v>Virat Crane Inds</v>
      </c>
      <c r="C2734">
        <v>14.281036</v>
      </c>
      <c r="D2734">
        <v>37.944969177246094</v>
      </c>
      <c r="E2734">
        <v>16.361749649047852</v>
      </c>
      <c r="F2734">
        <v>0.43119698762893677</v>
      </c>
      <c r="G2734">
        <v>48.807498931884766</v>
      </c>
      <c r="H2734">
        <v>0.10000000149011612</v>
      </c>
      <c r="I2734">
        <v>100.30000305175781</v>
      </c>
      <c r="J2734">
        <v>1354</v>
      </c>
    </row>
    <row r="2735" spans="1:10" x14ac:dyDescent="0.25">
      <c r="A2735">
        <v>5042</v>
      </c>
      <c r="B2735" t="str">
        <v>Virat Industries</v>
      </c>
      <c r="C2735">
        <v>38.318812000000001</v>
      </c>
      <c r="D2735">
        <v>167.80348205566406</v>
      </c>
      <c r="E2735">
        <v>122.42073822021484</v>
      </c>
      <c r="F2735">
        <v>0.72954797744750977</v>
      </c>
      <c r="G2735">
        <v>473.51251220703125</v>
      </c>
      <c r="H2735">
        <v>1.9999999552965164E-2</v>
      </c>
      <c r="I2735">
        <v>226.5</v>
      </c>
      <c r="J2735">
        <v>1335</v>
      </c>
    </row>
    <row r="2736" spans="1:10" x14ac:dyDescent="0.25">
      <c r="A2736">
        <v>21213</v>
      </c>
      <c r="B2736" t="str">
        <v>Virinchi</v>
      </c>
      <c r="C2736">
        <v>3.9177569999999999</v>
      </c>
      <c r="D2736">
        <v>32.176651000976563</v>
      </c>
      <c r="E2736">
        <v>12.623250961303711</v>
      </c>
      <c r="F2736">
        <v>0.39231100678443909</v>
      </c>
      <c r="G2736">
        <v>21.370000839233398</v>
      </c>
      <c r="H2736">
        <v>0.40000000596046448</v>
      </c>
      <c r="I2736">
        <v>214.74000549316406</v>
      </c>
      <c r="J2736">
        <v>1359</v>
      </c>
    </row>
    <row r="2737" spans="1:10" x14ac:dyDescent="0.25">
      <c r="A2737">
        <v>23432</v>
      </c>
      <c r="B2737" t="str">
        <v>Virtual Global</v>
      </c>
      <c r="C2737">
        <v>21.149792999999999</v>
      </c>
      <c r="D2737">
        <v>0.95161700248718262</v>
      </c>
      <c r="E2737">
        <v>0.44431701302528381</v>
      </c>
      <c r="F2737">
        <v>0.46690800786018372</v>
      </c>
      <c r="G2737">
        <v>0.52499997615814209</v>
      </c>
      <c r="H2737">
        <v>3.9999999105930328E-2</v>
      </c>
      <c r="I2737">
        <v>22.030000686645508</v>
      </c>
      <c r="J2737">
        <v>1141</v>
      </c>
    </row>
    <row r="2738" spans="1:10" x14ac:dyDescent="0.25">
      <c r="A2738">
        <v>27244</v>
      </c>
      <c r="B2738" t="str">
        <v>Visa Steel</v>
      </c>
      <c r="C2738">
        <v>33.728504000000001</v>
      </c>
      <c r="D2738">
        <v>13.812236785888672</v>
      </c>
      <c r="E2738">
        <v>7.9779939651489258</v>
      </c>
      <c r="F2738">
        <v>0.57760298252105713</v>
      </c>
      <c r="G2738">
        <v>29.612499237060547</v>
      </c>
      <c r="H2738">
        <v>0</v>
      </c>
      <c r="I2738">
        <v>338.92001342773438</v>
      </c>
      <c r="J2738">
        <v>1045</v>
      </c>
    </row>
    <row r="2739" spans="1:10" x14ac:dyDescent="0.25">
      <c r="A2739">
        <v>5354</v>
      </c>
      <c r="B2739" t="str">
        <v>Visagar Finan.</v>
      </c>
      <c r="C2739">
        <v>36.134540000000001</v>
      </c>
      <c r="D2739">
        <v>0.70536202192306519</v>
      </c>
      <c r="E2739">
        <v>0.47104999423027039</v>
      </c>
      <c r="F2739">
        <v>0.6678130030632019</v>
      </c>
      <c r="G2739">
        <v>0.52499997615814209</v>
      </c>
      <c r="H2739">
        <v>0.46000000834465027</v>
      </c>
      <c r="I2739">
        <v>30.360000610351563</v>
      </c>
      <c r="J2739">
        <v>1250</v>
      </c>
    </row>
    <row r="2740" spans="1:10" x14ac:dyDescent="0.25">
      <c r="A2740">
        <v>15876</v>
      </c>
      <c r="B2740" t="str">
        <v>Visagar Polytex</v>
      </c>
      <c r="C2740">
        <v>22.303917999999999</v>
      </c>
      <c r="D2740">
        <v>1.0026040077209473</v>
      </c>
      <c r="E2740">
        <v>0.46023300290107727</v>
      </c>
      <c r="F2740">
        <v>0.45903798937797546</v>
      </c>
      <c r="G2740">
        <v>0.85250002145767212</v>
      </c>
      <c r="H2740">
        <v>0.70999997854232788</v>
      </c>
      <c r="I2740">
        <v>24.879999160766602</v>
      </c>
      <c r="J2740">
        <v>1342</v>
      </c>
    </row>
    <row r="2741" spans="1:10" x14ac:dyDescent="0.25">
      <c r="A2741">
        <v>1052</v>
      </c>
      <c r="B2741" t="str">
        <v>Visaka Industrie</v>
      </c>
      <c r="C2741">
        <v>9.2026330000000005</v>
      </c>
      <c r="D2741">
        <v>94.046188354492188</v>
      </c>
      <c r="E2741">
        <v>28.265165328979492</v>
      </c>
      <c r="F2741">
        <v>0.30054599046707153</v>
      </c>
      <c r="G2741">
        <v>79.852500915527344</v>
      </c>
      <c r="H2741">
        <v>0.60000002384185791</v>
      </c>
      <c r="I2741">
        <v>681.72998046875</v>
      </c>
      <c r="J2741">
        <v>1359</v>
      </c>
    </row>
    <row r="2742" spans="1:10" x14ac:dyDescent="0.25">
      <c r="A2742">
        <v>20670</v>
      </c>
      <c r="B2742" t="str">
        <v>Visesh Infotec.</v>
      </c>
      <c r="C2742">
        <v>12.294727999999999</v>
      </c>
      <c r="D2742">
        <v>0.54681998491287231</v>
      </c>
      <c r="E2742">
        <v>0.23540599644184113</v>
      </c>
      <c r="F2742">
        <v>0.43050000071525574</v>
      </c>
      <c r="G2742">
        <v>0.3449999988079071</v>
      </c>
      <c r="H2742">
        <v>7.0000000298023224E-2</v>
      </c>
      <c r="I2742">
        <v>128.33000183105469</v>
      </c>
      <c r="J2742">
        <v>695</v>
      </c>
    </row>
    <row r="2743" spans="1:10" x14ac:dyDescent="0.25">
      <c r="A2743">
        <v>45815</v>
      </c>
      <c r="B2743" t="str">
        <v>Vishal Fabrics</v>
      </c>
      <c r="C2743">
        <v>-8.1656169999999992</v>
      </c>
      <c r="D2743">
        <v>30.365129470825195</v>
      </c>
      <c r="E2743">
        <v>13.090091705322266</v>
      </c>
      <c r="F2743">
        <v>0.43108999729156494</v>
      </c>
      <c r="G2743">
        <v>35.417499542236328</v>
      </c>
      <c r="H2743">
        <v>0.87000000476837158</v>
      </c>
      <c r="I2743">
        <v>704.280029296875</v>
      </c>
      <c r="J2743">
        <v>1344</v>
      </c>
    </row>
    <row r="2744" spans="1:10" x14ac:dyDescent="0.25">
      <c r="A2744">
        <v>3977</v>
      </c>
      <c r="B2744" t="str">
        <v>Vishnu Chemicals</v>
      </c>
      <c r="C2744">
        <v>59.469757999999999</v>
      </c>
      <c r="D2744">
        <v>246.20700073242188</v>
      </c>
      <c r="E2744">
        <v>151.38201904296875</v>
      </c>
      <c r="F2744">
        <v>0.614857017993927</v>
      </c>
      <c r="G2744">
        <v>548.23748779296875</v>
      </c>
      <c r="H2744">
        <v>0.28999999165534973</v>
      </c>
      <c r="I2744">
        <v>3619.8798828125</v>
      </c>
      <c r="J2744">
        <v>1351</v>
      </c>
    </row>
    <row r="2745" spans="1:10" x14ac:dyDescent="0.25">
      <c r="A2745">
        <v>3664</v>
      </c>
      <c r="B2745" t="str">
        <v>Vision Cinemas</v>
      </c>
      <c r="C2745">
        <v>3.789129</v>
      </c>
      <c r="D2745">
        <v>1.1446750164031982</v>
      </c>
      <c r="E2745">
        <v>0.38510799407958984</v>
      </c>
      <c r="F2745">
        <v>0.3364349901676178</v>
      </c>
      <c r="G2745">
        <v>1.1799999475479126</v>
      </c>
      <c r="H2745">
        <v>0</v>
      </c>
      <c r="I2745">
        <v>8.3599996566772461</v>
      </c>
      <c r="J2745">
        <v>1300</v>
      </c>
    </row>
    <row r="2746" spans="1:10" x14ac:dyDescent="0.25">
      <c r="A2746">
        <v>7188</v>
      </c>
      <c r="B2746" t="str">
        <v>Vision Corpn.</v>
      </c>
      <c r="C2746">
        <v>31.742833999999998</v>
      </c>
      <c r="D2746">
        <v>2.4992051124572754</v>
      </c>
      <c r="E2746">
        <v>2.3336489200592041</v>
      </c>
      <c r="F2746">
        <v>0.93375700712203979</v>
      </c>
      <c r="G2746">
        <v>3.6700000762939453</v>
      </c>
      <c r="H2746">
        <v>3.9999999105930328E-2</v>
      </c>
      <c r="I2746">
        <v>7.2699999809265137</v>
      </c>
      <c r="J2746">
        <v>1251</v>
      </c>
    </row>
    <row r="2747" spans="1:10" x14ac:dyDescent="0.25">
      <c r="A2747">
        <v>4316</v>
      </c>
      <c r="B2747" t="str">
        <v>Vista Pharma.</v>
      </c>
      <c r="C2747">
        <v>0.88926000000000005</v>
      </c>
      <c r="D2747">
        <v>10.814358711242676</v>
      </c>
      <c r="E2747">
        <v>2.678318977355957</v>
      </c>
      <c r="F2747">
        <v>0.24766300618648529</v>
      </c>
      <c r="G2747">
        <v>10.487500190734863</v>
      </c>
      <c r="H2747">
        <v>0.23000000417232513</v>
      </c>
      <c r="I2747">
        <v>65.919998168945313</v>
      </c>
      <c r="J2747">
        <v>1359</v>
      </c>
    </row>
    <row r="2748" spans="1:10" x14ac:dyDescent="0.25">
      <c r="A2748">
        <v>67024</v>
      </c>
      <c r="B2748" t="str">
        <v>Vivanta Indust.</v>
      </c>
      <c r="C2748">
        <v>44.478386999999998</v>
      </c>
      <c r="D2748">
        <v>2.5057919025421143</v>
      </c>
      <c r="E2748">
        <v>1.5555349588394165</v>
      </c>
      <c r="F2748">
        <v>0.62077599763870239</v>
      </c>
      <c r="G2748">
        <v>2.9075000286102295</v>
      </c>
      <c r="H2748">
        <v>0.62000000476837158</v>
      </c>
      <c r="I2748">
        <v>38.130001068115234</v>
      </c>
      <c r="J2748">
        <v>1193</v>
      </c>
    </row>
    <row r="2749" spans="1:10" x14ac:dyDescent="0.25">
      <c r="A2749">
        <v>3851</v>
      </c>
      <c r="B2749" t="str">
        <v>Vivid Global</v>
      </c>
      <c r="C2749">
        <v>2.2698779999999998</v>
      </c>
      <c r="D2749">
        <v>22.652078628540039</v>
      </c>
      <c r="E2749">
        <v>6.7867941856384277</v>
      </c>
      <c r="F2749">
        <v>0.29960998892784119</v>
      </c>
      <c r="G2749">
        <v>16.354999542236328</v>
      </c>
      <c r="H2749">
        <v>0.2199999988079071</v>
      </c>
      <c r="I2749">
        <v>15.270000457763672</v>
      </c>
      <c r="J2749">
        <v>1356</v>
      </c>
    </row>
    <row r="2750" spans="1:10" x14ac:dyDescent="0.25">
      <c r="A2750">
        <v>73184</v>
      </c>
      <c r="B2750" t="str">
        <v>Vivid Mercantile</v>
      </c>
      <c r="C2750">
        <v>32.734479999999998</v>
      </c>
      <c r="D2750">
        <v>4.9264020919799805</v>
      </c>
      <c r="E2750">
        <v>2.040241003036499</v>
      </c>
      <c r="F2750">
        <v>0.41414400935173035</v>
      </c>
      <c r="G2750">
        <v>7.1525001525878906</v>
      </c>
      <c r="H2750">
        <v>0.10999999940395355</v>
      </c>
      <c r="I2750">
        <v>74.489997863769531</v>
      </c>
      <c r="J2750">
        <v>892</v>
      </c>
    </row>
    <row r="2751" spans="1:10" x14ac:dyDescent="0.25">
      <c r="A2751">
        <v>23040</v>
      </c>
      <c r="B2751" t="str">
        <v>Vodafone Idea</v>
      </c>
      <c r="C2751">
        <v>1.055175</v>
      </c>
      <c r="D2751">
        <v>9.6790800094604492</v>
      </c>
      <c r="E2751">
        <v>3.0217680931091309</v>
      </c>
      <c r="F2751">
        <v>0.31219598650932312</v>
      </c>
      <c r="G2751">
        <v>6.5149998664855957</v>
      </c>
      <c r="H2751">
        <v>0</v>
      </c>
      <c r="I2751">
        <v>68581.140625</v>
      </c>
      <c r="J2751">
        <v>1359</v>
      </c>
    </row>
    <row r="2752" spans="1:10" x14ac:dyDescent="0.25">
      <c r="A2752">
        <v>2760</v>
      </c>
      <c r="B2752" t="str">
        <v>Voith Paper</v>
      </c>
      <c r="C2752">
        <v>15.552396999999999</v>
      </c>
      <c r="D2752">
        <v>1401.6622314453125</v>
      </c>
      <c r="E2752">
        <v>465.65164184570313</v>
      </c>
      <c r="F2752">
        <v>0.33221399784088135</v>
      </c>
      <c r="G2752">
        <v>1890.112548828125</v>
      </c>
      <c r="H2752">
        <v>0</v>
      </c>
      <c r="I2752">
        <v>818.52001953125</v>
      </c>
      <c r="J2752">
        <v>1359</v>
      </c>
    </row>
    <row r="2753" spans="1:10" x14ac:dyDescent="0.25">
      <c r="A2753">
        <v>27341</v>
      </c>
      <c r="B2753" t="str">
        <v>Volt.Transform.</v>
      </c>
      <c r="C2753">
        <v>37.672030999999997</v>
      </c>
      <c r="D2753">
        <v>4279.7138671875</v>
      </c>
      <c r="E2753">
        <v>3743.510986328125</v>
      </c>
      <c r="F2753">
        <v>0.87471097707748413</v>
      </c>
      <c r="G2753">
        <v>8679.900390625</v>
      </c>
      <c r="H2753">
        <v>0</v>
      </c>
      <c r="I2753">
        <v>8766.990234375</v>
      </c>
      <c r="J2753">
        <v>1359</v>
      </c>
    </row>
    <row r="2754" spans="1:10" x14ac:dyDescent="0.25">
      <c r="A2754">
        <v>597</v>
      </c>
      <c r="B2754" t="str">
        <v>Voltas</v>
      </c>
      <c r="C2754">
        <v>12.419475</v>
      </c>
      <c r="D2754">
        <v>1037.3831787109375</v>
      </c>
      <c r="E2754">
        <v>325.23104858398438</v>
      </c>
      <c r="F2754">
        <v>0.31351101398468018</v>
      </c>
      <c r="G2754">
        <v>1275.0250244140625</v>
      </c>
      <c r="H2754">
        <v>7.0000000298023224E-2</v>
      </c>
      <c r="I2754">
        <v>41688.171875</v>
      </c>
      <c r="J2754">
        <v>1359</v>
      </c>
    </row>
    <row r="2755" spans="1:10" x14ac:dyDescent="0.25">
      <c r="A2755">
        <v>1799</v>
      </c>
      <c r="B2755" t="str">
        <v>W H Brady</v>
      </c>
      <c r="C2755">
        <v>44.623928999999997</v>
      </c>
      <c r="D2755">
        <v>362.34542846679688</v>
      </c>
      <c r="E2755">
        <v>262.5216064453125</v>
      </c>
      <c r="F2755">
        <v>0.72450602054595947</v>
      </c>
      <c r="G2755">
        <v>910.4124755859375</v>
      </c>
      <c r="H2755">
        <v>5.9999998658895493E-2</v>
      </c>
      <c r="I2755">
        <v>226.82000732421875</v>
      </c>
      <c r="J2755">
        <v>1253</v>
      </c>
    </row>
    <row r="2756" spans="1:10" x14ac:dyDescent="0.25">
      <c r="A2756">
        <v>601</v>
      </c>
      <c r="B2756" t="str">
        <v>W S Inds.</v>
      </c>
      <c r="C2756">
        <v>93.794269</v>
      </c>
      <c r="D2756">
        <v>67.860206604003906</v>
      </c>
      <c r="E2756">
        <v>60.170513153076172</v>
      </c>
      <c r="F2756">
        <v>0.88668298721313477</v>
      </c>
      <c r="G2756">
        <v>82.410003662109375</v>
      </c>
      <c r="H2756">
        <v>0.43000000715255737</v>
      </c>
      <c r="I2756">
        <v>522.280029296875</v>
      </c>
      <c r="J2756">
        <v>957</v>
      </c>
    </row>
    <row r="2757" spans="1:10" x14ac:dyDescent="0.25">
      <c r="A2757">
        <v>12717</v>
      </c>
      <c r="B2757" t="str">
        <v>WEP Solutions</v>
      </c>
      <c r="C2757">
        <v>8.0252409999999994</v>
      </c>
      <c r="D2757">
        <v>25.095235824584961</v>
      </c>
      <c r="E2757">
        <v>8.6113224029541016</v>
      </c>
      <c r="F2757">
        <v>0.34314599633216858</v>
      </c>
      <c r="G2757">
        <v>30.682500839233398</v>
      </c>
      <c r="H2757">
        <v>0.15999999642372131</v>
      </c>
      <c r="I2757">
        <v>112.26000213623047</v>
      </c>
      <c r="J2757">
        <v>1351</v>
      </c>
    </row>
    <row r="2758" spans="1:10" x14ac:dyDescent="0.25">
      <c r="A2758">
        <v>615</v>
      </c>
      <c r="B2758" t="str">
        <v>WPIL</v>
      </c>
      <c r="C2758">
        <v>35.797834999999999</v>
      </c>
      <c r="D2758">
        <v>214.38291931152344</v>
      </c>
      <c r="E2758">
        <v>177.58299255371094</v>
      </c>
      <c r="F2758">
        <v>0.82834500074386597</v>
      </c>
      <c r="G2758">
        <v>425.28750610351563</v>
      </c>
      <c r="H2758">
        <v>0.12999999523162842</v>
      </c>
      <c r="I2758">
        <v>4124.14990234375</v>
      </c>
      <c r="J2758">
        <v>1359</v>
      </c>
    </row>
    <row r="2759" spans="1:10" x14ac:dyDescent="0.25">
      <c r="A2759">
        <v>1384</v>
      </c>
      <c r="B2759" t="str">
        <v>WSFX Global</v>
      </c>
      <c r="C2759">
        <v>23.76136</v>
      </c>
      <c r="D2759">
        <v>44.820278167724609</v>
      </c>
      <c r="E2759">
        <v>32.956203460693359</v>
      </c>
      <c r="F2759">
        <v>0.73529702425003052</v>
      </c>
      <c r="G2759">
        <v>70.712501525878906</v>
      </c>
      <c r="H2759">
        <v>0.31000000238418579</v>
      </c>
      <c r="I2759">
        <v>88.05999755859375</v>
      </c>
      <c r="J2759">
        <v>1343</v>
      </c>
    </row>
    <row r="2760" spans="1:10" x14ac:dyDescent="0.25">
      <c r="A2760">
        <v>42529</v>
      </c>
      <c r="B2760" t="str">
        <v>Waaree Renewab.</v>
      </c>
      <c r="C2760">
        <v>120.108403</v>
      </c>
      <c r="D2760">
        <v>450.20513916015625</v>
      </c>
      <c r="E2760">
        <v>655.83282470703125</v>
      </c>
      <c r="F2760">
        <v>1.4567420482635498</v>
      </c>
      <c r="G2760">
        <v>958.73748779296875</v>
      </c>
      <c r="H2760">
        <v>2.9999999329447746E-2</v>
      </c>
      <c r="I2760">
        <v>9836.7099609375</v>
      </c>
      <c r="J2760">
        <v>1307</v>
      </c>
    </row>
    <row r="2761" spans="1:10" x14ac:dyDescent="0.25">
      <c r="A2761">
        <v>6840</v>
      </c>
      <c r="B2761" t="str">
        <v>Wagend Infra</v>
      </c>
      <c r="C2761">
        <v>-17.801096000000001</v>
      </c>
      <c r="D2761">
        <v>1.2529350519180298</v>
      </c>
      <c r="E2761">
        <v>0.55562102794647217</v>
      </c>
      <c r="F2761">
        <v>0.44345599412918091</v>
      </c>
      <c r="G2761">
        <v>1.2450000047683716</v>
      </c>
      <c r="H2761">
        <v>0</v>
      </c>
      <c r="I2761">
        <v>5.6100001335144043</v>
      </c>
      <c r="J2761">
        <v>1041</v>
      </c>
    </row>
    <row r="2762" spans="1:10" x14ac:dyDescent="0.25">
      <c r="A2762">
        <v>602</v>
      </c>
      <c r="B2762" t="str">
        <v>Walchan. Inds.</v>
      </c>
      <c r="C2762">
        <v>25.387929</v>
      </c>
      <c r="D2762">
        <v>116.51244354248047</v>
      </c>
      <c r="E2762">
        <v>88.258804321289063</v>
      </c>
      <c r="F2762">
        <v>0.75750499963760376</v>
      </c>
      <c r="G2762">
        <v>225.5</v>
      </c>
      <c r="H2762">
        <v>0.86000001430511475</v>
      </c>
      <c r="I2762">
        <v>1498.6099853515625</v>
      </c>
      <c r="J2762">
        <v>1349</v>
      </c>
    </row>
    <row r="2763" spans="1:10" x14ac:dyDescent="0.25">
      <c r="A2763">
        <v>625</v>
      </c>
      <c r="B2763" t="str">
        <v>Walchand People</v>
      </c>
      <c r="C2763">
        <v>16.414787</v>
      </c>
      <c r="D2763">
        <v>127.34645080566406</v>
      </c>
      <c r="E2763">
        <v>55.886730194091797</v>
      </c>
      <c r="F2763">
        <v>0.43885600566864014</v>
      </c>
      <c r="G2763">
        <v>142.83749389648438</v>
      </c>
      <c r="H2763">
        <v>1.9999999552965164E-2</v>
      </c>
      <c r="I2763">
        <v>40.180000305175781</v>
      </c>
      <c r="J2763">
        <v>1319</v>
      </c>
    </row>
    <row r="2764" spans="1:10" x14ac:dyDescent="0.25">
      <c r="A2764">
        <v>7773</v>
      </c>
      <c r="B2764" t="str">
        <v>Wallfort Fin.</v>
      </c>
      <c r="C2764">
        <v>27.879799999999999</v>
      </c>
      <c r="D2764">
        <v>70.889297485351563</v>
      </c>
      <c r="E2764">
        <v>45.731689453125</v>
      </c>
      <c r="F2764">
        <v>0.64511400461196899</v>
      </c>
      <c r="G2764">
        <v>105.34999847412109</v>
      </c>
      <c r="H2764">
        <v>9.9999997764825821E-3</v>
      </c>
      <c r="I2764">
        <v>101.18000030517578</v>
      </c>
      <c r="J2764">
        <v>1307</v>
      </c>
    </row>
    <row r="2765" spans="1:10" x14ac:dyDescent="0.25">
      <c r="A2765">
        <v>16180</v>
      </c>
      <c r="B2765" t="str">
        <v>Wardwizard Foods</v>
      </c>
      <c r="C2765">
        <v>10.637079</v>
      </c>
      <c r="D2765">
        <v>21.642068862915039</v>
      </c>
      <c r="E2765">
        <v>21.063686370849609</v>
      </c>
      <c r="F2765">
        <v>0.97327500581741333</v>
      </c>
      <c r="G2765">
        <v>4.6149997711181641</v>
      </c>
      <c r="H2765">
        <v>0.5</v>
      </c>
      <c r="I2765">
        <v>119.56999969482422</v>
      </c>
      <c r="J2765">
        <v>1302</v>
      </c>
    </row>
    <row r="2766" spans="1:10" x14ac:dyDescent="0.25">
      <c r="A2766">
        <v>26214</v>
      </c>
      <c r="B2766" t="str">
        <v>Wardwizard Inno.</v>
      </c>
      <c r="C2766">
        <v>14.307444</v>
      </c>
      <c r="D2766">
        <v>54.663005828857422</v>
      </c>
      <c r="E2766">
        <v>19.153074264526367</v>
      </c>
      <c r="F2766">
        <v>0.35038501024246216</v>
      </c>
      <c r="G2766">
        <v>15.487500190734863</v>
      </c>
      <c r="H2766">
        <v>0.51999998092651367</v>
      </c>
      <c r="I2766">
        <v>401.20999145507813</v>
      </c>
      <c r="J2766">
        <v>1236</v>
      </c>
    </row>
    <row r="2767" spans="1:10" x14ac:dyDescent="0.25">
      <c r="A2767">
        <v>605</v>
      </c>
      <c r="B2767" t="str">
        <v>Warren Tea</v>
      </c>
      <c r="C2767">
        <v>2.316891</v>
      </c>
      <c r="D2767">
        <v>58.105140686035156</v>
      </c>
      <c r="E2767">
        <v>14.064938545227051</v>
      </c>
      <c r="F2767">
        <v>0.24206000566482544</v>
      </c>
      <c r="G2767">
        <v>54.069999694824219</v>
      </c>
      <c r="H2767">
        <v>1.9999999552965164E-2</v>
      </c>
      <c r="I2767">
        <v>63.189998626708984</v>
      </c>
      <c r="J2767">
        <v>1347</v>
      </c>
    </row>
    <row r="2768" spans="1:10" x14ac:dyDescent="0.25">
      <c r="A2768">
        <v>2815</v>
      </c>
      <c r="B2768" t="str">
        <v>Waterbase</v>
      </c>
      <c r="C2768">
        <v>-17.576675000000002</v>
      </c>
      <c r="D2768">
        <v>89.680351257324219</v>
      </c>
      <c r="E2768">
        <v>21.331436157226563</v>
      </c>
      <c r="F2768">
        <v>0.23786099255084991</v>
      </c>
      <c r="G2768">
        <v>53.892501831054688</v>
      </c>
      <c r="H2768">
        <v>0.18000000715255737</v>
      </c>
      <c r="I2768">
        <v>221.55000305175781</v>
      </c>
      <c r="J2768">
        <v>1359</v>
      </c>
    </row>
    <row r="2769" spans="1:10" x14ac:dyDescent="0.25">
      <c r="A2769">
        <v>4320</v>
      </c>
      <c r="B2769" t="str">
        <v>Websol Energy</v>
      </c>
      <c r="C2769">
        <v>80.135279999999995</v>
      </c>
      <c r="D2769">
        <v>312.60964965820313</v>
      </c>
      <c r="E2769">
        <v>451.54525756835938</v>
      </c>
      <c r="F2769">
        <v>1.4444379806518555</v>
      </c>
      <c r="G2769">
        <v>1220.4749755859375</v>
      </c>
      <c r="H2769">
        <v>0.70999997854232788</v>
      </c>
      <c r="I2769">
        <v>5088.39990234375</v>
      </c>
      <c r="J2769">
        <v>1359</v>
      </c>
    </row>
    <row r="2770" spans="1:10" x14ac:dyDescent="0.25">
      <c r="A2770">
        <v>1358</v>
      </c>
      <c r="B2770" t="str">
        <v>Weizmann</v>
      </c>
      <c r="C2770">
        <v>33.804380000000002</v>
      </c>
      <c r="D2770">
        <v>79.454597473144531</v>
      </c>
      <c r="E2770">
        <v>37.129356384277344</v>
      </c>
      <c r="F2770">
        <v>0.46730300784111023</v>
      </c>
      <c r="G2770">
        <v>117.47499847412109</v>
      </c>
      <c r="H2770">
        <v>0.15999999642372131</v>
      </c>
      <c r="I2770">
        <v>185</v>
      </c>
      <c r="J2770">
        <v>1345</v>
      </c>
    </row>
    <row r="2771" spans="1:10" x14ac:dyDescent="0.25">
      <c r="A2771">
        <v>723</v>
      </c>
      <c r="B2771" t="str">
        <v>Welcast Steels</v>
      </c>
      <c r="C2771">
        <v>18.973869000000001</v>
      </c>
      <c r="D2771">
        <v>813.68902587890625</v>
      </c>
      <c r="E2771">
        <v>445.56048583984375</v>
      </c>
      <c r="F2771">
        <v>0.5475810170173645</v>
      </c>
      <c r="G2771">
        <v>1222.1875</v>
      </c>
      <c r="H2771">
        <v>0</v>
      </c>
      <c r="I2771">
        <v>78.629997253417969</v>
      </c>
      <c r="J2771">
        <v>1212</v>
      </c>
    </row>
    <row r="2772" spans="1:10" x14ac:dyDescent="0.25">
      <c r="A2772">
        <v>4125</v>
      </c>
      <c r="B2772" t="str">
        <v>Welcure Drugs</v>
      </c>
      <c r="C2772">
        <v>67.764628000000002</v>
      </c>
      <c r="D2772">
        <v>5.7980279922485352</v>
      </c>
      <c r="E2772">
        <v>2.8951408863067627</v>
      </c>
      <c r="F2772">
        <v>0.4993320107460022</v>
      </c>
      <c r="G2772">
        <v>14.414999961853027</v>
      </c>
      <c r="H2772">
        <v>0</v>
      </c>
      <c r="I2772">
        <v>162.24000549316406</v>
      </c>
      <c r="J2772">
        <v>1065</v>
      </c>
    </row>
    <row r="2773" spans="1:10" x14ac:dyDescent="0.25">
      <c r="A2773">
        <v>7947</v>
      </c>
      <c r="B2773" t="str">
        <v>Welspun Corp</v>
      </c>
      <c r="C2773">
        <v>34.748437000000003</v>
      </c>
      <c r="D2773">
        <v>326.35647583007813</v>
      </c>
      <c r="E2773">
        <v>241.58761596679688</v>
      </c>
      <c r="F2773">
        <v>0.74025702476501465</v>
      </c>
      <c r="G2773">
        <v>901.54998779296875</v>
      </c>
      <c r="H2773">
        <v>0.56000000238418579</v>
      </c>
      <c r="I2773">
        <v>23326.720703125</v>
      </c>
      <c r="J2773">
        <v>1359</v>
      </c>
    </row>
    <row r="2774" spans="1:10" x14ac:dyDescent="0.25">
      <c r="A2774">
        <v>21325</v>
      </c>
      <c r="B2774" t="str">
        <v>Welspun Enterp</v>
      </c>
      <c r="C2774">
        <v>35.763748999999997</v>
      </c>
      <c r="D2774">
        <v>217.55589294433594</v>
      </c>
      <c r="E2774">
        <v>172.83964538574219</v>
      </c>
      <c r="F2774">
        <v>0.79446101188659668</v>
      </c>
      <c r="G2774">
        <v>502.39999389648438</v>
      </c>
      <c r="H2774">
        <v>0.14000000059604645</v>
      </c>
      <c r="I2774">
        <v>6822.419921875</v>
      </c>
      <c r="J2774">
        <v>1359</v>
      </c>
    </row>
    <row r="2775" spans="1:10" x14ac:dyDescent="0.25">
      <c r="A2775">
        <v>30251</v>
      </c>
      <c r="B2775" t="str">
        <v>Welspun Investme</v>
      </c>
      <c r="C2775">
        <v>35.650154000000001</v>
      </c>
      <c r="D2775">
        <v>475.7939453125</v>
      </c>
      <c r="E2775">
        <v>254.45454406738281</v>
      </c>
      <c r="F2775">
        <v>0.53479999303817749</v>
      </c>
      <c r="G2775">
        <v>1101.2750244140625</v>
      </c>
      <c r="H2775">
        <v>0</v>
      </c>
      <c r="I2775">
        <v>406.89999389648438</v>
      </c>
      <c r="J2775">
        <v>1210</v>
      </c>
    </row>
    <row r="2776" spans="1:10" x14ac:dyDescent="0.25">
      <c r="A2776">
        <v>2227</v>
      </c>
      <c r="B2776" t="str">
        <v>Welspun Living</v>
      </c>
      <c r="C2776">
        <v>18.343335</v>
      </c>
      <c r="D2776">
        <v>104.46330261230469</v>
      </c>
      <c r="E2776">
        <v>42.924583435058594</v>
      </c>
      <c r="F2776">
        <v>0.41090598702430725</v>
      </c>
      <c r="G2776">
        <v>130.92500305175781</v>
      </c>
      <c r="H2776">
        <v>0.51999998092651367</v>
      </c>
      <c r="I2776">
        <v>12672.3798828125</v>
      </c>
      <c r="J2776">
        <v>1359</v>
      </c>
    </row>
    <row r="2777" spans="1:10" x14ac:dyDescent="0.25">
      <c r="A2777">
        <v>606</v>
      </c>
      <c r="B2777" t="str">
        <v>Wendt India</v>
      </c>
      <c r="C2777">
        <v>20.413944999999998</v>
      </c>
      <c r="D2777">
        <v>8052.04638671875</v>
      </c>
      <c r="E2777">
        <v>4509.197265625</v>
      </c>
      <c r="F2777">
        <v>0.56000602245330811</v>
      </c>
      <c r="G2777">
        <v>8322.375</v>
      </c>
      <c r="H2777">
        <v>0</v>
      </c>
      <c r="I2777">
        <v>1664.0400390625</v>
      </c>
      <c r="J2777">
        <v>1337</v>
      </c>
    </row>
    <row r="2778" spans="1:10" x14ac:dyDescent="0.25">
      <c r="A2778">
        <v>607</v>
      </c>
      <c r="B2778" t="str">
        <v>West Coast Paper</v>
      </c>
      <c r="C2778">
        <v>15.581866</v>
      </c>
      <c r="D2778">
        <v>413.10610961914063</v>
      </c>
      <c r="E2778">
        <v>190.70184326171875</v>
      </c>
      <c r="F2778">
        <v>0.46162900328636169</v>
      </c>
      <c r="G2778">
        <v>500.8125</v>
      </c>
      <c r="H2778">
        <v>7.0000000298023224E-2</v>
      </c>
      <c r="I2778">
        <v>3275.419921875</v>
      </c>
      <c r="J2778">
        <v>1359</v>
      </c>
    </row>
    <row r="2779" spans="1:10" x14ac:dyDescent="0.25">
      <c r="A2779">
        <v>1543</v>
      </c>
      <c r="B2779" t="str">
        <v>Westlife Food</v>
      </c>
      <c r="C2779">
        <v>13.113047</v>
      </c>
      <c r="D2779">
        <v>626.42938232421875</v>
      </c>
      <c r="E2779">
        <v>188.17417907714844</v>
      </c>
      <c r="F2779">
        <v>0.30039200186729431</v>
      </c>
      <c r="G2779">
        <v>696.42498779296875</v>
      </c>
      <c r="H2779">
        <v>0</v>
      </c>
      <c r="I2779">
        <v>10844.580078125</v>
      </c>
      <c r="J2779">
        <v>1359</v>
      </c>
    </row>
    <row r="2780" spans="1:10" x14ac:dyDescent="0.25">
      <c r="A2780">
        <v>609</v>
      </c>
      <c r="B2780" t="str">
        <v>Wheels India</v>
      </c>
      <c r="C2780">
        <v>3.9771899999999998</v>
      </c>
      <c r="D2780">
        <v>619.32012939453125</v>
      </c>
      <c r="E2780">
        <v>128.29031372070313</v>
      </c>
      <c r="F2780">
        <v>0.20714700222015381</v>
      </c>
      <c r="G2780">
        <v>749.8499755859375</v>
      </c>
      <c r="H2780">
        <v>0.98000001907348633</v>
      </c>
      <c r="I2780">
        <v>1819.0400390625</v>
      </c>
      <c r="J2780">
        <v>1357</v>
      </c>
    </row>
    <row r="2781" spans="1:10" x14ac:dyDescent="0.25">
      <c r="A2781">
        <v>328</v>
      </c>
      <c r="B2781" t="str">
        <v>Whirlpool India</v>
      </c>
      <c r="C2781">
        <v>-10.266596</v>
      </c>
      <c r="D2781">
        <v>1789.995361328125</v>
      </c>
      <c r="E2781">
        <v>391.005615234375</v>
      </c>
      <c r="F2781">
        <v>0.21843899786472321</v>
      </c>
      <c r="G2781">
        <v>1336.199951171875</v>
      </c>
      <c r="H2781">
        <v>5.000000074505806E-2</v>
      </c>
      <c r="I2781">
        <v>16931.6796875</v>
      </c>
      <c r="J2781">
        <v>1359</v>
      </c>
    </row>
    <row r="2782" spans="1:10" x14ac:dyDescent="0.25">
      <c r="A2782">
        <v>4517</v>
      </c>
      <c r="B2782" t="str">
        <v>White Organic</v>
      </c>
      <c r="C2782">
        <v>-8.5252560000000006</v>
      </c>
      <c r="D2782">
        <v>8.5413837432861328</v>
      </c>
      <c r="E2782">
        <v>3.2904729843139648</v>
      </c>
      <c r="F2782">
        <v>0.38523900508880615</v>
      </c>
      <c r="G2782">
        <v>5.0799999237060547</v>
      </c>
      <c r="H2782">
        <v>0.11999999731779099</v>
      </c>
      <c r="I2782">
        <v>17.610000610351563</v>
      </c>
      <c r="J2782">
        <v>1359</v>
      </c>
    </row>
    <row r="2783" spans="1:10" x14ac:dyDescent="0.25">
      <c r="A2783">
        <v>74084</v>
      </c>
      <c r="B2783" t="str">
        <v>White Organic Re</v>
      </c>
      <c r="C2783">
        <v>-16.320710999999999</v>
      </c>
      <c r="D2783">
        <v>60.425529479980469</v>
      </c>
      <c r="E2783">
        <v>70.936370849609375</v>
      </c>
      <c r="F2783">
        <v>1.1739469766616821</v>
      </c>
      <c r="G2783">
        <v>5.8375000953674316</v>
      </c>
      <c r="H2783">
        <v>0</v>
      </c>
      <c r="I2783">
        <v>18.690000534057617</v>
      </c>
      <c r="J2783">
        <v>1069</v>
      </c>
    </row>
    <row r="2784" spans="1:10" x14ac:dyDescent="0.25">
      <c r="A2784">
        <v>746</v>
      </c>
      <c r="B2784" t="str">
        <v>Williamson Fin.</v>
      </c>
      <c r="C2784">
        <v>6.6679149999999998</v>
      </c>
      <c r="D2784">
        <v>6.1982059478759766</v>
      </c>
      <c r="E2784">
        <v>2.9195499420166016</v>
      </c>
      <c r="F2784">
        <v>0.47103101015090942</v>
      </c>
      <c r="G2784">
        <v>9.3199996948242188</v>
      </c>
      <c r="H2784">
        <v>0</v>
      </c>
      <c r="I2784">
        <v>7.7899999618530273</v>
      </c>
      <c r="J2784">
        <v>616</v>
      </c>
    </row>
    <row r="2785" spans="1:10" x14ac:dyDescent="0.25">
      <c r="A2785">
        <v>745</v>
      </c>
      <c r="B2785" t="str">
        <v>Williamson Magor</v>
      </c>
      <c r="C2785">
        <v>19.571546999999999</v>
      </c>
      <c r="D2785">
        <v>25.694015502929688</v>
      </c>
      <c r="E2785">
        <v>7.4506220817565918</v>
      </c>
      <c r="F2785">
        <v>0.28997498750686646</v>
      </c>
      <c r="G2785">
        <v>35.152500152587891</v>
      </c>
      <c r="H2785">
        <v>0</v>
      </c>
      <c r="I2785">
        <v>39.409999847412109</v>
      </c>
      <c r="J2785">
        <v>1240</v>
      </c>
    </row>
    <row r="2786" spans="1:10" x14ac:dyDescent="0.25">
      <c r="A2786">
        <v>4118</v>
      </c>
      <c r="B2786" t="str">
        <v>Wim Plast</v>
      </c>
      <c r="C2786">
        <v>6.4559600000000001</v>
      </c>
      <c r="D2786">
        <v>482.0843505859375</v>
      </c>
      <c r="E2786">
        <v>108.25431060791016</v>
      </c>
      <c r="F2786">
        <v>0.22455500066280365</v>
      </c>
      <c r="G2786">
        <v>503.01251220703125</v>
      </c>
      <c r="H2786">
        <v>0</v>
      </c>
      <c r="I2786">
        <v>598.6099853515625</v>
      </c>
      <c r="J2786">
        <v>1359</v>
      </c>
    </row>
    <row r="2787" spans="1:10" x14ac:dyDescent="0.25">
      <c r="A2787">
        <v>809</v>
      </c>
      <c r="B2787" t="str">
        <v>Windsor Machines</v>
      </c>
      <c r="C2787">
        <v>58.190168999999997</v>
      </c>
      <c r="D2787">
        <v>83.797233581542969</v>
      </c>
      <c r="E2787">
        <v>97.91229248046875</v>
      </c>
      <c r="F2787">
        <v>1.168442964553833</v>
      </c>
      <c r="G2787">
        <v>358.04998779296875</v>
      </c>
      <c r="H2787">
        <v>0.11999999731779099</v>
      </c>
      <c r="I2787">
        <v>2975.330078125</v>
      </c>
      <c r="J2787">
        <v>1348</v>
      </c>
    </row>
    <row r="2788" spans="1:10" x14ac:dyDescent="0.25">
      <c r="A2788">
        <v>13094</v>
      </c>
      <c r="B2788" t="str">
        <v>Winpro Industrie</v>
      </c>
      <c r="C2788">
        <v>-51.025523999999997</v>
      </c>
      <c r="D2788">
        <v>14.587539672851563</v>
      </c>
      <c r="E2788">
        <v>22.739536285400391</v>
      </c>
      <c r="F2788">
        <v>1.5588330030441284</v>
      </c>
      <c r="G2788">
        <v>2.869999885559082</v>
      </c>
      <c r="H2788">
        <v>9.9999997764825821E-3</v>
      </c>
      <c r="I2788">
        <v>28.989999771118164</v>
      </c>
      <c r="J2788">
        <v>1359</v>
      </c>
    </row>
    <row r="2789" spans="1:10" x14ac:dyDescent="0.25">
      <c r="A2789">
        <v>3747</v>
      </c>
      <c r="B2789" t="str">
        <v>Winsome Brew.</v>
      </c>
      <c r="C2789">
        <v>42.368493000000001</v>
      </c>
      <c r="D2789">
        <v>17.005250930786133</v>
      </c>
      <c r="E2789">
        <v>14.74460506439209</v>
      </c>
      <c r="F2789">
        <v>0.86706197261810303</v>
      </c>
      <c r="G2789">
        <v>34.409999847412109</v>
      </c>
      <c r="H2789">
        <v>0.27000001072883606</v>
      </c>
      <c r="I2789">
        <v>94.470001220703125</v>
      </c>
      <c r="J2789">
        <v>1340</v>
      </c>
    </row>
    <row r="2790" spans="1:10" x14ac:dyDescent="0.25">
      <c r="A2790">
        <v>614</v>
      </c>
      <c r="B2790" t="str">
        <v>Wipro</v>
      </c>
      <c r="C2790">
        <v>14.098549</v>
      </c>
      <c r="D2790">
        <v>225.07102966308594</v>
      </c>
      <c r="E2790">
        <v>61.361583709716797</v>
      </c>
      <c r="F2790">
        <v>0.27263200283050537</v>
      </c>
      <c r="G2790">
        <v>263.91250610351563</v>
      </c>
      <c r="H2790">
        <v>0.10000000149011612</v>
      </c>
      <c r="I2790">
        <v>278289.125</v>
      </c>
      <c r="J2790">
        <v>1359</v>
      </c>
    </row>
    <row r="2791" spans="1:10" x14ac:dyDescent="0.25">
      <c r="A2791">
        <v>43583</v>
      </c>
      <c r="B2791" t="str">
        <v>Wonderla Holiday</v>
      </c>
      <c r="C2791">
        <v>17.743403000000001</v>
      </c>
      <c r="D2791">
        <v>450.97415161132813</v>
      </c>
      <c r="E2791">
        <v>284.93777465820313</v>
      </c>
      <c r="F2791">
        <v>0.63182699680328369</v>
      </c>
      <c r="G2791">
        <v>645.82501220703125</v>
      </c>
      <c r="H2791">
        <v>9.9999997764825821E-3</v>
      </c>
      <c r="I2791">
        <v>4082.570068359375</v>
      </c>
      <c r="J2791">
        <v>1359</v>
      </c>
    </row>
    <row r="2792" spans="1:10" x14ac:dyDescent="0.25">
      <c r="A2792">
        <v>3903</v>
      </c>
      <c r="B2792" t="str">
        <v>Worldwide Alumi.</v>
      </c>
      <c r="C2792">
        <v>0.67208000000000001</v>
      </c>
      <c r="D2792">
        <v>16.162178039550781</v>
      </c>
      <c r="E2792">
        <v>5.0628800392150879</v>
      </c>
      <c r="F2792">
        <v>0.31325501203536987</v>
      </c>
      <c r="G2792">
        <v>19.235000610351563</v>
      </c>
      <c r="H2792">
        <v>0</v>
      </c>
      <c r="I2792">
        <v>6.4699997901916504</v>
      </c>
      <c r="J2792">
        <v>1113</v>
      </c>
    </row>
    <row r="2793" spans="1:10" x14ac:dyDescent="0.25">
      <c r="A2793">
        <v>618</v>
      </c>
      <c r="B2793" t="str">
        <v>XPRO India</v>
      </c>
      <c r="C2793">
        <v>90.414467000000002</v>
      </c>
      <c r="D2793">
        <v>659.71051025390625</v>
      </c>
      <c r="E2793">
        <v>446.61300659179688</v>
      </c>
      <c r="F2793">
        <v>0.67698299884796143</v>
      </c>
      <c r="G2793">
        <v>1222.75</v>
      </c>
      <c r="H2793">
        <v>0.10000000149011612</v>
      </c>
      <c r="I2793">
        <v>2717.530029296875</v>
      </c>
      <c r="J2793">
        <v>1322</v>
      </c>
    </row>
    <row r="2794" spans="1:10" x14ac:dyDescent="0.25">
      <c r="A2794">
        <v>12674</v>
      </c>
      <c r="B2794" t="str">
        <v>XT Global Infot.</v>
      </c>
      <c r="C2794">
        <v>18.427408</v>
      </c>
      <c r="D2794">
        <v>35.329708099365234</v>
      </c>
      <c r="E2794">
        <v>11.497706413269043</v>
      </c>
      <c r="F2794">
        <v>0.32543998956680298</v>
      </c>
      <c r="G2794">
        <v>33.977500915527344</v>
      </c>
      <c r="H2794">
        <v>0.10999999940395355</v>
      </c>
      <c r="I2794">
        <v>456.92001342773438</v>
      </c>
      <c r="J2794">
        <v>1346</v>
      </c>
    </row>
    <row r="2795" spans="1:10" x14ac:dyDescent="0.25">
      <c r="A2795">
        <v>25242</v>
      </c>
      <c r="B2795" t="str">
        <v>Xchanging Sol.</v>
      </c>
      <c r="C2795">
        <v>9.8261009999999995</v>
      </c>
      <c r="D2795">
        <v>87.364639282226563</v>
      </c>
      <c r="E2795">
        <v>25.390918731689453</v>
      </c>
      <c r="F2795">
        <v>0.29063200950622559</v>
      </c>
      <c r="G2795">
        <v>95.650001525878906</v>
      </c>
      <c r="H2795">
        <v>0</v>
      </c>
      <c r="I2795">
        <v>1041.0699462890625</v>
      </c>
      <c r="J2795">
        <v>1359</v>
      </c>
    </row>
    <row r="2796" spans="1:10" x14ac:dyDescent="0.25">
      <c r="A2796">
        <v>73218</v>
      </c>
      <c r="B2796" t="str">
        <v>Xelpmoc Design</v>
      </c>
      <c r="C2796">
        <v>8.7085670000000004</v>
      </c>
      <c r="D2796">
        <v>182.64115905761719</v>
      </c>
      <c r="E2796">
        <v>106.39251708984375</v>
      </c>
      <c r="F2796">
        <v>0.58252197504043579</v>
      </c>
      <c r="G2796">
        <v>94.527496337890625</v>
      </c>
      <c r="H2796">
        <v>5.000000074505806E-2</v>
      </c>
      <c r="I2796">
        <v>138.80000305175781</v>
      </c>
      <c r="J2796">
        <v>1321</v>
      </c>
    </row>
    <row r="2797" spans="1:10" x14ac:dyDescent="0.25">
      <c r="A2797">
        <v>6877</v>
      </c>
      <c r="B2797" t="str">
        <v>Yaan Enterprises</v>
      </c>
      <c r="C2797">
        <v>23.855132000000001</v>
      </c>
      <c r="D2797">
        <v>33.684318542480469</v>
      </c>
      <c r="E2797">
        <v>23.077255249023438</v>
      </c>
      <c r="F2797">
        <v>0.68510401248931885</v>
      </c>
      <c r="G2797">
        <v>64.527496337890625</v>
      </c>
      <c r="H2797">
        <v>0.11999999731779099</v>
      </c>
      <c r="I2797">
        <v>20.260000228881836</v>
      </c>
      <c r="J2797">
        <v>1301</v>
      </c>
    </row>
    <row r="2798" spans="1:10" x14ac:dyDescent="0.25">
      <c r="A2798">
        <v>38564</v>
      </c>
      <c r="B2798" t="str">
        <v>Yaari Digital</v>
      </c>
      <c r="C2798">
        <v>-26.76229</v>
      </c>
      <c r="D2798">
        <v>41.476055145263672</v>
      </c>
      <c r="E2798">
        <v>33.922737121582031</v>
      </c>
      <c r="F2798">
        <v>0.81788700819015503</v>
      </c>
      <c r="G2798">
        <v>17.5625</v>
      </c>
      <c r="H2798">
        <v>0</v>
      </c>
      <c r="I2798">
        <v>171.35000610351563</v>
      </c>
      <c r="J2798">
        <v>1341</v>
      </c>
    </row>
    <row r="2799" spans="1:10" x14ac:dyDescent="0.25">
      <c r="A2799">
        <v>1477</v>
      </c>
      <c r="B2799" t="str">
        <v>Yamini Invest</v>
      </c>
      <c r="C2799">
        <v>40.018312999999999</v>
      </c>
      <c r="D2799">
        <v>0.84551399946212769</v>
      </c>
      <c r="E2799">
        <v>0.48790299892425537</v>
      </c>
      <c r="F2799">
        <v>0.57704901695251465</v>
      </c>
      <c r="G2799">
        <v>1.3700000047683716</v>
      </c>
      <c r="H2799">
        <v>0</v>
      </c>
      <c r="I2799">
        <v>125.12000274658203</v>
      </c>
      <c r="J2799">
        <v>1329</v>
      </c>
    </row>
    <row r="2800" spans="1:10" x14ac:dyDescent="0.25">
      <c r="A2800">
        <v>14478</v>
      </c>
      <c r="B2800" t="str">
        <v>Yamuna Syndicate</v>
      </c>
      <c r="C2800">
        <v>25.919772999999999</v>
      </c>
      <c r="D2800">
        <v>21255.541015625</v>
      </c>
      <c r="E2800">
        <v>13505.82421875</v>
      </c>
      <c r="F2800">
        <v>0.63540202379226685</v>
      </c>
      <c r="G2800">
        <v>35530.5</v>
      </c>
      <c r="H2800">
        <v>0</v>
      </c>
      <c r="I2800">
        <v>1092.0699462890625</v>
      </c>
      <c r="J2800">
        <v>1135</v>
      </c>
    </row>
    <row r="2801" spans="1:10" x14ac:dyDescent="0.25">
      <c r="A2801">
        <v>3764</v>
      </c>
      <c r="B2801" t="str">
        <v>Yarn Syndicate</v>
      </c>
      <c r="C2801">
        <v>33.427625999999997</v>
      </c>
      <c r="D2801">
        <v>25.220294952392578</v>
      </c>
      <c r="E2801">
        <v>13.869322776794434</v>
      </c>
      <c r="F2801">
        <v>0.5499269962310791</v>
      </c>
      <c r="G2801">
        <v>16.767499923706055</v>
      </c>
      <c r="H2801">
        <v>0.12999999523162842</v>
      </c>
      <c r="I2801">
        <v>9.8400001525878906</v>
      </c>
      <c r="J2801">
        <v>875</v>
      </c>
    </row>
    <row r="2802" spans="1:10" x14ac:dyDescent="0.25">
      <c r="A2802">
        <v>68295</v>
      </c>
      <c r="B2802" t="str">
        <v>Yash Chemex</v>
      </c>
      <c r="C2802">
        <v>-9.2779550000000004</v>
      </c>
      <c r="D2802">
        <v>58.652351379394531</v>
      </c>
      <c r="E2802">
        <v>13.184652328491211</v>
      </c>
      <c r="F2802">
        <v>0.22479300200939178</v>
      </c>
      <c r="G2802">
        <v>51.322498321533203</v>
      </c>
      <c r="H2802">
        <v>0.25999999046325684</v>
      </c>
      <c r="I2802">
        <v>50.689998626708984</v>
      </c>
      <c r="J2802">
        <v>1359</v>
      </c>
    </row>
    <row r="2803" spans="1:10" x14ac:dyDescent="0.25">
      <c r="A2803">
        <v>2655</v>
      </c>
      <c r="B2803" t="str">
        <v>Yash Innoventure</v>
      </c>
      <c r="C2803">
        <v>28.794733999999998</v>
      </c>
      <c r="D2803">
        <v>29.826925277709961</v>
      </c>
      <c r="E2803">
        <v>13.181130409240723</v>
      </c>
      <c r="F2803">
        <v>0.44192099571228027</v>
      </c>
      <c r="G2803">
        <v>38.712501525878906</v>
      </c>
      <c r="H2803">
        <v>0.33000001311302185</v>
      </c>
      <c r="I2803">
        <v>26.040000915527344</v>
      </c>
      <c r="J2803">
        <v>1088</v>
      </c>
    </row>
    <row r="2804" spans="1:10" x14ac:dyDescent="0.25">
      <c r="A2804">
        <v>4314</v>
      </c>
      <c r="B2804" t="str">
        <v>Yash Mgmt &amp; Sat.</v>
      </c>
      <c r="C2804">
        <v>10.591021</v>
      </c>
      <c r="D2804">
        <v>12.027931213378906</v>
      </c>
      <c r="E2804">
        <v>2.8915939331054688</v>
      </c>
      <c r="F2804">
        <v>0.24040700495243073</v>
      </c>
      <c r="G2804">
        <v>10.630000114440918</v>
      </c>
      <c r="H2804">
        <v>9.0000003576278687E-2</v>
      </c>
      <c r="I2804">
        <v>18.020000457763672</v>
      </c>
      <c r="J2804">
        <v>1297</v>
      </c>
    </row>
    <row r="2805" spans="1:10" x14ac:dyDescent="0.25">
      <c r="A2805">
        <v>4824</v>
      </c>
      <c r="B2805" t="str">
        <v>Yashraj Contain.</v>
      </c>
      <c r="C2805">
        <v>13.778878000000001</v>
      </c>
      <c r="D2805">
        <v>7.968076229095459</v>
      </c>
      <c r="E2805">
        <v>3.7956509590148926</v>
      </c>
      <c r="F2805">
        <v>0.47635701298713684</v>
      </c>
      <c r="G2805">
        <v>7.0900001525878906</v>
      </c>
      <c r="H2805">
        <v>0</v>
      </c>
      <c r="I2805">
        <v>12.329999923706055</v>
      </c>
      <c r="J2805">
        <v>1158</v>
      </c>
    </row>
    <row r="2806" spans="1:10" x14ac:dyDescent="0.25">
      <c r="A2806">
        <v>25267</v>
      </c>
      <c r="B2806" t="str">
        <v>Yes Bank</v>
      </c>
      <c r="C2806">
        <v>-15.585936</v>
      </c>
      <c r="D2806">
        <v>18.793979644775391</v>
      </c>
      <c r="E2806">
        <v>6.3401951789855957</v>
      </c>
      <c r="F2806">
        <v>0.33735200762748718</v>
      </c>
      <c r="G2806">
        <v>19.647499084472656</v>
      </c>
      <c r="H2806">
        <v>0</v>
      </c>
      <c r="I2806">
        <v>60969.0390625</v>
      </c>
      <c r="J2806">
        <v>1359</v>
      </c>
    </row>
    <row r="2807" spans="1:10" x14ac:dyDescent="0.25">
      <c r="A2807">
        <v>3507</v>
      </c>
      <c r="B2807" t="str">
        <v>Yogi Infra Proj.</v>
      </c>
      <c r="C2807">
        <v>43.363920999999998</v>
      </c>
      <c r="D2807">
        <v>5.3912339210510254</v>
      </c>
      <c r="E2807">
        <v>3.1744229793548584</v>
      </c>
      <c r="F2807">
        <v>0.58881199359893799</v>
      </c>
      <c r="G2807">
        <v>16.075000762939453</v>
      </c>
      <c r="H2807">
        <v>0</v>
      </c>
      <c r="I2807">
        <v>26.739999771118164</v>
      </c>
      <c r="J2807">
        <v>1266</v>
      </c>
    </row>
    <row r="2808" spans="1:10" x14ac:dyDescent="0.25">
      <c r="A2808">
        <v>4624</v>
      </c>
      <c r="B2808" t="str">
        <v>Yogi Ltd</v>
      </c>
      <c r="C2808">
        <v>63.412135999999997</v>
      </c>
      <c r="D2808">
        <v>38.568260192871094</v>
      </c>
      <c r="E2808">
        <v>34.519256591796875</v>
      </c>
      <c r="F2808">
        <v>0.89501702785491943</v>
      </c>
      <c r="G2808">
        <v>162.91250610351563</v>
      </c>
      <c r="H2808">
        <v>0.4699999988079071</v>
      </c>
      <c r="I2808">
        <v>694.8800048828125</v>
      </c>
      <c r="J2808">
        <v>940</v>
      </c>
    </row>
    <row r="2809" spans="1:10" x14ac:dyDescent="0.25">
      <c r="A2809">
        <v>70597</v>
      </c>
      <c r="B2809" t="str">
        <v>Yug Decor</v>
      </c>
      <c r="C2809">
        <v>22.083328999999999</v>
      </c>
      <c r="D2809">
        <v>37.121223449707031</v>
      </c>
      <c r="E2809">
        <v>16.021915435791016</v>
      </c>
      <c r="F2809">
        <v>0.43161100149154663</v>
      </c>
      <c r="G2809">
        <v>34.049999237060547</v>
      </c>
      <c r="H2809">
        <v>0.31000000238418579</v>
      </c>
      <c r="I2809">
        <v>36.740001678466797</v>
      </c>
      <c r="J2809">
        <v>514</v>
      </c>
    </row>
    <row r="2810" spans="1:10" x14ac:dyDescent="0.25">
      <c r="A2810">
        <v>2108</v>
      </c>
      <c r="B2810" t="str">
        <v>Yuken India</v>
      </c>
      <c r="C2810">
        <v>16.067906000000001</v>
      </c>
      <c r="D2810">
        <v>659.771240234375</v>
      </c>
      <c r="E2810">
        <v>260.0540771484375</v>
      </c>
      <c r="F2810">
        <v>0.3941580057144165</v>
      </c>
      <c r="G2810">
        <v>1160.9375</v>
      </c>
      <c r="H2810">
        <v>0.33000001311302185</v>
      </c>
      <c r="I2810">
        <v>1488.6300048828125</v>
      </c>
      <c r="J2810">
        <v>1358</v>
      </c>
    </row>
    <row r="2811" spans="1:10" x14ac:dyDescent="0.25">
      <c r="A2811">
        <v>30178</v>
      </c>
      <c r="B2811" t="str">
        <v>Yunik Managing</v>
      </c>
      <c r="C2811">
        <v>38.740971000000002</v>
      </c>
      <c r="D2811">
        <v>7.2224059104919434</v>
      </c>
      <c r="E2811">
        <v>4.320775032043457</v>
      </c>
      <c r="F2811">
        <v>0.59824597835540771</v>
      </c>
      <c r="G2811">
        <v>10.965000152587891</v>
      </c>
      <c r="H2811">
        <v>0</v>
      </c>
      <c r="I2811">
        <v>16.030000686645508</v>
      </c>
      <c r="J2811">
        <v>1200</v>
      </c>
    </row>
    <row r="2812" spans="1:10" x14ac:dyDescent="0.25">
      <c r="A2812">
        <v>7278</v>
      </c>
      <c r="B2812" t="str">
        <v>Yuranus Infrast.</v>
      </c>
      <c r="C2812">
        <v>39.845202</v>
      </c>
      <c r="D2812">
        <v>38.704879760742188</v>
      </c>
      <c r="E2812">
        <v>37.333770751953125</v>
      </c>
      <c r="F2812">
        <v>0.96457499265670776</v>
      </c>
      <c r="G2812">
        <v>77.635002136230469</v>
      </c>
      <c r="H2812">
        <v>0</v>
      </c>
      <c r="I2812">
        <v>26.930000305175781</v>
      </c>
      <c r="J2812">
        <v>874</v>
      </c>
    </row>
    <row r="2813" spans="1:10" x14ac:dyDescent="0.25">
      <c r="A2813">
        <v>6968</v>
      </c>
      <c r="B2813" t="str">
        <v>Yuvraaj Hygiene</v>
      </c>
      <c r="C2813">
        <v>60.906215000000003</v>
      </c>
      <c r="D2813">
        <v>3.6392650604248047</v>
      </c>
      <c r="E2813">
        <v>4.2138462066650391</v>
      </c>
      <c r="F2813">
        <v>1.1578840017318726</v>
      </c>
      <c r="G2813">
        <v>10.795000076293945</v>
      </c>
      <c r="H2813">
        <v>0</v>
      </c>
      <c r="I2813">
        <v>97.910003662109375</v>
      </c>
      <c r="J2813">
        <v>439</v>
      </c>
    </row>
    <row r="2814" spans="1:10" x14ac:dyDescent="0.25">
      <c r="A2814">
        <v>619</v>
      </c>
      <c r="B2814" t="str">
        <v>Z F Steering</v>
      </c>
      <c r="C2814">
        <v>20.341246000000002</v>
      </c>
      <c r="D2814">
        <v>671.28436279296875</v>
      </c>
      <c r="E2814">
        <v>373.1072998046875</v>
      </c>
      <c r="F2814">
        <v>0.55581098794937134</v>
      </c>
      <c r="G2814">
        <v>1150.737548828125</v>
      </c>
      <c r="H2814">
        <v>7.9999998211860657E-2</v>
      </c>
      <c r="I2814">
        <v>1041.72998046875</v>
      </c>
      <c r="J2814">
        <v>1359</v>
      </c>
    </row>
    <row r="2815" spans="1:10" x14ac:dyDescent="0.25">
      <c r="A2815">
        <v>28069</v>
      </c>
      <c r="B2815" t="str">
        <v>ZF Commercial</v>
      </c>
      <c r="C2815">
        <v>13.200559999999999</v>
      </c>
      <c r="D2815">
        <v>10045.45703125</v>
      </c>
      <c r="E2815">
        <v>3557.900390625</v>
      </c>
      <c r="F2815">
        <v>0.35418000817298889</v>
      </c>
      <c r="G2815">
        <v>13222.2490234375</v>
      </c>
      <c r="H2815">
        <v>0</v>
      </c>
      <c r="I2815">
        <v>25019.05078125</v>
      </c>
      <c r="J2815">
        <v>1359</v>
      </c>
    </row>
    <row r="2816" spans="1:10" x14ac:dyDescent="0.25">
      <c r="A2816">
        <v>3126</v>
      </c>
      <c r="B2816" t="str">
        <v>Zee Entertainmen</v>
      </c>
      <c r="C2816">
        <v>-14.394253000000001</v>
      </c>
      <c r="D2816">
        <v>206.03550720214844</v>
      </c>
      <c r="E2816">
        <v>59.138156890869141</v>
      </c>
      <c r="F2816">
        <v>0.28702899813652039</v>
      </c>
      <c r="G2816">
        <v>130.57499694824219</v>
      </c>
      <c r="H2816">
        <v>2.9999999329447746E-2</v>
      </c>
      <c r="I2816">
        <v>12256.23046875</v>
      </c>
      <c r="J2816">
        <v>1359</v>
      </c>
    </row>
    <row r="2817" spans="1:10" x14ac:dyDescent="0.25">
      <c r="A2817">
        <v>27705</v>
      </c>
      <c r="B2817" t="str">
        <v>Zee Media</v>
      </c>
      <c r="C2817">
        <v>14.948316999999999</v>
      </c>
      <c r="D2817">
        <v>11.940074920654297</v>
      </c>
      <c r="E2817">
        <v>4.571073055267334</v>
      </c>
      <c r="F2817">
        <v>0.38283500075340271</v>
      </c>
      <c r="G2817">
        <v>13.487500190734863</v>
      </c>
      <c r="H2817">
        <v>0.41999998688697815</v>
      </c>
      <c r="I2817">
        <v>833.07000732421875</v>
      </c>
      <c r="J2817">
        <v>1359</v>
      </c>
    </row>
    <row r="2818" spans="1:10" x14ac:dyDescent="0.25">
      <c r="A2818">
        <v>21203</v>
      </c>
      <c r="B2818" t="str">
        <v>Zen Technologies</v>
      </c>
      <c r="C2818">
        <v>69.910504000000003</v>
      </c>
      <c r="D2818">
        <v>552.53497314453125</v>
      </c>
      <c r="E2818">
        <v>624.71539306640625</v>
      </c>
      <c r="F2818">
        <v>1.1306350231170654</v>
      </c>
      <c r="G2818">
        <v>1906.837646484375</v>
      </c>
      <c r="H2818">
        <v>9.9999997764825821E-3</v>
      </c>
      <c r="I2818">
        <v>17097.830078125</v>
      </c>
      <c r="J2818">
        <v>1359</v>
      </c>
    </row>
    <row r="2819" spans="1:10" x14ac:dyDescent="0.25">
      <c r="A2819">
        <v>3469</v>
      </c>
      <c r="B2819" t="str">
        <v>Zenith Exports</v>
      </c>
      <c r="C2819">
        <v>31.639918000000002</v>
      </c>
      <c r="D2819">
        <v>129.65286254882813</v>
      </c>
      <c r="E2819">
        <v>83.247367858886719</v>
      </c>
      <c r="F2819">
        <v>0.64207899570465088</v>
      </c>
      <c r="G2819">
        <v>255.35000610351563</v>
      </c>
      <c r="H2819">
        <v>9.0000003576278687E-2</v>
      </c>
      <c r="I2819">
        <v>137.77999877929688</v>
      </c>
      <c r="J2819">
        <v>1111</v>
      </c>
    </row>
    <row r="2820" spans="1:10" x14ac:dyDescent="0.25">
      <c r="A2820">
        <v>3002</v>
      </c>
      <c r="B2820" t="str">
        <v>Zenith Fibres</v>
      </c>
      <c r="C2820">
        <v>7.4007519999999998</v>
      </c>
      <c r="D2820">
        <v>61.32318115234375</v>
      </c>
      <c r="E2820">
        <v>16.777332305908203</v>
      </c>
      <c r="F2820">
        <v>0.27358898520469666</v>
      </c>
      <c r="G2820">
        <v>70.387496948242188</v>
      </c>
      <c r="H2820">
        <v>0</v>
      </c>
      <c r="I2820">
        <v>27.989999771118164</v>
      </c>
      <c r="J2820">
        <v>1348</v>
      </c>
    </row>
    <row r="2821" spans="1:10" x14ac:dyDescent="0.25">
      <c r="A2821">
        <v>5117</v>
      </c>
      <c r="B2821" t="str">
        <v>Zenith Health</v>
      </c>
      <c r="C2821">
        <v>21.879894</v>
      </c>
      <c r="D2821">
        <v>5.3297510147094727</v>
      </c>
      <c r="E2821">
        <v>2.3506059646606445</v>
      </c>
      <c r="F2821">
        <v>0.44103500247001648</v>
      </c>
      <c r="G2821">
        <v>4.25</v>
      </c>
      <c r="H2821">
        <v>0</v>
      </c>
      <c r="I2821">
        <v>22.139999389648438</v>
      </c>
      <c r="J2821">
        <v>1359</v>
      </c>
    </row>
    <row r="2822" spans="1:10" x14ac:dyDescent="0.25">
      <c r="A2822">
        <v>620</v>
      </c>
      <c r="B2822" t="str">
        <v>Zenith Steel</v>
      </c>
      <c r="C2822">
        <v>56.379576999999998</v>
      </c>
      <c r="D2822">
        <v>5.2733340263366699</v>
      </c>
      <c r="E2822">
        <v>3.1982440948486328</v>
      </c>
      <c r="F2822">
        <v>0.60649400949478149</v>
      </c>
      <c r="G2822">
        <v>9.182499885559082</v>
      </c>
      <c r="H2822">
        <v>0</v>
      </c>
      <c r="I2822">
        <v>130.89999389648438</v>
      </c>
      <c r="J2822">
        <v>1071</v>
      </c>
    </row>
    <row r="2823" spans="1:10" x14ac:dyDescent="0.25">
      <c r="A2823">
        <v>7341</v>
      </c>
      <c r="B2823" t="str">
        <v>Zenotech Lab.</v>
      </c>
      <c r="C2823">
        <v>15.477327000000001</v>
      </c>
      <c r="D2823">
        <v>52.128921508789063</v>
      </c>
      <c r="E2823">
        <v>16.507297515869141</v>
      </c>
      <c r="F2823">
        <v>0.31666299700737</v>
      </c>
      <c r="G2823">
        <v>60.020000457763672</v>
      </c>
      <c r="H2823">
        <v>0</v>
      </c>
      <c r="I2823">
        <v>370.45999145507813</v>
      </c>
      <c r="J2823">
        <v>1359</v>
      </c>
    </row>
    <row r="2824" spans="1:10" x14ac:dyDescent="0.25">
      <c r="A2824">
        <v>262</v>
      </c>
      <c r="B2824" t="str">
        <v>Zensar Tech.</v>
      </c>
      <c r="C2824">
        <v>30.325596999999998</v>
      </c>
      <c r="D2824">
        <v>411.03921508789063</v>
      </c>
      <c r="E2824">
        <v>216.22746276855469</v>
      </c>
      <c r="F2824">
        <v>0.52605098485946655</v>
      </c>
      <c r="G2824">
        <v>863.45001220703125</v>
      </c>
      <c r="H2824">
        <v>5.9999998658895493E-2</v>
      </c>
      <c r="I2824">
        <v>19231.5</v>
      </c>
      <c r="J2824">
        <v>1359</v>
      </c>
    </row>
    <row r="2825" spans="1:10" x14ac:dyDescent="0.25">
      <c r="A2825">
        <v>12371</v>
      </c>
      <c r="B2825" t="str">
        <v>Zicom Electron.</v>
      </c>
      <c r="C2825">
        <v>8.2161340000000003</v>
      </c>
      <c r="D2825">
        <v>1.8964749574661255</v>
      </c>
      <c r="E2825">
        <v>0.57784700393676758</v>
      </c>
      <c r="F2825">
        <v>0.30469599366188049</v>
      </c>
      <c r="G2825">
        <v>1.7699999809265137</v>
      </c>
      <c r="H2825">
        <v>0</v>
      </c>
      <c r="I2825">
        <v>7.3000001907348633</v>
      </c>
      <c r="J2825">
        <v>256</v>
      </c>
    </row>
    <row r="2826" spans="1:10" x14ac:dyDescent="0.25">
      <c r="A2826">
        <v>4284</v>
      </c>
      <c r="B2826" t="str">
        <v>Zim Laboratories</v>
      </c>
      <c r="C2826">
        <v>28.661795000000001</v>
      </c>
      <c r="D2826">
        <v>72.432327270507813</v>
      </c>
      <c r="E2826">
        <v>35.568782806396484</v>
      </c>
      <c r="F2826">
        <v>0.4910619854927063</v>
      </c>
      <c r="G2826">
        <v>105.90499877929688</v>
      </c>
      <c r="H2826">
        <v>0.47999998927116394</v>
      </c>
      <c r="I2826">
        <v>512.5999755859375</v>
      </c>
      <c r="J2826">
        <v>1351</v>
      </c>
    </row>
    <row r="2827" spans="1:10" x14ac:dyDescent="0.25">
      <c r="A2827">
        <v>3930</v>
      </c>
      <c r="B2827" t="str">
        <v>Zodiac Cloth. Co</v>
      </c>
      <c r="C2827">
        <v>-8.7152700000000003</v>
      </c>
      <c r="D2827">
        <v>112.58458709716797</v>
      </c>
      <c r="E2827">
        <v>18.458995819091797</v>
      </c>
      <c r="F2827">
        <v>0.16395699977874756</v>
      </c>
      <c r="G2827">
        <v>107.8125</v>
      </c>
      <c r="H2827">
        <v>0.31000000238418579</v>
      </c>
      <c r="I2827">
        <v>281.25</v>
      </c>
      <c r="J2827">
        <v>1347</v>
      </c>
    </row>
    <row r="2828" spans="1:10" x14ac:dyDescent="0.25">
      <c r="A2828">
        <v>3996</v>
      </c>
      <c r="B2828" t="str">
        <v>Zodiac-JRD MKJ</v>
      </c>
      <c r="C2828">
        <v>17.591529999999999</v>
      </c>
      <c r="D2828">
        <v>35.216503143310547</v>
      </c>
      <c r="E2828">
        <v>16.126604080200195</v>
      </c>
      <c r="F2828">
        <v>0.45792698860168457</v>
      </c>
      <c r="G2828">
        <v>64.442497253417969</v>
      </c>
      <c r="H2828">
        <v>0</v>
      </c>
      <c r="I2828">
        <v>71.459999084472656</v>
      </c>
      <c r="J2828">
        <v>1294</v>
      </c>
    </row>
    <row r="2829" spans="1:10" x14ac:dyDescent="0.25">
      <c r="A2829">
        <v>621</v>
      </c>
      <c r="B2829" t="str">
        <v>Zuari Industries</v>
      </c>
      <c r="C2829">
        <v>32.881818000000003</v>
      </c>
      <c r="D2829">
        <v>170.19129943847656</v>
      </c>
      <c r="E2829">
        <v>98.455345153808594</v>
      </c>
      <c r="F2829">
        <v>0.57849800586700439</v>
      </c>
      <c r="G2829">
        <v>276.16250610351563</v>
      </c>
      <c r="H2829">
        <v>0.47999998927116394</v>
      </c>
      <c r="I2829">
        <v>818.67999267578125</v>
      </c>
      <c r="J2829">
        <v>1359</v>
      </c>
    </row>
    <row r="2830" spans="1:10" x14ac:dyDescent="0.25">
      <c r="A2830">
        <v>20883</v>
      </c>
      <c r="B2830" t="str">
        <v>Zydus Lifesci.</v>
      </c>
      <c r="C2830">
        <v>24.844086000000001</v>
      </c>
      <c r="D2830">
        <v>596.67181396484375</v>
      </c>
      <c r="E2830">
        <v>256.86874389648438</v>
      </c>
      <c r="F2830">
        <v>0.43050301074981689</v>
      </c>
      <c r="G2830">
        <v>952.5250244140625</v>
      </c>
      <c r="H2830">
        <v>0.37000000476837158</v>
      </c>
      <c r="I2830">
        <v>95577.140625</v>
      </c>
      <c r="J2830">
        <v>1359</v>
      </c>
    </row>
    <row r="2831" spans="1:10" x14ac:dyDescent="0.25">
      <c r="A2831">
        <v>6367</v>
      </c>
      <c r="B2831" t="str">
        <v>Zydus Wellness</v>
      </c>
      <c r="C2831">
        <v>6.3418190000000001</v>
      </c>
      <c r="D2831">
        <v>1735.847900390625</v>
      </c>
      <c r="E2831">
        <v>270.1815185546875</v>
      </c>
      <c r="F2831">
        <v>0.15564799308776855</v>
      </c>
      <c r="G2831">
        <v>2071.2373046875</v>
      </c>
      <c r="H2831">
        <v>9.9999997764825821E-3</v>
      </c>
      <c r="I2831">
        <v>13153.7197265625</v>
      </c>
      <c r="J2831">
        <v>1359</v>
      </c>
    </row>
    <row r="2832" spans="1:10" x14ac:dyDescent="0.25">
      <c r="A2832">
        <v>28293</v>
      </c>
      <c r="B2832" t="str">
        <v>eClerx Services</v>
      </c>
      <c r="C2832">
        <v>41.432957000000002</v>
      </c>
      <c r="D2832">
        <v>1615.29345703125</v>
      </c>
      <c r="E2832">
        <v>899.06512451171875</v>
      </c>
      <c r="F2832">
        <v>0.55659598112106323</v>
      </c>
      <c r="G2832">
        <v>3514.199951171875</v>
      </c>
      <c r="H2832">
        <v>0.11999999731779099</v>
      </c>
      <c r="I2832">
        <v>16985.080078125</v>
      </c>
      <c r="J2832">
        <v>1359</v>
      </c>
    </row>
    <row r="2833" spans="1:10" x14ac:dyDescent="0.25">
      <c r="A2833">
        <v>43639</v>
      </c>
      <c r="B2833" t="str">
        <v>eDynamics Solut.</v>
      </c>
      <c r="C2833">
        <v>57.756762999999999</v>
      </c>
      <c r="D2833">
        <v>1.3150789737701416</v>
      </c>
      <c r="E2833">
        <v>0.74325001239776611</v>
      </c>
      <c r="F2833">
        <v>0.56517499685287476</v>
      </c>
      <c r="G2833">
        <v>3.2200000286102295</v>
      </c>
      <c r="H2833">
        <v>3.9999999105930328E-2</v>
      </c>
      <c r="I2833">
        <v>8.2299995422363281</v>
      </c>
      <c r="J2833">
        <v>190</v>
      </c>
    </row>
    <row r="2834" spans="1:10" x14ac:dyDescent="0.25">
      <c r="A2834">
        <v>4032</v>
      </c>
      <c r="B2834" t="str">
        <v>iStreet Network</v>
      </c>
      <c r="C2834">
        <v>17.826778000000001</v>
      </c>
      <c r="D2834">
        <v>2.575390100479126</v>
      </c>
      <c r="E2834">
        <v>0.80750399827957153</v>
      </c>
      <c r="F2834">
        <v>0.31354600191116333</v>
      </c>
      <c r="G2834">
        <v>5.1599998474121094</v>
      </c>
      <c r="H2834">
        <v>0</v>
      </c>
      <c r="I2834">
        <v>10.989999771118164</v>
      </c>
      <c r="J2834">
        <v>873</v>
      </c>
    </row>
    <row r="2835" spans="1:10" x14ac:dyDescent="0.25">
      <c r="A2835">
        <v>72485</v>
      </c>
      <c r="B2835" t="str">
        <v>AKI India</v>
      </c>
      <c r="C2835">
        <v>28.124731000000001</v>
      </c>
      <c r="D2835">
        <v>16.644458770751953</v>
      </c>
      <c r="E2835">
        <v>7.5925860404968262</v>
      </c>
      <c r="F2835">
        <v>0.45616298913955688</v>
      </c>
      <c r="G2835">
        <v>7.6350002288818359</v>
      </c>
      <c r="H2835">
        <v>0.68999999761581421</v>
      </c>
      <c r="I2835">
        <v>77.919998168945313</v>
      </c>
      <c r="J2835">
        <v>746</v>
      </c>
    </row>
    <row r="2836" spans="1:10" x14ac:dyDescent="0.25">
      <c r="A2836">
        <v>23167</v>
      </c>
      <c r="B2836" t="str">
        <v>Aar Shyam (I)</v>
      </c>
      <c r="C2836">
        <v>0.68174199999999996</v>
      </c>
      <c r="D2836">
        <v>6.4508481025695801</v>
      </c>
      <c r="E2836">
        <v>2.3770821094512939</v>
      </c>
      <c r="F2836">
        <v>0.36849099397659302</v>
      </c>
      <c r="G2836">
        <v>10.880000114440918</v>
      </c>
      <c r="H2836">
        <v>9.0000003576278687E-2</v>
      </c>
      <c r="I2836">
        <v>3.2599999904632568</v>
      </c>
      <c r="J2836">
        <v>59</v>
      </c>
    </row>
    <row r="2837" spans="1:10" x14ac:dyDescent="0.25">
      <c r="A2837">
        <v>7602</v>
      </c>
      <c r="B2837" t="str">
        <v>Aarcon Facilitie</v>
      </c>
      <c r="C2837">
        <v>13.241296</v>
      </c>
      <c r="D2837">
        <v>7.8850002288818359</v>
      </c>
      <c r="E2837">
        <v>2.0620999336242676</v>
      </c>
      <c r="F2837">
        <v>0.26152199506759644</v>
      </c>
      <c r="G2837">
        <v>11.829999923706055</v>
      </c>
      <c r="H2837">
        <v>0</v>
      </c>
      <c r="I2837">
        <v>7.0500001907348633</v>
      </c>
      <c r="J2837">
        <v>20</v>
      </c>
    </row>
    <row r="2838" spans="1:10" x14ac:dyDescent="0.25">
      <c r="A2838">
        <v>4693</v>
      </c>
      <c r="B2838" t="str">
        <v>Abirami Fin.</v>
      </c>
      <c r="C2838">
        <v>36.239424999999997</v>
      </c>
      <c r="D2838">
        <v>27.008153915405273</v>
      </c>
      <c r="E2838">
        <v>21.749731063842773</v>
      </c>
      <c r="F2838">
        <v>0.80530202388763428</v>
      </c>
      <c r="G2838">
        <v>47.852500915527344</v>
      </c>
      <c r="H2838">
        <v>0</v>
      </c>
      <c r="I2838">
        <v>25.909999847412109</v>
      </c>
      <c r="J2838">
        <v>979</v>
      </c>
    </row>
    <row r="2839" spans="1:10" x14ac:dyDescent="0.25">
      <c r="A2839">
        <v>5080</v>
      </c>
      <c r="B2839" t="str">
        <v>Ace Engitech</v>
      </c>
      <c r="C2839">
        <v>98.455206000000004</v>
      </c>
      <c r="D2839">
        <v>50.499137878417969</v>
      </c>
      <c r="E2839">
        <v>73.160774230957031</v>
      </c>
      <c r="F2839">
        <v>1.4487529993057251</v>
      </c>
      <c r="G2839">
        <v>189.5</v>
      </c>
      <c r="H2839">
        <v>0</v>
      </c>
      <c r="I2839">
        <v>17.069999694824219</v>
      </c>
      <c r="J2839">
        <v>748</v>
      </c>
    </row>
    <row r="2840" spans="1:10" x14ac:dyDescent="0.25">
      <c r="A2840">
        <v>67649</v>
      </c>
      <c r="B2840" t="str">
        <v>Ace Men</v>
      </c>
      <c r="C2840">
        <v>25.450555999999999</v>
      </c>
      <c r="D2840">
        <v>49.1510009765625</v>
      </c>
      <c r="E2840">
        <v>20.4444580078125</v>
      </c>
      <c r="F2840">
        <v>0.41595199704170227</v>
      </c>
      <c r="G2840">
        <v>68.75</v>
      </c>
      <c r="H2840">
        <v>0</v>
      </c>
      <c r="I2840">
        <v>21.069999694824219</v>
      </c>
      <c r="J2840">
        <v>1211</v>
      </c>
    </row>
    <row r="2841" spans="1:10" x14ac:dyDescent="0.25">
      <c r="A2841">
        <v>73098</v>
      </c>
      <c r="B2841" t="str">
        <v>Add-Shop E-Reta.</v>
      </c>
      <c r="C2841">
        <v>2.9064890000000001</v>
      </c>
      <c r="D2841">
        <v>40.790618896484375</v>
      </c>
      <c r="E2841">
        <v>26.613485336303711</v>
      </c>
      <c r="F2841">
        <v>0.65244102478027344</v>
      </c>
      <c r="G2841">
        <v>10.680000305175781</v>
      </c>
      <c r="H2841">
        <v>5.9999998658895493E-2</v>
      </c>
      <c r="I2841">
        <v>30.290000915527344</v>
      </c>
      <c r="J2841">
        <v>1236</v>
      </c>
    </row>
    <row r="2842" spans="1:10" x14ac:dyDescent="0.25">
      <c r="A2842">
        <v>41289</v>
      </c>
      <c r="B2842" t="str">
        <v>Aerpace Indus</v>
      </c>
      <c r="C2842">
        <v>68.138677000000001</v>
      </c>
      <c r="D2842">
        <v>10.345420837402344</v>
      </c>
      <c r="E2842">
        <v>14.975635528564453</v>
      </c>
      <c r="F2842">
        <v>1.4475619792938232</v>
      </c>
      <c r="G2842">
        <v>26.582500457763672</v>
      </c>
      <c r="H2842">
        <v>0.15999999642372131</v>
      </c>
      <c r="I2842">
        <v>407.1099853515625</v>
      </c>
      <c r="J2842">
        <v>1151</v>
      </c>
    </row>
    <row r="2843" spans="1:10" x14ac:dyDescent="0.25">
      <c r="A2843">
        <v>74495</v>
      </c>
      <c r="B2843" t="str">
        <v>Alphalogic Tech.</v>
      </c>
      <c r="C2843">
        <v>64.299302999999995</v>
      </c>
      <c r="D2843">
        <v>59.89776611328125</v>
      </c>
      <c r="E2843">
        <v>64.488517761230469</v>
      </c>
      <c r="F2843">
        <v>1.0766429901123047</v>
      </c>
      <c r="G2843">
        <v>107.92500305175781</v>
      </c>
      <c r="H2843">
        <v>0.14000000059604645</v>
      </c>
      <c r="I2843">
        <v>662.79998779296875</v>
      </c>
      <c r="J2843">
        <v>1026</v>
      </c>
    </row>
    <row r="2844" spans="1:10" x14ac:dyDescent="0.25">
      <c r="A2844">
        <v>25</v>
      </c>
      <c r="B2844" t="str">
        <v>Aravali Sec</v>
      </c>
      <c r="C2844">
        <v>1.587507</v>
      </c>
      <c r="D2844">
        <v>4.3029661178588867</v>
      </c>
      <c r="E2844">
        <v>1.7962349653244019</v>
      </c>
      <c r="F2844">
        <v>0.41744101047515869</v>
      </c>
      <c r="G2844">
        <v>3.7000000476837158</v>
      </c>
      <c r="H2844">
        <v>0</v>
      </c>
      <c r="I2844">
        <v>5.619999885559082</v>
      </c>
      <c r="J2844">
        <v>1186</v>
      </c>
    </row>
    <row r="2845" spans="1:10" x14ac:dyDescent="0.25">
      <c r="A2845">
        <v>4885</v>
      </c>
      <c r="B2845" t="str">
        <v>Ashoka Refinerie</v>
      </c>
      <c r="C2845">
        <v>10.789365</v>
      </c>
      <c r="D2845">
        <v>8.1099357604980469</v>
      </c>
      <c r="E2845">
        <v>3.2763340473175049</v>
      </c>
      <c r="F2845">
        <v>0.4039900004863739</v>
      </c>
      <c r="G2845">
        <v>12.654999732971191</v>
      </c>
      <c r="H2845">
        <v>5.000000074505806E-2</v>
      </c>
      <c r="I2845">
        <v>4.369999885559082</v>
      </c>
      <c r="J2845">
        <v>312</v>
      </c>
    </row>
    <row r="2846" spans="1:10" x14ac:dyDescent="0.25">
      <c r="A2846">
        <v>3785</v>
      </c>
      <c r="B2846" t="str">
        <v>Asian Petroprod.</v>
      </c>
      <c r="C2846">
        <v>30.948664000000001</v>
      </c>
      <c r="D2846">
        <v>13.937163352966309</v>
      </c>
      <c r="E2846">
        <v>7.0690460205078125</v>
      </c>
      <c r="F2846">
        <v>0.50720798969268799</v>
      </c>
      <c r="G2846">
        <v>9.375</v>
      </c>
      <c r="H2846">
        <v>0</v>
      </c>
      <c r="I2846">
        <v>23.350000381469727</v>
      </c>
      <c r="J2846">
        <v>1025</v>
      </c>
    </row>
    <row r="2847" spans="1:10" x14ac:dyDescent="0.25">
      <c r="A2847">
        <v>23958</v>
      </c>
      <c r="B2847" t="str">
        <v>Aspira Pathlab</v>
      </c>
      <c r="C2847">
        <v>7.5060260000000003</v>
      </c>
      <c r="D2847">
        <v>49.578193664550781</v>
      </c>
      <c r="E2847">
        <v>19.867881774902344</v>
      </c>
      <c r="F2847">
        <v>0.40073800086975098</v>
      </c>
      <c r="G2847">
        <v>56.819999694824219</v>
      </c>
      <c r="H2847">
        <v>0.15999999642372131</v>
      </c>
      <c r="I2847">
        <v>58.479999542236328</v>
      </c>
      <c r="J2847">
        <v>976</v>
      </c>
    </row>
    <row r="2848" spans="1:10" x14ac:dyDescent="0.25">
      <c r="A2848">
        <v>4277</v>
      </c>
      <c r="B2848" t="str">
        <v>Astal Lab</v>
      </c>
      <c r="C2848">
        <v>42.717281999999997</v>
      </c>
      <c r="D2848">
        <v>52.322177886962891</v>
      </c>
      <c r="E2848">
        <v>36.019065856933594</v>
      </c>
      <c r="F2848">
        <v>0.68840897083282471</v>
      </c>
      <c r="G2848">
        <v>80.802497863769531</v>
      </c>
      <c r="H2848">
        <v>9.9999997764825821E-3</v>
      </c>
      <c r="I2848">
        <v>141.30999755859375</v>
      </c>
      <c r="J2848">
        <v>518</v>
      </c>
    </row>
    <row r="2849" spans="1:10" x14ac:dyDescent="0.25">
      <c r="A2849">
        <v>4153</v>
      </c>
      <c r="B2849" t="str">
        <v>BKV Industries</v>
      </c>
      <c r="C2849">
        <v>30.487445999999998</v>
      </c>
      <c r="D2849">
        <v>9.6739702224731445</v>
      </c>
      <c r="E2849">
        <v>3.1838939189910889</v>
      </c>
      <c r="F2849">
        <v>0.32912001013755798</v>
      </c>
      <c r="G2849">
        <v>12.032500267028809</v>
      </c>
      <c r="H2849">
        <v>0</v>
      </c>
      <c r="I2849">
        <v>18.479999542236328</v>
      </c>
      <c r="J2849">
        <v>1144</v>
      </c>
    </row>
    <row r="2850" spans="1:10" x14ac:dyDescent="0.25">
      <c r="A2850">
        <v>28611</v>
      </c>
      <c r="B2850" t="str">
        <v>Bafna Pharma.</v>
      </c>
      <c r="C2850">
        <v>53.921480000000003</v>
      </c>
      <c r="D2850">
        <v>103.79758453369141</v>
      </c>
      <c r="E2850">
        <v>31.746131896972656</v>
      </c>
      <c r="F2850">
        <v>0.30584698915481567</v>
      </c>
      <c r="G2850">
        <v>76.485000610351563</v>
      </c>
      <c r="H2850">
        <v>0.31000000238418579</v>
      </c>
      <c r="I2850">
        <v>177.41999816894531</v>
      </c>
      <c r="J2850">
        <v>1058</v>
      </c>
    </row>
    <row r="2851" spans="1:10" x14ac:dyDescent="0.25">
      <c r="A2851">
        <v>4264</v>
      </c>
      <c r="B2851" t="str">
        <v>Befound Movement</v>
      </c>
      <c r="C2851">
        <v>4.7265030000000001</v>
      </c>
      <c r="D2851">
        <v>2.6538538932800293</v>
      </c>
      <c r="E2851">
        <v>0.89375400543212891</v>
      </c>
      <c r="F2851">
        <v>0.33677598834037781</v>
      </c>
      <c r="G2851">
        <v>3.4700000286102295</v>
      </c>
      <c r="H2851">
        <v>0</v>
      </c>
      <c r="I2851">
        <v>3.440000057220459</v>
      </c>
      <c r="J2851">
        <v>1025</v>
      </c>
    </row>
    <row r="2852" spans="1:10" x14ac:dyDescent="0.25">
      <c r="A2852">
        <v>72078</v>
      </c>
      <c r="B2852" t="str">
        <v>Bhatia Communic.</v>
      </c>
      <c r="C2852">
        <v>21.274170000000002</v>
      </c>
      <c r="D2852">
        <v>21.488027572631836</v>
      </c>
      <c r="E2852">
        <v>9.438298225402832</v>
      </c>
      <c r="F2852">
        <v>0.43923500180244446</v>
      </c>
      <c r="G2852">
        <v>23.112499237060547</v>
      </c>
      <c r="H2852">
        <v>0.33000001311302185</v>
      </c>
      <c r="I2852">
        <v>284.35000610351563</v>
      </c>
      <c r="J2852">
        <v>1168</v>
      </c>
    </row>
    <row r="2853" spans="1:10" x14ac:dyDescent="0.25">
      <c r="A2853">
        <v>4179</v>
      </c>
      <c r="B2853" t="str">
        <v>Blue Pearl Agri</v>
      </c>
      <c r="C2853">
        <v>72.417525999999995</v>
      </c>
      <c r="D2853">
        <v>11.494861602783203</v>
      </c>
      <c r="E2853">
        <v>11.923800468444824</v>
      </c>
      <c r="F2853">
        <v>1.0373159646987915</v>
      </c>
      <c r="G2853">
        <v>40.724998474121094</v>
      </c>
      <c r="H2853">
        <v>0</v>
      </c>
      <c r="I2853">
        <v>2455.429931640625</v>
      </c>
      <c r="J2853">
        <v>216</v>
      </c>
    </row>
    <row r="2854" spans="1:10" x14ac:dyDescent="0.25">
      <c r="A2854">
        <v>5248</v>
      </c>
      <c r="B2854" t="str">
        <v>CLIO Infotech</v>
      </c>
      <c r="C2854">
        <v>16.725227</v>
      </c>
      <c r="D2854">
        <v>4.7156381607055664</v>
      </c>
      <c r="E2854">
        <v>2.4610450267791748</v>
      </c>
      <c r="F2854">
        <v>0.52188998460769653</v>
      </c>
      <c r="G2854">
        <v>5.5999999046325684</v>
      </c>
      <c r="H2854">
        <v>0.49000000953674316</v>
      </c>
      <c r="I2854">
        <v>6.1700000762939453</v>
      </c>
      <c r="J2854">
        <v>1222</v>
      </c>
    </row>
    <row r="2855" spans="1:10" x14ac:dyDescent="0.25">
      <c r="A2855">
        <v>15937</v>
      </c>
      <c r="B2855" t="str">
        <v>Chadha Papers</v>
      </c>
      <c r="C2855">
        <v>0</v>
      </c>
      <c r="D2855">
        <v>8.75</v>
      </c>
      <c r="E2855">
        <v>0</v>
      </c>
      <c r="F2855">
        <v>0</v>
      </c>
      <c r="G2855">
        <v>8.75</v>
      </c>
      <c r="H2855">
        <v>0.72000002861022949</v>
      </c>
      <c r="I2855">
        <v>8.9300003051757813</v>
      </c>
      <c r="J2855">
        <v>1</v>
      </c>
    </row>
    <row r="2856" spans="1:10" x14ac:dyDescent="0.25">
      <c r="A2856">
        <v>769</v>
      </c>
      <c r="B2856" t="str">
        <v>Cochin Malabar</v>
      </c>
      <c r="C2856">
        <v>20.916893999999999</v>
      </c>
      <c r="D2856">
        <v>113.72657775878906</v>
      </c>
      <c r="E2856">
        <v>51.450168609619141</v>
      </c>
      <c r="F2856">
        <v>0.45240199565887451</v>
      </c>
      <c r="G2856">
        <v>172.76249694824219</v>
      </c>
      <c r="H2856">
        <v>0</v>
      </c>
      <c r="I2856">
        <v>30.280000686645508</v>
      </c>
      <c r="J2856">
        <v>863</v>
      </c>
    </row>
    <row r="2857" spans="1:10" x14ac:dyDescent="0.25">
      <c r="A2857">
        <v>54837</v>
      </c>
      <c r="B2857" t="str">
        <v>Colab Platforms</v>
      </c>
      <c r="C2857">
        <v>68.218397999999993</v>
      </c>
      <c r="D2857">
        <v>10.97467041015625</v>
      </c>
      <c r="E2857">
        <v>15.568140029907227</v>
      </c>
      <c r="F2857">
        <v>1.418552041053772</v>
      </c>
      <c r="G2857">
        <v>28.197500228881836</v>
      </c>
      <c r="H2857">
        <v>9.9999997764825821E-3</v>
      </c>
      <c r="I2857">
        <v>577.32000732421875</v>
      </c>
      <c r="J2857">
        <v>674</v>
      </c>
    </row>
    <row r="2858" spans="1:10" x14ac:dyDescent="0.25">
      <c r="A2858">
        <v>5570</v>
      </c>
      <c r="B2858" t="str">
        <v>Contil India</v>
      </c>
      <c r="C2858">
        <v>60.487572999999998</v>
      </c>
      <c r="D2858">
        <v>17.485052108764648</v>
      </c>
      <c r="E2858">
        <v>14.103603363037109</v>
      </c>
      <c r="F2858">
        <v>0.80660897493362427</v>
      </c>
      <c r="G2858">
        <v>29.442499160766602</v>
      </c>
      <c r="H2858">
        <v>0</v>
      </c>
      <c r="I2858">
        <v>44.110000610351563</v>
      </c>
      <c r="J2858">
        <v>1212</v>
      </c>
    </row>
    <row r="2859" spans="1:10" x14ac:dyDescent="0.25">
      <c r="A2859">
        <v>7161</v>
      </c>
      <c r="B2859" t="str">
        <v>Corporate Merch</v>
      </c>
      <c r="C2859">
        <v>25.090225</v>
      </c>
      <c r="D2859">
        <v>31.108793258666992</v>
      </c>
      <c r="E2859">
        <v>14.75203800201416</v>
      </c>
      <c r="F2859">
        <v>0.47420799732208252</v>
      </c>
      <c r="G2859">
        <v>58.869998931884766</v>
      </c>
      <c r="H2859">
        <v>1.9999999552965164E-2</v>
      </c>
      <c r="I2859">
        <v>19.430000305175781</v>
      </c>
      <c r="J2859">
        <v>60</v>
      </c>
    </row>
    <row r="2860" spans="1:10" x14ac:dyDescent="0.25">
      <c r="A2860">
        <v>6491</v>
      </c>
      <c r="B2860" t="str">
        <v>East Buildtech</v>
      </c>
      <c r="C2860">
        <v>37.458762</v>
      </c>
      <c r="D2860">
        <v>90.601638793945313</v>
      </c>
      <c r="E2860">
        <v>74.040870666503906</v>
      </c>
      <c r="F2860">
        <v>0.81721299886703491</v>
      </c>
      <c r="G2860">
        <v>70.074996948242188</v>
      </c>
      <c r="H2860">
        <v>0.10000000149011612</v>
      </c>
      <c r="I2860">
        <v>12.810000419616699</v>
      </c>
      <c r="J2860">
        <v>234</v>
      </c>
    </row>
    <row r="2861" spans="1:10" x14ac:dyDescent="0.25">
      <c r="A2861">
        <v>26111</v>
      </c>
      <c r="B2861" t="str">
        <v>Easun Capital Ma</v>
      </c>
      <c r="C2861">
        <v>18.317582000000002</v>
      </c>
      <c r="D2861">
        <v>41.553501129150391</v>
      </c>
      <c r="E2861">
        <v>11.644467353820801</v>
      </c>
      <c r="F2861">
        <v>0.28022798895835876</v>
      </c>
      <c r="G2861">
        <v>44</v>
      </c>
      <c r="H2861">
        <v>0</v>
      </c>
      <c r="I2861">
        <v>23.010000228881836</v>
      </c>
      <c r="J2861">
        <v>382</v>
      </c>
    </row>
    <row r="2862" spans="1:10" x14ac:dyDescent="0.25">
      <c r="A2862">
        <v>3922</v>
      </c>
      <c r="B2862" t="str">
        <v>Easy Fincorp</v>
      </c>
      <c r="C2862">
        <v>31.955183000000002</v>
      </c>
      <c r="D2862">
        <v>561.59521484375</v>
      </c>
      <c r="E2862">
        <v>219.58224487304688</v>
      </c>
      <c r="F2862">
        <v>0.39099699258804321</v>
      </c>
      <c r="G2862">
        <v>1002.7000122070313</v>
      </c>
      <c r="H2862">
        <v>0</v>
      </c>
      <c r="I2862">
        <v>24.260000228881836</v>
      </c>
      <c r="J2862">
        <v>34</v>
      </c>
    </row>
    <row r="2863" spans="1:10" x14ac:dyDescent="0.25">
      <c r="A2863">
        <v>12681</v>
      </c>
      <c r="B2863" t="str">
        <v>Esha Media</v>
      </c>
      <c r="C2863">
        <v>23.532893000000001</v>
      </c>
      <c r="D2863">
        <v>7.7085251808166504</v>
      </c>
      <c r="E2863">
        <v>4.2291269302368164</v>
      </c>
      <c r="F2863">
        <v>0.5486299991607666</v>
      </c>
      <c r="G2863">
        <v>12.180000305175781</v>
      </c>
      <c r="H2863">
        <v>0</v>
      </c>
      <c r="I2863">
        <v>9.369999885559082</v>
      </c>
      <c r="J2863">
        <v>968</v>
      </c>
    </row>
    <row r="2864" spans="1:10" x14ac:dyDescent="0.25">
      <c r="A2864">
        <v>3553</v>
      </c>
      <c r="B2864" t="str">
        <v>Everlon Fin.</v>
      </c>
      <c r="C2864">
        <v>44.842939999999999</v>
      </c>
      <c r="D2864">
        <v>60.945297241210938</v>
      </c>
      <c r="E2864">
        <v>46.528820037841797</v>
      </c>
      <c r="F2864">
        <v>0.76345199346542358</v>
      </c>
      <c r="G2864">
        <v>136.80000305175781</v>
      </c>
      <c r="H2864">
        <v>0</v>
      </c>
      <c r="I2864">
        <v>86.769996643066406</v>
      </c>
      <c r="J2864">
        <v>1126</v>
      </c>
    </row>
    <row r="2865" spans="1:10" x14ac:dyDescent="0.25">
      <c r="A2865">
        <v>5063</v>
      </c>
      <c r="B2865" t="str">
        <v>GTT Data</v>
      </c>
      <c r="C2865">
        <v>78.907500999999996</v>
      </c>
      <c r="D2865">
        <v>31.280157089233398</v>
      </c>
      <c r="E2865">
        <v>33.369026184082031</v>
      </c>
      <c r="F2865">
        <v>1.0667790174484253</v>
      </c>
      <c r="G2865">
        <v>79.197502136230469</v>
      </c>
      <c r="H2865">
        <v>0</v>
      </c>
      <c r="I2865">
        <v>294.98001098632813</v>
      </c>
      <c r="J2865">
        <v>700</v>
      </c>
    </row>
    <row r="2866" spans="1:10" x14ac:dyDescent="0.25">
      <c r="A2866">
        <v>5741</v>
      </c>
      <c r="B2866" t="str">
        <v>Gaekwar Mills</v>
      </c>
      <c r="C2866">
        <v>-3.2450399999999999</v>
      </c>
      <c r="D2866">
        <v>14.925415992736816</v>
      </c>
      <c r="E2866">
        <v>1.8096959590911865</v>
      </c>
      <c r="F2866">
        <v>0.1212489977478981</v>
      </c>
      <c r="G2866">
        <v>13.649999618530273</v>
      </c>
      <c r="H2866">
        <v>0</v>
      </c>
      <c r="I2866">
        <v>2.7300000190734863</v>
      </c>
      <c r="J2866">
        <v>24</v>
      </c>
    </row>
    <row r="2867" spans="1:10" x14ac:dyDescent="0.25">
      <c r="A2867">
        <v>15442</v>
      </c>
      <c r="B2867" t="str">
        <v>Galaxy Agrico</v>
      </c>
      <c r="C2867">
        <v>31.992730000000002</v>
      </c>
      <c r="D2867">
        <v>35.569873809814453</v>
      </c>
      <c r="E2867">
        <v>11.013580322265625</v>
      </c>
      <c r="F2867">
        <v>0.30963200330734253</v>
      </c>
      <c r="G2867">
        <v>48.650001525878906</v>
      </c>
      <c r="H2867">
        <v>0.31000000238418579</v>
      </c>
      <c r="I2867">
        <v>13.390000343322754</v>
      </c>
      <c r="J2867">
        <v>712</v>
      </c>
    </row>
    <row r="2868" spans="1:10" x14ac:dyDescent="0.25">
      <c r="A2868">
        <v>69816</v>
      </c>
      <c r="B2868" t="str">
        <v>Globalspace Tech</v>
      </c>
      <c r="C2868">
        <v>-11.450498</v>
      </c>
      <c r="D2868">
        <v>23.73756217956543</v>
      </c>
      <c r="E2868">
        <v>6.9901580810546875</v>
      </c>
      <c r="F2868">
        <v>0.29447698593139648</v>
      </c>
      <c r="G2868">
        <v>15.130000114440918</v>
      </c>
      <c r="H2868">
        <v>0.40999999642372131</v>
      </c>
      <c r="I2868">
        <v>51.799999237060547</v>
      </c>
      <c r="J2868">
        <v>1309</v>
      </c>
    </row>
    <row r="2869" spans="1:10" x14ac:dyDescent="0.25">
      <c r="A2869">
        <v>44358</v>
      </c>
      <c r="B2869" t="str">
        <v>Golden Crest</v>
      </c>
      <c r="C2869">
        <v>56.695075000000003</v>
      </c>
      <c r="D2869">
        <v>213.75665283203125</v>
      </c>
      <c r="E2869">
        <v>230.48051452636719</v>
      </c>
      <c r="F2869">
        <v>1.0782380104064941</v>
      </c>
      <c r="G2869">
        <v>339.29998779296875</v>
      </c>
      <c r="H2869">
        <v>0</v>
      </c>
      <c r="I2869">
        <v>173.08999633789063</v>
      </c>
      <c r="J2869">
        <v>384</v>
      </c>
    </row>
    <row r="2870" spans="1:10" x14ac:dyDescent="0.25">
      <c r="A2870">
        <v>7299</v>
      </c>
      <c r="B2870" t="str">
        <v>Gopal Iron Stl.</v>
      </c>
      <c r="C2870">
        <v>2.4720179999999998</v>
      </c>
      <c r="D2870">
        <v>7.2009439468383789</v>
      </c>
      <c r="E2870">
        <v>1.2119090557098389</v>
      </c>
      <c r="F2870">
        <v>0.16829900443553925</v>
      </c>
      <c r="G2870">
        <v>6.8274998664855957</v>
      </c>
      <c r="H2870">
        <v>0.5899999737739563</v>
      </c>
      <c r="I2870">
        <v>3.2699999809265137</v>
      </c>
      <c r="J2870">
        <v>1030</v>
      </c>
    </row>
    <row r="2871" spans="1:10" x14ac:dyDescent="0.25">
      <c r="A2871">
        <v>72298</v>
      </c>
      <c r="B2871" t="str">
        <v>Goyal Aluminiums</v>
      </c>
      <c r="C2871">
        <v>13.171447000000001</v>
      </c>
      <c r="D2871">
        <v>10.87801456451416</v>
      </c>
      <c r="E2871">
        <v>7.0155701637268066</v>
      </c>
      <c r="F2871">
        <v>0.64493101835250854</v>
      </c>
      <c r="G2871">
        <v>8.125</v>
      </c>
      <c r="H2871">
        <v>7.9999998211860657E-2</v>
      </c>
      <c r="I2871">
        <v>115.04000091552734</v>
      </c>
      <c r="J2871">
        <v>875</v>
      </c>
    </row>
    <row r="2872" spans="1:10" x14ac:dyDescent="0.25">
      <c r="A2872">
        <v>3865</v>
      </c>
      <c r="B2872" t="str">
        <v>Gujarat Cotex</v>
      </c>
      <c r="C2872">
        <v>38.106668999999997</v>
      </c>
      <c r="D2872">
        <v>5.6578550338745117</v>
      </c>
      <c r="E2872">
        <v>4.4140381813049316</v>
      </c>
      <c r="F2872">
        <v>0.78016102313995361</v>
      </c>
      <c r="G2872">
        <v>10.630000114440918</v>
      </c>
      <c r="H2872">
        <v>0.12999999523162842</v>
      </c>
      <c r="I2872">
        <v>14.729999542236328</v>
      </c>
      <c r="J2872">
        <v>992</v>
      </c>
    </row>
    <row r="2873" spans="1:10" x14ac:dyDescent="0.25">
      <c r="A2873">
        <v>4811</v>
      </c>
      <c r="B2873" t="str">
        <v>Harmony Capital</v>
      </c>
      <c r="C2873">
        <v>49.773890000000002</v>
      </c>
      <c r="D2873">
        <v>35.263965606689453</v>
      </c>
      <c r="E2873">
        <v>22.535287857055664</v>
      </c>
      <c r="F2873">
        <v>0.63904601335525513</v>
      </c>
      <c r="G2873">
        <v>61.099998474121094</v>
      </c>
      <c r="H2873">
        <v>0</v>
      </c>
      <c r="I2873">
        <v>18.360000610351563</v>
      </c>
      <c r="J2873">
        <v>408</v>
      </c>
    </row>
    <row r="2874" spans="1:10" x14ac:dyDescent="0.25">
      <c r="A2874">
        <v>5940</v>
      </c>
      <c r="B2874" t="str">
        <v>Hemang Resources</v>
      </c>
      <c r="C2874">
        <v>26.629763000000001</v>
      </c>
      <c r="D2874">
        <v>34.738365173339844</v>
      </c>
      <c r="E2874">
        <v>17.521478652954102</v>
      </c>
      <c r="F2874">
        <v>0.50438398122787476</v>
      </c>
      <c r="G2874">
        <v>24.442499160766602</v>
      </c>
      <c r="H2874">
        <v>0.10000000149011612</v>
      </c>
      <c r="I2874">
        <v>31.879999160766602</v>
      </c>
      <c r="J2874">
        <v>946</v>
      </c>
    </row>
    <row r="2875" spans="1:10" x14ac:dyDescent="0.25">
      <c r="A2875">
        <v>5926</v>
      </c>
      <c r="B2875" t="str">
        <v>ICSA (India)</v>
      </c>
      <c r="C2875">
        <v>0</v>
      </c>
      <c r="D2875">
        <v>0.56999999284744263</v>
      </c>
      <c r="E2875">
        <v>0</v>
      </c>
      <c r="F2875">
        <v>0</v>
      </c>
      <c r="G2875">
        <v>0.56999999284744263</v>
      </c>
      <c r="H2875">
        <v>0</v>
      </c>
      <c r="I2875">
        <v>2.7400000095367432</v>
      </c>
      <c r="J2875">
        <v>1</v>
      </c>
    </row>
    <row r="2876" spans="1:10" x14ac:dyDescent="0.25">
      <c r="A2876">
        <v>2358</v>
      </c>
      <c r="B2876" t="str">
        <v>Iconik Sports</v>
      </c>
      <c r="C2876">
        <v>11.018247000000001</v>
      </c>
      <c r="D2876">
        <v>22.737058639526367</v>
      </c>
      <c r="E2876">
        <v>5.0241680145263672</v>
      </c>
      <c r="F2876">
        <v>0.22096799314022064</v>
      </c>
      <c r="G2876">
        <v>29.819999694824219</v>
      </c>
      <c r="H2876">
        <v>0</v>
      </c>
      <c r="I2876">
        <v>58.619998931884766</v>
      </c>
      <c r="J2876">
        <v>17</v>
      </c>
    </row>
    <row r="2877" spans="1:10" x14ac:dyDescent="0.25">
      <c r="A2877">
        <v>6846</v>
      </c>
      <c r="B2877" t="str">
        <v>Indo Cotspin</v>
      </c>
      <c r="C2877">
        <v>45.225839000000001</v>
      </c>
      <c r="D2877">
        <v>26.619565963745117</v>
      </c>
      <c r="E2877">
        <v>12.334712028503418</v>
      </c>
      <c r="F2877">
        <v>0.46336999535560608</v>
      </c>
      <c r="G2877">
        <v>31.954999923706055</v>
      </c>
      <c r="H2877">
        <v>9.9999997764825821E-3</v>
      </c>
      <c r="I2877">
        <v>23.020000457763672</v>
      </c>
      <c r="J2877">
        <v>878</v>
      </c>
    </row>
    <row r="2878" spans="1:10" x14ac:dyDescent="0.25">
      <c r="A2878">
        <v>5074</v>
      </c>
      <c r="B2878" t="str">
        <v>Inland Printers</v>
      </c>
      <c r="C2878">
        <v>13.061349</v>
      </c>
      <c r="D2878">
        <v>53.577739715576172</v>
      </c>
      <c r="E2878">
        <v>36.427978515625</v>
      </c>
      <c r="F2878">
        <v>0.67990899085998535</v>
      </c>
      <c r="G2878">
        <v>69.620002746582031</v>
      </c>
      <c r="H2878">
        <v>0.37000000476837158</v>
      </c>
      <c r="I2878">
        <v>34.419998168945313</v>
      </c>
      <c r="J2878">
        <v>505</v>
      </c>
    </row>
    <row r="2879" spans="1:10" x14ac:dyDescent="0.25">
      <c r="A2879">
        <v>12682</v>
      </c>
      <c r="B2879" t="str">
        <v>Integra Capital</v>
      </c>
      <c r="C2879">
        <v>-21.716481999999999</v>
      </c>
      <c r="D2879">
        <v>18.392183303833008</v>
      </c>
      <c r="E2879">
        <v>5.4067850112915039</v>
      </c>
      <c r="F2879">
        <v>0.29397198557853699</v>
      </c>
      <c r="G2879">
        <v>13.020000457763672</v>
      </c>
      <c r="H2879">
        <v>0</v>
      </c>
      <c r="I2879">
        <v>6.119999885559082</v>
      </c>
      <c r="J2879">
        <v>746</v>
      </c>
    </row>
    <row r="2880" spans="1:10" x14ac:dyDescent="0.25">
      <c r="A2880">
        <v>4857</v>
      </c>
      <c r="B2880" t="str">
        <v>KSL and Indus</v>
      </c>
      <c r="C2880">
        <v>145.58821499999999</v>
      </c>
      <c r="D2880">
        <v>2.0642859935760498</v>
      </c>
      <c r="E2880">
        <v>0.35212999582290649</v>
      </c>
      <c r="F2880">
        <v>0.17058199644088745</v>
      </c>
      <c r="G2880">
        <v>2.7000000476837158</v>
      </c>
      <c r="H2880">
        <v>0</v>
      </c>
      <c r="I2880">
        <v>27.180000305175781</v>
      </c>
      <c r="J2880">
        <v>14</v>
      </c>
    </row>
    <row r="2881" spans="1:10" x14ac:dyDescent="0.25">
      <c r="A2881">
        <v>3461</v>
      </c>
      <c r="B2881" t="str">
        <v>Kartik Invest.</v>
      </c>
      <c r="C2881">
        <v>10.165943</v>
      </c>
      <c r="D2881">
        <v>693.54852294921875</v>
      </c>
      <c r="E2881">
        <v>127.26303863525391</v>
      </c>
      <c r="F2881">
        <v>0.18349599838256836</v>
      </c>
      <c r="G2881">
        <v>1036</v>
      </c>
      <c r="H2881">
        <v>0</v>
      </c>
      <c r="I2881">
        <v>25.280000686645508</v>
      </c>
      <c r="J2881">
        <v>87</v>
      </c>
    </row>
    <row r="2882" spans="1:10" x14ac:dyDescent="0.25">
      <c r="A2882">
        <v>5605</v>
      </c>
      <c r="B2882" t="str">
        <v>Kati patang Life</v>
      </c>
      <c r="C2882">
        <v>52.783150999999997</v>
      </c>
      <c r="D2882">
        <v>9.7929458618164063</v>
      </c>
      <c r="E2882">
        <v>12.073347091674805</v>
      </c>
      <c r="F2882">
        <v>1.2328619956970215</v>
      </c>
      <c r="G2882">
        <v>28.229999542236328</v>
      </c>
      <c r="H2882">
        <v>0</v>
      </c>
      <c r="I2882">
        <v>101.33999633789063</v>
      </c>
      <c r="J2882">
        <v>493</v>
      </c>
    </row>
    <row r="2883" spans="1:10" x14ac:dyDescent="0.25">
      <c r="A2883">
        <v>6963</v>
      </c>
      <c r="B2883" t="str">
        <v>Kovalam Investm.</v>
      </c>
      <c r="C2883">
        <v>176.04188500000001</v>
      </c>
      <c r="D2883">
        <v>9.8033332824707031</v>
      </c>
      <c r="E2883">
        <v>2.1055800914764404</v>
      </c>
      <c r="F2883">
        <v>0.2147819995880127</v>
      </c>
      <c r="G2883">
        <v>13.460000038146973</v>
      </c>
      <c r="H2883">
        <v>0</v>
      </c>
      <c r="I2883">
        <v>2.9900000095367432</v>
      </c>
      <c r="J2883">
        <v>15</v>
      </c>
    </row>
    <row r="2884" spans="1:10" x14ac:dyDescent="0.25">
      <c r="A2884">
        <v>68403</v>
      </c>
      <c r="B2884" t="str">
        <v>Kwality Pharma</v>
      </c>
      <c r="C2884">
        <v>71.564199000000002</v>
      </c>
      <c r="D2884">
        <v>477.88653564453125</v>
      </c>
      <c r="E2884">
        <v>250.51618957519531</v>
      </c>
      <c r="F2884">
        <v>0.52421700954437256</v>
      </c>
      <c r="G2884">
        <v>1053.375</v>
      </c>
      <c r="H2884">
        <v>0.43999999761581421</v>
      </c>
      <c r="I2884">
        <v>1061.6400146484375</v>
      </c>
      <c r="J2884">
        <v>1095</v>
      </c>
    </row>
    <row r="2885" spans="1:10" x14ac:dyDescent="0.25">
      <c r="A2885">
        <v>21316</v>
      </c>
      <c r="B2885" t="str">
        <v>Lohia Securities</v>
      </c>
      <c r="C2885">
        <v>51.407105999999999</v>
      </c>
      <c r="D2885">
        <v>146.11412048339844</v>
      </c>
      <c r="E2885">
        <v>59.948440551757813</v>
      </c>
      <c r="F2885">
        <v>0.41028499603271484</v>
      </c>
      <c r="G2885">
        <v>190.30000305175781</v>
      </c>
      <c r="H2885">
        <v>0.49000000953674316</v>
      </c>
      <c r="I2885">
        <v>97.110000610351563</v>
      </c>
      <c r="J2885">
        <v>603</v>
      </c>
    </row>
    <row r="2886" spans="1:10" x14ac:dyDescent="0.25">
      <c r="A2886">
        <v>71781</v>
      </c>
      <c r="B2886" t="str">
        <v>Medico Remedies</v>
      </c>
      <c r="C2886">
        <v>50.042875000000002</v>
      </c>
      <c r="D2886">
        <v>50.4429931640625</v>
      </c>
      <c r="E2886">
        <v>25.522586822509766</v>
      </c>
      <c r="F2886">
        <v>0.50596898794174194</v>
      </c>
      <c r="G2886">
        <v>49.834999084472656</v>
      </c>
      <c r="H2886">
        <v>0.18999999761581421</v>
      </c>
      <c r="I2886">
        <v>404.54998779296875</v>
      </c>
      <c r="J2886">
        <v>902</v>
      </c>
    </row>
    <row r="2887" spans="1:10" x14ac:dyDescent="0.25">
      <c r="A2887">
        <v>4707</v>
      </c>
      <c r="B2887" t="str">
        <v>Mehta Securities</v>
      </c>
      <c r="C2887">
        <v>24.811731999999999</v>
      </c>
      <c r="D2887">
        <v>25.737079620361328</v>
      </c>
      <c r="E2887">
        <v>8.2700510025024414</v>
      </c>
      <c r="F2887">
        <v>0.32132801413536072</v>
      </c>
      <c r="G2887">
        <v>48.479999542236328</v>
      </c>
      <c r="H2887">
        <v>0</v>
      </c>
      <c r="I2887">
        <v>14.979999542236328</v>
      </c>
      <c r="J2887">
        <v>255</v>
      </c>
    </row>
    <row r="2888" spans="1:10" x14ac:dyDescent="0.25">
      <c r="A2888">
        <v>13121</v>
      </c>
      <c r="B2888" t="str">
        <v>Milestone Global</v>
      </c>
      <c r="C2888">
        <v>14.86858</v>
      </c>
      <c r="D2888">
        <v>21.591011047363281</v>
      </c>
      <c r="E2888">
        <v>8.4798250198364258</v>
      </c>
      <c r="F2888">
        <v>0.39274799823760986</v>
      </c>
      <c r="G2888">
        <v>25.405000686645508</v>
      </c>
      <c r="H2888">
        <v>0</v>
      </c>
      <c r="I2888">
        <v>12.449999809265137</v>
      </c>
      <c r="J2888">
        <v>816</v>
      </c>
    </row>
    <row r="2889" spans="1:10" x14ac:dyDescent="0.25">
      <c r="A2889">
        <v>7952</v>
      </c>
      <c r="B2889" t="str">
        <v>Minolta Finance</v>
      </c>
      <c r="C2889">
        <v>40.411439999999999</v>
      </c>
      <c r="D2889">
        <v>0.59347498416900635</v>
      </c>
      <c r="E2889">
        <v>0.3766539990901947</v>
      </c>
      <c r="F2889">
        <v>0.63465797901153564</v>
      </c>
      <c r="G2889">
        <v>1.4574999809265137</v>
      </c>
      <c r="H2889">
        <v>0.10999999940395355</v>
      </c>
      <c r="I2889">
        <v>14.899999618530273</v>
      </c>
      <c r="J2889">
        <v>959</v>
      </c>
    </row>
    <row r="2890" spans="1:10" x14ac:dyDescent="0.25">
      <c r="A2890">
        <v>1890</v>
      </c>
      <c r="B2890" t="str">
        <v>Modern Steels</v>
      </c>
      <c r="C2890">
        <v>13.474295</v>
      </c>
      <c r="D2890">
        <v>14.435508728027344</v>
      </c>
      <c r="E2890">
        <v>7.1967320442199707</v>
      </c>
      <c r="F2890">
        <v>0.49854400753974915</v>
      </c>
      <c r="G2890">
        <v>17.227500915527344</v>
      </c>
      <c r="H2890">
        <v>9.9999997764825821E-3</v>
      </c>
      <c r="I2890">
        <v>23.620000839233398</v>
      </c>
      <c r="J2890">
        <v>1185</v>
      </c>
    </row>
    <row r="2891" spans="1:10" x14ac:dyDescent="0.25">
      <c r="A2891">
        <v>684</v>
      </c>
      <c r="B2891" t="str">
        <v>Muller &amp; Phipps</v>
      </c>
      <c r="C2891">
        <v>47.078873999999999</v>
      </c>
      <c r="D2891">
        <v>195.22198486328125</v>
      </c>
      <c r="E2891">
        <v>112.41726684570313</v>
      </c>
      <c r="F2891">
        <v>0.57584297657012939</v>
      </c>
      <c r="G2891">
        <v>260.97500610351563</v>
      </c>
      <c r="H2891">
        <v>0</v>
      </c>
      <c r="I2891">
        <v>16.25</v>
      </c>
      <c r="J2891">
        <v>905</v>
      </c>
    </row>
    <row r="2892" spans="1:10" x14ac:dyDescent="0.25">
      <c r="A2892">
        <v>15441</v>
      </c>
      <c r="B2892" t="str">
        <v>Munoth Fin.Serv.</v>
      </c>
      <c r="C2892">
        <v>36.176180000000002</v>
      </c>
      <c r="D2892">
        <v>64.127151489257813</v>
      </c>
      <c r="E2892">
        <v>27.9547119140625</v>
      </c>
      <c r="F2892">
        <v>0.43592599034309387</v>
      </c>
      <c r="G2892">
        <v>65.5</v>
      </c>
      <c r="H2892">
        <v>7.0000000298023224E-2</v>
      </c>
      <c r="I2892">
        <v>33.380001068115234</v>
      </c>
      <c r="J2892">
        <v>657</v>
      </c>
    </row>
    <row r="2893" spans="1:10" x14ac:dyDescent="0.25">
      <c r="A2893">
        <v>24596</v>
      </c>
      <c r="B2893" t="str">
        <v>NR International</v>
      </c>
      <c r="C2893">
        <v>0</v>
      </c>
      <c r="D2893">
        <v>5</v>
      </c>
      <c r="E2893">
        <v>0</v>
      </c>
      <c r="F2893">
        <v>0</v>
      </c>
      <c r="G2893">
        <v>5</v>
      </c>
      <c r="H2893">
        <v>0</v>
      </c>
      <c r="I2893">
        <v>5.3400001525878906</v>
      </c>
      <c r="J2893">
        <v>1</v>
      </c>
    </row>
    <row r="2894" spans="1:10" x14ac:dyDescent="0.25">
      <c r="A2894">
        <v>4873</v>
      </c>
      <c r="B2894" t="str">
        <v>Natraj Proteins</v>
      </c>
      <c r="C2894">
        <v>11.982398</v>
      </c>
      <c r="D2894">
        <v>57.205287933349609</v>
      </c>
      <c r="E2894">
        <v>33.219070434570313</v>
      </c>
      <c r="F2894">
        <v>0.58069902658462524</v>
      </c>
      <c r="G2894">
        <v>41.862499237060547</v>
      </c>
      <c r="H2894">
        <v>0.92000001668930054</v>
      </c>
      <c r="I2894">
        <v>15.560000419616699</v>
      </c>
      <c r="J2894">
        <v>1225</v>
      </c>
    </row>
    <row r="2895" spans="1:10" x14ac:dyDescent="0.25">
      <c r="A2895">
        <v>6177</v>
      </c>
      <c r="B2895" t="str">
        <v>Nikki Glob.Fin.</v>
      </c>
      <c r="C2895">
        <v>25.896937000000001</v>
      </c>
      <c r="D2895">
        <v>9.637059211730957</v>
      </c>
      <c r="E2895">
        <v>4.8066439628601074</v>
      </c>
      <c r="F2895">
        <v>0.49876698851585388</v>
      </c>
      <c r="G2895">
        <v>22.299999237060547</v>
      </c>
      <c r="H2895">
        <v>0.36000001430511475</v>
      </c>
      <c r="I2895">
        <v>7.630000114440918</v>
      </c>
      <c r="J2895">
        <v>764</v>
      </c>
    </row>
    <row r="2896" spans="1:10" x14ac:dyDescent="0.25">
      <c r="A2896">
        <v>66798</v>
      </c>
      <c r="B2896" t="str">
        <v>Nishtha Finance</v>
      </c>
      <c r="C2896">
        <v>-34.152689000000002</v>
      </c>
      <c r="D2896">
        <v>8.3588018417358398</v>
      </c>
      <c r="E2896">
        <v>1.9266270399093628</v>
      </c>
      <c r="F2896">
        <v>0.23049099743366241</v>
      </c>
      <c r="G2896">
        <v>7.1700000762939453</v>
      </c>
      <c r="H2896">
        <v>2.9999999329447746E-2</v>
      </c>
      <c r="I2896">
        <v>5.7399997711181641</v>
      </c>
      <c r="J2896">
        <v>48</v>
      </c>
    </row>
    <row r="2897" spans="1:10" x14ac:dyDescent="0.25">
      <c r="A2897">
        <v>4995</v>
      </c>
      <c r="B2897" t="str">
        <v>Nutricircle</v>
      </c>
      <c r="C2897">
        <v>20.239578999999999</v>
      </c>
      <c r="D2897">
        <v>116.67840576171875</v>
      </c>
      <c r="E2897">
        <v>70.970695495605469</v>
      </c>
      <c r="F2897">
        <v>0.60825902223587036</v>
      </c>
      <c r="G2897">
        <v>141.8125</v>
      </c>
      <c r="H2897">
        <v>0</v>
      </c>
      <c r="I2897">
        <v>138.60000610351563</v>
      </c>
      <c r="J2897">
        <v>305</v>
      </c>
    </row>
    <row r="2898" spans="1:10" x14ac:dyDescent="0.25">
      <c r="A2898">
        <v>7956</v>
      </c>
      <c r="B2898" t="str">
        <v>Omkar Pharmachem</v>
      </c>
      <c r="C2898">
        <v>9.6215620000000008</v>
      </c>
      <c r="D2898">
        <v>22.680522918701172</v>
      </c>
      <c r="E2898">
        <v>3.3566429615020752</v>
      </c>
      <c r="F2898">
        <v>0.14799700677394867</v>
      </c>
      <c r="G2898">
        <v>26.354999542236328</v>
      </c>
      <c r="H2898">
        <v>5.000000074505806E-2</v>
      </c>
      <c r="I2898">
        <v>25.899999618530273</v>
      </c>
      <c r="J2898">
        <v>153</v>
      </c>
    </row>
    <row r="2899" spans="1:10" x14ac:dyDescent="0.25">
      <c r="A2899">
        <v>6998</v>
      </c>
      <c r="B2899" t="str">
        <v>Orosil Smiths</v>
      </c>
      <c r="C2899">
        <v>6.3207870000000002</v>
      </c>
      <c r="D2899">
        <v>4.3760700225830078</v>
      </c>
      <c r="E2899">
        <v>1.1689929962158203</v>
      </c>
      <c r="F2899">
        <v>0.26713299751281738</v>
      </c>
      <c r="G2899">
        <v>4.4650001525878906</v>
      </c>
      <c r="H2899">
        <v>7.9999998211860657E-2</v>
      </c>
      <c r="I2899">
        <v>22.709999084472656</v>
      </c>
      <c r="J2899">
        <v>1124</v>
      </c>
    </row>
    <row r="2900" spans="1:10" x14ac:dyDescent="0.25">
      <c r="A2900">
        <v>7652</v>
      </c>
      <c r="B2900" t="str">
        <v>Patidar Buildcon</v>
      </c>
      <c r="C2900">
        <v>49.137694000000003</v>
      </c>
      <c r="D2900">
        <v>8.1887636184692383</v>
      </c>
      <c r="E2900">
        <v>3.2244760990142822</v>
      </c>
      <c r="F2900">
        <v>0.39376801252365112</v>
      </c>
      <c r="G2900">
        <v>8.1599998474121094</v>
      </c>
      <c r="H2900">
        <v>0.43000000715255737</v>
      </c>
      <c r="I2900">
        <v>4.4899997711181641</v>
      </c>
      <c r="J2900">
        <v>847</v>
      </c>
    </row>
    <row r="2901" spans="1:10" x14ac:dyDescent="0.25">
      <c r="A2901">
        <v>2455</v>
      </c>
      <c r="B2901" t="str">
        <v>Photon Capital</v>
      </c>
      <c r="C2901">
        <v>13.30946</v>
      </c>
      <c r="D2901">
        <v>60.805423736572266</v>
      </c>
      <c r="E2901">
        <v>25.193479537963867</v>
      </c>
      <c r="F2901">
        <v>0.41432899236679077</v>
      </c>
      <c r="G2901">
        <v>111.42500305175781</v>
      </c>
      <c r="H2901">
        <v>0</v>
      </c>
      <c r="I2901">
        <v>16.610000610351563</v>
      </c>
      <c r="J2901">
        <v>710</v>
      </c>
    </row>
    <row r="2902" spans="1:10" x14ac:dyDescent="0.25">
      <c r="A2902">
        <v>3432</v>
      </c>
      <c r="B2902" t="str">
        <v>Prime Industries</v>
      </c>
      <c r="C2902">
        <v>93.644396999999998</v>
      </c>
      <c r="D2902">
        <v>78.311973571777344</v>
      </c>
      <c r="E2902">
        <v>83.521835327148438</v>
      </c>
      <c r="F2902">
        <v>1.0665270090103149</v>
      </c>
      <c r="G2902">
        <v>64.489997863769531</v>
      </c>
      <c r="H2902">
        <v>0.2199999988079071</v>
      </c>
      <c r="I2902">
        <v>129.36000061035156</v>
      </c>
      <c r="J2902">
        <v>1077</v>
      </c>
    </row>
    <row r="2903" spans="1:10" x14ac:dyDescent="0.25">
      <c r="A2903">
        <v>4065</v>
      </c>
      <c r="B2903" t="str">
        <v>Pulsar Intl.</v>
      </c>
      <c r="C2903">
        <v>72.915689</v>
      </c>
      <c r="D2903">
        <v>9.3096065521240234</v>
      </c>
      <c r="E2903">
        <v>4.8128461837768555</v>
      </c>
      <c r="F2903">
        <v>0.516975998878479</v>
      </c>
      <c r="G2903">
        <v>3.8399999141693115</v>
      </c>
      <c r="H2903">
        <v>0</v>
      </c>
      <c r="I2903">
        <v>27.409999847412109</v>
      </c>
      <c r="J2903">
        <v>628</v>
      </c>
    </row>
    <row r="2904" spans="1:10" x14ac:dyDescent="0.25">
      <c r="A2904">
        <v>1817</v>
      </c>
      <c r="B2904" t="str">
        <v>Purity Flex Pack</v>
      </c>
      <c r="C2904">
        <v>1.7828580000000001</v>
      </c>
      <c r="D2904">
        <v>2.1400001049041748</v>
      </c>
      <c r="E2904">
        <v>0.10000000149011612</v>
      </c>
      <c r="F2904">
        <v>4.6728998422622681E-2</v>
      </c>
      <c r="G2904">
        <v>2.2400000095367432</v>
      </c>
      <c r="H2904">
        <v>0.57999998331069946</v>
      </c>
      <c r="I2904">
        <v>0.23999999463558197</v>
      </c>
      <c r="J2904">
        <v>3</v>
      </c>
    </row>
    <row r="2905" spans="1:10" x14ac:dyDescent="0.25">
      <c r="A2905">
        <v>14275</v>
      </c>
      <c r="B2905" t="str">
        <v>Quintegra Soln.</v>
      </c>
      <c r="C2905">
        <v>14.280644000000001</v>
      </c>
      <c r="D2905">
        <v>1.4513310194015503</v>
      </c>
      <c r="E2905">
        <v>0.45087000727653503</v>
      </c>
      <c r="F2905">
        <v>0.31066000461578369</v>
      </c>
      <c r="G2905">
        <v>1.559999942779541</v>
      </c>
      <c r="H2905">
        <v>0</v>
      </c>
      <c r="I2905">
        <v>4.179999828338623</v>
      </c>
      <c r="J2905">
        <v>216</v>
      </c>
    </row>
    <row r="2906" spans="1:10" x14ac:dyDescent="0.25">
      <c r="A2906">
        <v>4996</v>
      </c>
      <c r="B2906" t="str">
        <v>RSC Internl.</v>
      </c>
      <c r="C2906">
        <v>49.807693999999998</v>
      </c>
      <c r="D2906">
        <v>11.403072357177734</v>
      </c>
      <c r="E2906">
        <v>13.682936668395996</v>
      </c>
      <c r="F2906">
        <v>1.1999340057373047</v>
      </c>
      <c r="G2906">
        <v>54.590000152587891</v>
      </c>
      <c r="H2906">
        <v>0</v>
      </c>
      <c r="I2906">
        <v>31.389999389648438</v>
      </c>
      <c r="J2906">
        <v>594</v>
      </c>
    </row>
    <row r="2907" spans="1:10" x14ac:dyDescent="0.25">
      <c r="A2907">
        <v>830</v>
      </c>
      <c r="B2907" t="str">
        <v>Rajas. Petro Syn</v>
      </c>
      <c r="C2907">
        <v>-6.8073259999999998</v>
      </c>
      <c r="D2907">
        <v>2.2655880451202393</v>
      </c>
      <c r="E2907">
        <v>1.1528609991073608</v>
      </c>
      <c r="F2907">
        <v>0.50885701179504395</v>
      </c>
      <c r="G2907">
        <v>4.309999942779541</v>
      </c>
      <c r="H2907">
        <v>0</v>
      </c>
      <c r="I2907">
        <v>6.9800000190734863</v>
      </c>
      <c r="J2907">
        <v>468</v>
      </c>
    </row>
    <row r="2908" spans="1:10" x14ac:dyDescent="0.25">
      <c r="A2908">
        <v>4395</v>
      </c>
      <c r="B2908" t="str">
        <v>Rajdarshan Inds</v>
      </c>
      <c r="C2908">
        <v>25.282567</v>
      </c>
      <c r="D2908">
        <v>36.328250885009766</v>
      </c>
      <c r="E2908">
        <v>13.745590209960938</v>
      </c>
      <c r="F2908">
        <v>0.37837201356887817</v>
      </c>
      <c r="G2908">
        <v>44.452499389648438</v>
      </c>
      <c r="H2908">
        <v>9.9999997764825821E-3</v>
      </c>
      <c r="I2908">
        <v>13.699999809265137</v>
      </c>
      <c r="J2908">
        <v>1070</v>
      </c>
    </row>
    <row r="2909" spans="1:10" x14ac:dyDescent="0.25">
      <c r="A2909">
        <v>72975</v>
      </c>
      <c r="B2909" t="str">
        <v>Rajnish Wellness</v>
      </c>
      <c r="C2909">
        <v>2.8258800000000002</v>
      </c>
      <c r="D2909">
        <v>6.3521480560302734</v>
      </c>
      <c r="E2909">
        <v>5.7605180740356445</v>
      </c>
      <c r="F2909">
        <v>0.90686100721359253</v>
      </c>
      <c r="G2909">
        <v>0.87250000238418579</v>
      </c>
      <c r="H2909">
        <v>9.0000003576278687E-2</v>
      </c>
      <c r="I2909">
        <v>107.94999694824219</v>
      </c>
      <c r="J2909">
        <v>1102</v>
      </c>
    </row>
    <row r="2910" spans="1:10" x14ac:dyDescent="0.25">
      <c r="A2910">
        <v>6187</v>
      </c>
      <c r="B2910" t="str">
        <v>Refex Renewables</v>
      </c>
      <c r="C2910">
        <v>101.51742400000001</v>
      </c>
      <c r="D2910">
        <v>386.761962890625</v>
      </c>
      <c r="E2910">
        <v>259.73663330078125</v>
      </c>
      <c r="F2910">
        <v>0.67156702280044556</v>
      </c>
      <c r="G2910">
        <v>947.17498779296875</v>
      </c>
      <c r="H2910">
        <v>0</v>
      </c>
      <c r="I2910">
        <v>414.29000854492188</v>
      </c>
      <c r="J2910">
        <v>1175</v>
      </c>
    </row>
    <row r="2911" spans="1:10" x14ac:dyDescent="0.25">
      <c r="A2911">
        <v>6811</v>
      </c>
      <c r="B2911" t="str">
        <v>SG Mart</v>
      </c>
      <c r="C2911">
        <v>88.291634000000002</v>
      </c>
      <c r="D2911">
        <v>193.68305969238281</v>
      </c>
      <c r="E2911">
        <v>195.520751953125</v>
      </c>
      <c r="F2911">
        <v>1.0094879865646362</v>
      </c>
      <c r="G2911">
        <v>383.58749389648438</v>
      </c>
      <c r="H2911">
        <v>0.17000000178813934</v>
      </c>
      <c r="I2911">
        <v>4294.1201171875</v>
      </c>
      <c r="J2911">
        <v>1024</v>
      </c>
    </row>
    <row r="2912" spans="1:10" x14ac:dyDescent="0.25">
      <c r="A2912">
        <v>22543</v>
      </c>
      <c r="B2912" t="str">
        <v>Salem Erode Inv.</v>
      </c>
      <c r="C2912">
        <v>71.307848000000007</v>
      </c>
      <c r="D2912">
        <v>45.236499786376953</v>
      </c>
      <c r="E2912">
        <v>14.37324047088623</v>
      </c>
      <c r="F2912">
        <v>0.3177349865436554</v>
      </c>
      <c r="G2912">
        <v>43.627498626708984</v>
      </c>
      <c r="H2912">
        <v>0.62999999523162842</v>
      </c>
      <c r="I2912">
        <v>50.450000762939453</v>
      </c>
      <c r="J2912">
        <v>891</v>
      </c>
    </row>
    <row r="2913" spans="1:10" x14ac:dyDescent="0.25">
      <c r="A2913">
        <v>4836</v>
      </c>
      <c r="B2913" t="str">
        <v>Samyak Internati</v>
      </c>
      <c r="C2913">
        <v>18.539719999999999</v>
      </c>
      <c r="D2913">
        <v>25.588151931762695</v>
      </c>
      <c r="E2913">
        <v>11.113705635070801</v>
      </c>
      <c r="F2913">
        <v>0.43432998657226563</v>
      </c>
      <c r="G2913">
        <v>29.922500610351563</v>
      </c>
      <c r="H2913">
        <v>3.9999999105930328E-2</v>
      </c>
      <c r="I2913">
        <v>23.659999847412109</v>
      </c>
      <c r="J2913">
        <v>1033</v>
      </c>
    </row>
    <row r="2914" spans="1:10" x14ac:dyDescent="0.25">
      <c r="A2914">
        <v>1778</v>
      </c>
      <c r="B2914" t="str">
        <v>Saraswati Commer</v>
      </c>
      <c r="C2914">
        <v>103.34235700000001</v>
      </c>
      <c r="D2914">
        <v>5206.04736328125</v>
      </c>
      <c r="E2914">
        <v>5800.59033203125</v>
      </c>
      <c r="F2914">
        <v>1.1142020225524902</v>
      </c>
      <c r="G2914">
        <v>13060.5625</v>
      </c>
      <c r="H2914">
        <v>1.9999999552965164E-2</v>
      </c>
      <c r="I2914">
        <v>1438.3900146484375</v>
      </c>
      <c r="J2914">
        <v>1243</v>
      </c>
    </row>
    <row r="2915" spans="1:10" x14ac:dyDescent="0.25">
      <c r="A2915">
        <v>28750</v>
      </c>
      <c r="B2915" t="str">
        <v>Sea TV Network</v>
      </c>
      <c r="C2915">
        <v>8.2007739999999991</v>
      </c>
      <c r="D2915">
        <v>5.5776801109313965</v>
      </c>
      <c r="E2915">
        <v>2.9439940452575684</v>
      </c>
      <c r="F2915">
        <v>0.5278170108795166</v>
      </c>
      <c r="G2915">
        <v>5.3350000381469727</v>
      </c>
      <c r="H2915">
        <v>0</v>
      </c>
      <c r="I2915">
        <v>6.369999885559082</v>
      </c>
      <c r="J2915">
        <v>947</v>
      </c>
    </row>
    <row r="2916" spans="1:10" x14ac:dyDescent="0.25">
      <c r="A2916">
        <v>4106</v>
      </c>
      <c r="B2916" t="str">
        <v>Sikozy Realtors</v>
      </c>
      <c r="C2916">
        <v>4.6696799999999996</v>
      </c>
      <c r="D2916">
        <v>1.0670479536056519</v>
      </c>
      <c r="E2916">
        <v>0.14999799430370331</v>
      </c>
      <c r="F2916">
        <v>0.14057299494743347</v>
      </c>
      <c r="G2916">
        <v>0.94999998807907104</v>
      </c>
      <c r="H2916">
        <v>0.2199999988079071</v>
      </c>
      <c r="I2916">
        <v>4.320000171661377</v>
      </c>
      <c r="J2916">
        <v>991</v>
      </c>
    </row>
    <row r="2917" spans="1:10" x14ac:dyDescent="0.25">
      <c r="A2917">
        <v>27317</v>
      </c>
      <c r="B2917" t="str">
        <v>Simplex Mills</v>
      </c>
      <c r="C2917">
        <v>29.190557999999999</v>
      </c>
      <c r="D2917">
        <v>3200.979736328125</v>
      </c>
      <c r="E2917">
        <v>1162.183349609375</v>
      </c>
      <c r="F2917">
        <v>0.36307099461555481</v>
      </c>
      <c r="G2917">
        <v>4568.77490234375</v>
      </c>
      <c r="H2917">
        <v>0</v>
      </c>
      <c r="I2917">
        <v>13.020000457763672</v>
      </c>
      <c r="J2917">
        <v>766</v>
      </c>
    </row>
    <row r="2918" spans="1:10" x14ac:dyDescent="0.25">
      <c r="A2918">
        <v>3456</v>
      </c>
      <c r="B2918" t="str">
        <v>Sizemasters Tech</v>
      </c>
      <c r="C2918">
        <v>46.922519999999999</v>
      </c>
      <c r="D2918">
        <v>136.39013671875</v>
      </c>
      <c r="E2918">
        <v>55.496227264404297</v>
      </c>
      <c r="F2918">
        <v>0.40689298510551453</v>
      </c>
      <c r="G2918">
        <v>136.21249389648438</v>
      </c>
      <c r="H2918">
        <v>0.12999999523162842</v>
      </c>
      <c r="I2918">
        <v>131.10000610351563</v>
      </c>
      <c r="J2918">
        <v>397</v>
      </c>
    </row>
    <row r="2919" spans="1:10" x14ac:dyDescent="0.25">
      <c r="A2919">
        <v>1948</v>
      </c>
      <c r="B2919" t="str">
        <v>Standard Shoe</v>
      </c>
      <c r="C2919">
        <v>14.595390999999999</v>
      </c>
      <c r="D2919">
        <v>12.653966903686523</v>
      </c>
      <c r="E2919">
        <v>5.0465922355651855</v>
      </c>
      <c r="F2919">
        <v>0.39881500601768494</v>
      </c>
      <c r="G2919">
        <v>18.110000610351563</v>
      </c>
      <c r="H2919">
        <v>0</v>
      </c>
      <c r="I2919">
        <v>9.380000114440918</v>
      </c>
      <c r="J2919">
        <v>179</v>
      </c>
    </row>
    <row r="2920" spans="1:10" x14ac:dyDescent="0.25">
      <c r="A2920">
        <v>3796</v>
      </c>
      <c r="B2920" t="str">
        <v>Superior Indus.</v>
      </c>
      <c r="C2920">
        <v>26.754563999999998</v>
      </c>
      <c r="D2920">
        <v>43.04010009765625</v>
      </c>
      <c r="E2920">
        <v>22.555864334106445</v>
      </c>
      <c r="F2920">
        <v>0.52406597137451172</v>
      </c>
      <c r="G2920">
        <v>50.942501068115234</v>
      </c>
      <c r="H2920">
        <v>1.9999999552965164E-2</v>
      </c>
      <c r="I2920">
        <v>65.769996643066406</v>
      </c>
      <c r="J2920">
        <v>1122</v>
      </c>
    </row>
    <row r="2921" spans="1:10" x14ac:dyDescent="0.25">
      <c r="A2921">
        <v>1755</v>
      </c>
      <c r="B2921" t="str">
        <v>Suryavanshi Spg.</v>
      </c>
      <c r="C2921">
        <v>21.411656000000001</v>
      </c>
      <c r="D2921">
        <v>22.004114151000977</v>
      </c>
      <c r="E2921">
        <v>7.6756367683410645</v>
      </c>
      <c r="F2921">
        <v>0.34882700443267822</v>
      </c>
      <c r="G2921">
        <v>24.729999542236328</v>
      </c>
      <c r="H2921">
        <v>0</v>
      </c>
      <c r="I2921">
        <v>12.079999923706055</v>
      </c>
      <c r="J2921">
        <v>1093</v>
      </c>
    </row>
    <row r="2922" spans="1:10" x14ac:dyDescent="0.25">
      <c r="A2922">
        <v>3701</v>
      </c>
      <c r="B2922" t="str">
        <v>Sylph Techno</v>
      </c>
      <c r="C2922">
        <v>5.9284759999999999</v>
      </c>
      <c r="D2922">
        <v>2.0217969417572021</v>
      </c>
      <c r="E2922">
        <v>1.2905919551849365</v>
      </c>
      <c r="F2922">
        <v>0.63833898305892944</v>
      </c>
      <c r="G2922">
        <v>1.1799999475479126</v>
      </c>
      <c r="H2922">
        <v>3.9999999105930328E-2</v>
      </c>
      <c r="I2922">
        <v>103.43000030517578</v>
      </c>
      <c r="J2922">
        <v>936</v>
      </c>
    </row>
    <row r="2923" spans="1:10" x14ac:dyDescent="0.25">
      <c r="A2923">
        <v>26670</v>
      </c>
      <c r="B2923" t="str">
        <v>Taaza Intern.</v>
      </c>
      <c r="C2923">
        <v>-13.552649000000001</v>
      </c>
      <c r="D2923">
        <v>17.367578506469727</v>
      </c>
      <c r="E2923">
        <v>11.77611255645752</v>
      </c>
      <c r="F2923">
        <v>0.67805200815200806</v>
      </c>
      <c r="G2923">
        <v>4.7249999046325684</v>
      </c>
      <c r="H2923">
        <v>0</v>
      </c>
      <c r="I2923">
        <v>3.3199999332427979</v>
      </c>
      <c r="J2923">
        <v>813</v>
      </c>
    </row>
    <row r="2924" spans="1:10" x14ac:dyDescent="0.25">
      <c r="A2924">
        <v>5415</v>
      </c>
      <c r="B2924" t="str">
        <v>Tacent Projects</v>
      </c>
      <c r="C2924">
        <v>22.905456000000001</v>
      </c>
      <c r="D2924">
        <v>10.631220817565918</v>
      </c>
      <c r="E2924">
        <v>6.8606200218200684</v>
      </c>
      <c r="F2924">
        <v>0.64532798528671265</v>
      </c>
      <c r="G2924">
        <v>31.709999084472656</v>
      </c>
      <c r="H2924">
        <v>0</v>
      </c>
      <c r="I2924">
        <v>11.130000114440918</v>
      </c>
      <c r="J2924">
        <v>131</v>
      </c>
    </row>
    <row r="2925" spans="1:10" x14ac:dyDescent="0.25">
      <c r="A2925">
        <v>2088</v>
      </c>
      <c r="B2925" t="str">
        <v>Thacker &amp; Co.</v>
      </c>
      <c r="C2925">
        <v>59.738956999999999</v>
      </c>
      <c r="D2925">
        <v>650.14959716796875</v>
      </c>
      <c r="E2925">
        <v>501.38104248046875</v>
      </c>
      <c r="F2925">
        <v>0.77117800712585449</v>
      </c>
      <c r="G2925">
        <v>1718.137451171875</v>
      </c>
      <c r="H2925">
        <v>9.9999997764825821E-3</v>
      </c>
      <c r="I2925">
        <v>190.35000610351563</v>
      </c>
      <c r="J2925">
        <v>961</v>
      </c>
    </row>
    <row r="2926" spans="1:10" x14ac:dyDescent="0.25">
      <c r="A2926">
        <v>6923</v>
      </c>
      <c r="B2926" t="str">
        <v>Tokyo Finance</v>
      </c>
      <c r="C2926">
        <v>20.248940000000001</v>
      </c>
      <c r="D2926">
        <v>18.510303497314453</v>
      </c>
      <c r="E2926">
        <v>8.5905027389526367</v>
      </c>
      <c r="F2926">
        <v>0.46409299969673157</v>
      </c>
      <c r="G2926">
        <v>29</v>
      </c>
      <c r="H2926">
        <v>0</v>
      </c>
      <c r="I2926">
        <v>20.139999389648438</v>
      </c>
      <c r="J2926">
        <v>857</v>
      </c>
    </row>
    <row r="2927" spans="1:10" x14ac:dyDescent="0.25">
      <c r="A2927">
        <v>42512</v>
      </c>
      <c r="B2927" t="str">
        <v>Universus Photo</v>
      </c>
      <c r="C2927">
        <v>27.566424000000001</v>
      </c>
      <c r="D2927">
        <v>354.6259765625</v>
      </c>
      <c r="E2927">
        <v>167.21702575683594</v>
      </c>
      <c r="F2927">
        <v>0.47153100371360779</v>
      </c>
      <c r="G2927">
        <v>243</v>
      </c>
      <c r="H2927">
        <v>0</v>
      </c>
      <c r="I2927">
        <v>260.57998657226563</v>
      </c>
      <c r="J2927">
        <v>1307</v>
      </c>
    </row>
    <row r="2928" spans="1:10" x14ac:dyDescent="0.25">
      <c r="A2928">
        <v>1949</v>
      </c>
      <c r="B2928" t="str">
        <v>Uniworth</v>
      </c>
      <c r="C2928">
        <v>7.9093169999999997</v>
      </c>
      <c r="D2928">
        <v>0.7042120099067688</v>
      </c>
      <c r="E2928">
        <v>0.20908099412918091</v>
      </c>
      <c r="F2928">
        <v>0.29690098762512207</v>
      </c>
      <c r="G2928">
        <v>1.0149999856948853</v>
      </c>
      <c r="H2928">
        <v>0</v>
      </c>
      <c r="I2928">
        <v>3.4700000286102295</v>
      </c>
      <c r="J2928">
        <v>273</v>
      </c>
    </row>
    <row r="2929" spans="1:10" x14ac:dyDescent="0.25">
      <c r="A2929">
        <v>2954</v>
      </c>
      <c r="B2929" t="str">
        <v>V R Woodart</v>
      </c>
      <c r="C2929">
        <v>30.020156</v>
      </c>
      <c r="D2929">
        <v>17.490879058837891</v>
      </c>
      <c r="E2929">
        <v>13.356902122497559</v>
      </c>
      <c r="F2929">
        <v>0.76364898681640625</v>
      </c>
      <c r="G2929">
        <v>31.450000762939453</v>
      </c>
      <c r="H2929">
        <v>0</v>
      </c>
      <c r="I2929">
        <v>46.830001831054688</v>
      </c>
      <c r="J2929">
        <v>207</v>
      </c>
    </row>
    <row r="2930" spans="1:10" x14ac:dyDescent="0.25">
      <c r="A2930">
        <v>4344</v>
      </c>
      <c r="B2930" t="str">
        <v>Ventura Textiles</v>
      </c>
      <c r="C2930">
        <v>14.968351</v>
      </c>
      <c r="D2930">
        <v>10.29476261138916</v>
      </c>
      <c r="E2930">
        <v>5.0915818214416504</v>
      </c>
      <c r="F2930">
        <v>0.49458000063896179</v>
      </c>
      <c r="G2930">
        <v>10.984999656677246</v>
      </c>
      <c r="H2930">
        <v>0</v>
      </c>
      <c r="I2930">
        <v>21.010000228881836</v>
      </c>
      <c r="J2930">
        <v>706</v>
      </c>
    </row>
    <row r="2931" spans="1:10" x14ac:dyDescent="0.25">
      <c r="A2931">
        <v>5566</v>
      </c>
      <c r="B2931" t="str">
        <v>Vintage Secur.</v>
      </c>
      <c r="C2931">
        <v>4.4182449999999998</v>
      </c>
      <c r="D2931">
        <v>12.22255802154541</v>
      </c>
      <c r="E2931">
        <v>5.298163890838623</v>
      </c>
      <c r="F2931">
        <v>0.43347400426864624</v>
      </c>
      <c r="G2931">
        <v>18.159999847412109</v>
      </c>
      <c r="H2931">
        <v>0</v>
      </c>
      <c r="I2931">
        <v>6.6599998474121094</v>
      </c>
      <c r="J2931">
        <v>719</v>
      </c>
    </row>
    <row r="2932" spans="1:10" x14ac:dyDescent="0.25">
      <c r="A2932">
        <v>44544</v>
      </c>
      <c r="B2932" t="str">
        <v>Vistar Amar</v>
      </c>
      <c r="C2932">
        <v>46.930594999999997</v>
      </c>
      <c r="D2932">
        <v>154.88507080078125</v>
      </c>
      <c r="E2932">
        <v>87.798126220703125</v>
      </c>
      <c r="F2932">
        <v>0.56686002016067505</v>
      </c>
      <c r="G2932">
        <v>123.86250305175781</v>
      </c>
      <c r="H2932">
        <v>9.9999997764825821E-3</v>
      </c>
      <c r="I2932">
        <v>71.139999389648438</v>
      </c>
      <c r="J2932">
        <v>1189</v>
      </c>
    </row>
    <row r="2933" spans="1:10" x14ac:dyDescent="0.25">
      <c r="A2933">
        <v>3733</v>
      </c>
      <c r="B2933" t="str">
        <v>Welterman Intl.</v>
      </c>
      <c r="C2933">
        <v>43.317934000000001</v>
      </c>
      <c r="D2933">
        <v>18.333900451660156</v>
      </c>
      <c r="E2933">
        <v>13.992565155029297</v>
      </c>
      <c r="F2933">
        <v>0.76320701837539673</v>
      </c>
      <c r="G2933">
        <v>26.190000534057617</v>
      </c>
      <c r="H2933">
        <v>0</v>
      </c>
      <c r="I2933">
        <v>12.210000038146973</v>
      </c>
      <c r="J2933">
        <v>503</v>
      </c>
    </row>
    <row r="2934" spans="1:10" x14ac:dyDescent="0.25">
      <c r="A2934">
        <v>3505</v>
      </c>
      <c r="B2934" t="str">
        <v>Winsome Yarns</v>
      </c>
      <c r="C2934">
        <v>16.18676</v>
      </c>
      <c r="D2934">
        <v>3.4729619026184082</v>
      </c>
      <c r="E2934">
        <v>1.1745439767837524</v>
      </c>
      <c r="F2934">
        <v>0.33819699287414551</v>
      </c>
      <c r="G2934">
        <v>1.9199999570846558</v>
      </c>
      <c r="H2934">
        <v>0</v>
      </c>
      <c r="I2934">
        <v>13.510000228881836</v>
      </c>
      <c r="J2934">
        <v>428</v>
      </c>
    </row>
    <row r="2935" spans="1:10" x14ac:dyDescent="0.25">
      <c r="A2935">
        <v>2980</v>
      </c>
      <c r="B2935" t="str">
        <v>AVI Products</v>
      </c>
      <c r="C2935">
        <v>-0.208235</v>
      </c>
      <c r="D2935">
        <v>29.009471893310547</v>
      </c>
      <c r="E2935">
        <v>10.361427307128906</v>
      </c>
      <c r="F2935">
        <v>0.35717400908470154</v>
      </c>
      <c r="G2935">
        <v>19.784999847412109</v>
      </c>
      <c r="H2935">
        <v>1.9999999552965164E-2</v>
      </c>
      <c r="I2935">
        <v>6.380000114440918</v>
      </c>
      <c r="J2935">
        <v>1023</v>
      </c>
    </row>
    <row r="2936" spans="1:10" x14ac:dyDescent="0.25">
      <c r="A2936">
        <v>5655</v>
      </c>
      <c r="B2936" t="str">
        <v>Adline Chem Lab</v>
      </c>
      <c r="C2936">
        <v>23.865234999999998</v>
      </c>
      <c r="D2936">
        <v>13.526447296142578</v>
      </c>
      <c r="E2936">
        <v>6.5401840209960938</v>
      </c>
      <c r="F2936">
        <v>0.48351100087165833</v>
      </c>
      <c r="G2936">
        <v>18.370000839233398</v>
      </c>
      <c r="H2936">
        <v>0</v>
      </c>
      <c r="I2936">
        <v>10.729999542236328</v>
      </c>
      <c r="J2936">
        <v>342</v>
      </c>
    </row>
    <row r="2937" spans="1:10" x14ac:dyDescent="0.25">
      <c r="A2937">
        <v>4208</v>
      </c>
      <c r="B2937" t="str">
        <v>Ajwa Fun World</v>
      </c>
      <c r="C2937">
        <v>13.72837</v>
      </c>
      <c r="D2937">
        <v>19.411846160888672</v>
      </c>
      <c r="E2937">
        <v>8.6998519897460938</v>
      </c>
      <c r="F2937">
        <v>0.44817200303077698</v>
      </c>
      <c r="G2937">
        <v>41.470001220703125</v>
      </c>
      <c r="H2937">
        <v>0</v>
      </c>
      <c r="I2937">
        <v>26.5</v>
      </c>
      <c r="J2937">
        <v>352</v>
      </c>
    </row>
    <row r="2938" spans="1:10" x14ac:dyDescent="0.25">
      <c r="A2938">
        <v>1509</v>
      </c>
      <c r="B2938" t="str">
        <v>Amalgamated Elec</v>
      </c>
      <c r="C2938">
        <v>7.2338490000000002</v>
      </c>
      <c r="D2938">
        <v>40.952770233154297</v>
      </c>
      <c r="E2938">
        <v>22.870258331298828</v>
      </c>
      <c r="F2938">
        <v>0.55845397710800171</v>
      </c>
      <c r="G2938">
        <v>53.860000610351563</v>
      </c>
      <c r="H2938">
        <v>0</v>
      </c>
      <c r="I2938">
        <v>15.699999809265137</v>
      </c>
      <c r="J2938">
        <v>940</v>
      </c>
    </row>
    <row r="2939" spans="1:10" x14ac:dyDescent="0.25">
      <c r="A2939">
        <v>7202</v>
      </c>
      <c r="B2939" t="str">
        <v>Amerise BioScie</v>
      </c>
      <c r="C2939">
        <v>0.74191600000000002</v>
      </c>
      <c r="D2939">
        <v>0.97610098123550415</v>
      </c>
      <c r="E2939">
        <v>0.36006298661231995</v>
      </c>
      <c r="F2939">
        <v>0.36887899041175842</v>
      </c>
      <c r="G2939">
        <v>0.85250002145767212</v>
      </c>
      <c r="H2939">
        <v>9.9999997764825821E-3</v>
      </c>
      <c r="I2939">
        <v>5.5500001907348633</v>
      </c>
      <c r="J2939">
        <v>981</v>
      </c>
    </row>
    <row r="2940" spans="1:10" x14ac:dyDescent="0.25">
      <c r="A2940">
        <v>14711</v>
      </c>
      <c r="B2940" t="str">
        <v>Aroma Ent.</v>
      </c>
      <c r="C2940">
        <v>-8.0440609999999992</v>
      </c>
      <c r="D2940">
        <v>22.763019561767578</v>
      </c>
      <c r="E2940">
        <v>5.7318477630615234</v>
      </c>
      <c r="F2940">
        <v>0.25180500745773315</v>
      </c>
      <c r="G2940">
        <v>28</v>
      </c>
      <c r="H2940">
        <v>0</v>
      </c>
      <c r="I2940">
        <v>13.659999847412109</v>
      </c>
      <c r="J2940">
        <v>169</v>
      </c>
    </row>
    <row r="2941" spans="1:10" x14ac:dyDescent="0.25">
      <c r="A2941">
        <v>6366</v>
      </c>
      <c r="B2941" t="str">
        <v>B P Capital</v>
      </c>
      <c r="C2941">
        <v>20.320387</v>
      </c>
      <c r="D2941">
        <v>6.2350797653198242</v>
      </c>
      <c r="E2941">
        <v>1.9215389490127563</v>
      </c>
      <c r="F2941">
        <v>0.3081820011138916</v>
      </c>
      <c r="G2941">
        <v>10.319999694824219</v>
      </c>
      <c r="H2941">
        <v>0.18000000715255737</v>
      </c>
      <c r="I2941">
        <v>6.1999998092651367</v>
      </c>
      <c r="J2941">
        <v>587</v>
      </c>
    </row>
    <row r="2942" spans="1:10" x14ac:dyDescent="0.25">
      <c r="A2942">
        <v>13649</v>
      </c>
      <c r="B2942" t="str">
        <v>Blue Chip India</v>
      </c>
      <c r="C2942">
        <v>56.944194000000003</v>
      </c>
      <c r="D2942">
        <v>3.7094869613647461</v>
      </c>
      <c r="E2942">
        <v>2.978640079498291</v>
      </c>
      <c r="F2942">
        <v>0.8029789924621582</v>
      </c>
      <c r="G2942">
        <v>5.3899998664855957</v>
      </c>
      <c r="H2942">
        <v>0</v>
      </c>
      <c r="I2942">
        <v>29.809999465942383</v>
      </c>
      <c r="J2942">
        <v>541</v>
      </c>
    </row>
    <row r="2943" spans="1:10" x14ac:dyDescent="0.25">
      <c r="A2943">
        <v>74679</v>
      </c>
      <c r="B2943" t="str">
        <v>Cohance Life</v>
      </c>
      <c r="C2943">
        <v>35.868116000000001</v>
      </c>
      <c r="D2943">
        <v>597.932373046875</v>
      </c>
      <c r="E2943">
        <v>277.75747680664063</v>
      </c>
      <c r="F2943">
        <v>0.46452999114990234</v>
      </c>
      <c r="G2943">
        <v>999.8375244140625</v>
      </c>
      <c r="H2943">
        <v>3.9999999105930328E-2</v>
      </c>
      <c r="I2943">
        <v>37853.109375</v>
      </c>
      <c r="J2943">
        <v>1311</v>
      </c>
    </row>
    <row r="2944" spans="1:10" x14ac:dyDescent="0.25">
      <c r="A2944">
        <v>54879</v>
      </c>
      <c r="B2944" t="str">
        <v>Consecutive In&amp;T</v>
      </c>
      <c r="C2944">
        <v>-13.998977</v>
      </c>
      <c r="D2944">
        <v>2.7128040790557861</v>
      </c>
      <c r="E2944">
        <v>1.1539839506149292</v>
      </c>
      <c r="F2944">
        <v>0.42538401484489441</v>
      </c>
      <c r="G2944">
        <v>1.2400000095367432</v>
      </c>
      <c r="H2944">
        <v>0</v>
      </c>
      <c r="I2944">
        <v>19.540000915527344</v>
      </c>
      <c r="J2944">
        <v>206</v>
      </c>
    </row>
    <row r="2945" spans="1:10" x14ac:dyDescent="0.25">
      <c r="A2945">
        <v>74696</v>
      </c>
      <c r="B2945" t="str">
        <v>DJ Mediaprint</v>
      </c>
      <c r="C2945">
        <v>70.863496999999995</v>
      </c>
      <c r="D2945">
        <v>58.843734741210938</v>
      </c>
      <c r="E2945">
        <v>45.206012725830078</v>
      </c>
      <c r="F2945">
        <v>0.76823800802230835</v>
      </c>
      <c r="G2945">
        <v>102.09999847412109</v>
      </c>
      <c r="H2945">
        <v>0.47999998927116394</v>
      </c>
      <c r="I2945">
        <v>328.83999633789063</v>
      </c>
      <c r="J2945">
        <v>1056</v>
      </c>
    </row>
    <row r="2946" spans="1:10" x14ac:dyDescent="0.25">
      <c r="A2946">
        <v>3762</v>
      </c>
      <c r="B2946" t="str">
        <v>Elegant Floricul</v>
      </c>
      <c r="C2946">
        <v>-5.7341980000000001</v>
      </c>
      <c r="D2946">
        <v>7.3957338333129883</v>
      </c>
      <c r="E2946">
        <v>6.7465758323669434</v>
      </c>
      <c r="F2946">
        <v>0.91222500801086426</v>
      </c>
      <c r="G2946">
        <v>4.869999885559082</v>
      </c>
      <c r="H2946">
        <v>0</v>
      </c>
      <c r="I2946">
        <v>12.720000267028809</v>
      </c>
      <c r="J2946">
        <v>1151</v>
      </c>
    </row>
    <row r="2947" spans="1:10" x14ac:dyDescent="0.25">
      <c r="A2947">
        <v>66514</v>
      </c>
      <c r="B2947" t="str">
        <v>HCKK Ventures</v>
      </c>
      <c r="C2947">
        <v>24.428864000000001</v>
      </c>
      <c r="D2947">
        <v>70.520927429199219</v>
      </c>
      <c r="E2947">
        <v>44.751674652099609</v>
      </c>
      <c r="F2947">
        <v>0.63458698987960815</v>
      </c>
      <c r="G2947">
        <v>155.125</v>
      </c>
      <c r="H2947">
        <v>0</v>
      </c>
      <c r="I2947">
        <v>55.040000915527344</v>
      </c>
      <c r="J2947">
        <v>425</v>
      </c>
    </row>
    <row r="2948" spans="1:10" x14ac:dyDescent="0.25">
      <c r="A2948">
        <v>6885</v>
      </c>
      <c r="B2948" t="str">
        <v>Harshil Agrotech</v>
      </c>
      <c r="C2948">
        <v>65.339102999999994</v>
      </c>
      <c r="D2948">
        <v>3.9410820007324219</v>
      </c>
      <c r="E2948">
        <v>3.3334639072418213</v>
      </c>
      <c r="F2948">
        <v>0.84582501649856567</v>
      </c>
      <c r="G2948">
        <v>1.4600000381469727</v>
      </c>
      <c r="H2948">
        <v>9.0000003576278687E-2</v>
      </c>
      <c r="I2948">
        <v>100.98999786376953</v>
      </c>
      <c r="J2948">
        <v>358</v>
      </c>
    </row>
    <row r="2949" spans="1:10" x14ac:dyDescent="0.25">
      <c r="A2949">
        <v>67740</v>
      </c>
      <c r="B2949" t="str">
        <v>Hiliks Technolog</v>
      </c>
      <c r="C2949">
        <v>30.438120999999999</v>
      </c>
      <c r="D2949">
        <v>29.998712539672852</v>
      </c>
      <c r="E2949">
        <v>27.562261581420898</v>
      </c>
      <c r="F2949">
        <v>0.91878098249435425</v>
      </c>
      <c r="G2949">
        <v>64</v>
      </c>
      <c r="H2949">
        <v>9.9999997764825821E-3</v>
      </c>
      <c r="I2949">
        <v>56.450000762939453</v>
      </c>
      <c r="J2949">
        <v>984</v>
      </c>
    </row>
    <row r="2950" spans="1:10" x14ac:dyDescent="0.25">
      <c r="A2950">
        <v>74646</v>
      </c>
      <c r="B2950" t="str">
        <v>Hitachi Energy</v>
      </c>
      <c r="C2950">
        <v>67.496723000000003</v>
      </c>
      <c r="D2950">
        <v>5116.8330078125</v>
      </c>
      <c r="E2950">
        <v>4495.1181640625</v>
      </c>
      <c r="F2950">
        <v>0.87849599123001099</v>
      </c>
      <c r="G2950">
        <v>18606.55078125</v>
      </c>
      <c r="H2950">
        <v>0.20999999344348907</v>
      </c>
      <c r="I2950">
        <v>81946.5234375</v>
      </c>
      <c r="J2950">
        <v>1297</v>
      </c>
    </row>
    <row r="2951" spans="1:10" x14ac:dyDescent="0.25">
      <c r="A2951">
        <v>14243</v>
      </c>
      <c r="B2951" t="str">
        <v>Indergiri Fin.</v>
      </c>
      <c r="C2951">
        <v>31.867470999999998</v>
      </c>
      <c r="D2951">
        <v>40.524192810058594</v>
      </c>
      <c r="E2951">
        <v>24.813455581665039</v>
      </c>
      <c r="F2951">
        <v>0.61231201887130737</v>
      </c>
      <c r="G2951">
        <v>25.107500076293945</v>
      </c>
      <c r="H2951">
        <v>0.40000000596046448</v>
      </c>
      <c r="I2951">
        <v>12.710000038146973</v>
      </c>
      <c r="J2951">
        <v>444</v>
      </c>
    </row>
    <row r="2952" spans="1:10" x14ac:dyDescent="0.25">
      <c r="A2952">
        <v>3643</v>
      </c>
      <c r="B2952" t="str">
        <v>K&amp;R Rail Engine.</v>
      </c>
      <c r="C2952">
        <v>29.476478</v>
      </c>
      <c r="D2952">
        <v>227.31997680664063</v>
      </c>
      <c r="E2952">
        <v>251.64167785644531</v>
      </c>
      <c r="F2952">
        <v>1.1069929599761963</v>
      </c>
      <c r="G2952">
        <v>57.229999542236328</v>
      </c>
      <c r="H2952">
        <v>0.10000000149011612</v>
      </c>
      <c r="I2952">
        <v>163.16000366210938</v>
      </c>
      <c r="J2952">
        <v>1283</v>
      </c>
    </row>
    <row r="2953" spans="1:10" x14ac:dyDescent="0.25">
      <c r="A2953">
        <v>3859</v>
      </c>
      <c r="B2953" t="str">
        <v>KMG Milk Food</v>
      </c>
      <c r="C2953">
        <v>12.074061</v>
      </c>
      <c r="D2953">
        <v>29.228349685668945</v>
      </c>
      <c r="E2953">
        <v>8.8829374313354492</v>
      </c>
      <c r="F2953">
        <v>0.30391499400138855</v>
      </c>
      <c r="G2953">
        <v>45.159999847412109</v>
      </c>
      <c r="H2953">
        <v>0</v>
      </c>
      <c r="I2953">
        <v>23.959999084472656</v>
      </c>
      <c r="J2953">
        <v>135</v>
      </c>
    </row>
    <row r="2954" spans="1:10" x14ac:dyDescent="0.25">
      <c r="A2954">
        <v>2640</v>
      </c>
      <c r="B2954" t="str">
        <v>Kkalpana Plastic</v>
      </c>
      <c r="C2954">
        <v>46.215138000000003</v>
      </c>
      <c r="D2954">
        <v>19.256887435913086</v>
      </c>
      <c r="E2954">
        <v>8.2565507888793945</v>
      </c>
      <c r="F2954">
        <v>0.42875799536705017</v>
      </c>
      <c r="G2954">
        <v>21.409999847412109</v>
      </c>
      <c r="H2954">
        <v>0</v>
      </c>
      <c r="I2954">
        <v>11.840000152587891</v>
      </c>
      <c r="J2954">
        <v>844</v>
      </c>
    </row>
    <row r="2955" spans="1:10" x14ac:dyDescent="0.25">
      <c r="A2955">
        <v>7994</v>
      </c>
      <c r="B2955" t="str">
        <v>Mercury EV-Tech</v>
      </c>
      <c r="C2955">
        <v>108.78388200000001</v>
      </c>
      <c r="D2955">
        <v>51.184242248535156</v>
      </c>
      <c r="E2955">
        <v>37.665184020996094</v>
      </c>
      <c r="F2955">
        <v>0.73587501049041748</v>
      </c>
      <c r="G2955">
        <v>57.125</v>
      </c>
      <c r="H2955">
        <v>0.36000001430511475</v>
      </c>
      <c r="I2955">
        <v>1062.7099609375</v>
      </c>
      <c r="J2955">
        <v>769</v>
      </c>
    </row>
    <row r="2956" spans="1:10" x14ac:dyDescent="0.25">
      <c r="A2956">
        <v>7246</v>
      </c>
      <c r="B2956" t="str">
        <v>My Money Sec.</v>
      </c>
      <c r="C2956">
        <v>3.5004390000000001</v>
      </c>
      <c r="D2956">
        <v>31.918804168701172</v>
      </c>
      <c r="E2956">
        <v>16.522735595703125</v>
      </c>
      <c r="F2956">
        <v>0.51764899492263794</v>
      </c>
      <c r="G2956">
        <v>27.149999618530273</v>
      </c>
      <c r="H2956">
        <v>7.0000000298023224E-2</v>
      </c>
      <c r="I2956">
        <v>45.610000610351563</v>
      </c>
      <c r="J2956">
        <v>299</v>
      </c>
    </row>
    <row r="2957" spans="1:10" x14ac:dyDescent="0.25">
      <c r="A2957">
        <v>4504</v>
      </c>
      <c r="B2957" t="str">
        <v>N2N Technologies</v>
      </c>
      <c r="C2957">
        <v>-1.8350070000000001</v>
      </c>
      <c r="D2957">
        <v>12.928199768066406</v>
      </c>
      <c r="E2957">
        <v>6.795586109161377</v>
      </c>
      <c r="F2957">
        <v>0.52564102411270142</v>
      </c>
      <c r="G2957">
        <v>16.350000381469727</v>
      </c>
      <c r="H2957">
        <v>2.9999999329447746E-2</v>
      </c>
      <c r="I2957">
        <v>5.2800002098083496</v>
      </c>
      <c r="J2957">
        <v>651</v>
      </c>
    </row>
    <row r="2958" spans="1:10" x14ac:dyDescent="0.25">
      <c r="A2958">
        <v>753</v>
      </c>
      <c r="B2958" t="str">
        <v>National Standar</v>
      </c>
      <c r="C2958">
        <v>86.847142000000005</v>
      </c>
      <c r="D2958">
        <v>4442.43701171875</v>
      </c>
      <c r="E2958">
        <v>2756.021484375</v>
      </c>
      <c r="F2958">
        <v>0.62038499116897583</v>
      </c>
      <c r="G2958">
        <v>2814.074951171875</v>
      </c>
      <c r="H2958">
        <v>0</v>
      </c>
      <c r="I2958">
        <v>5500.5</v>
      </c>
      <c r="J2958">
        <v>1185</v>
      </c>
    </row>
    <row r="2959" spans="1:10" x14ac:dyDescent="0.25">
      <c r="A2959">
        <v>15513</v>
      </c>
      <c r="B2959" t="str">
        <v>Natura Hue Chem</v>
      </c>
      <c r="C2959">
        <v>45.432772999999997</v>
      </c>
      <c r="D2959">
        <v>6.506688117980957</v>
      </c>
      <c r="E2959">
        <v>2.7227370738983154</v>
      </c>
      <c r="F2959">
        <v>0.41845199465751648</v>
      </c>
      <c r="G2959">
        <v>8.8299999237060547</v>
      </c>
      <c r="H2959">
        <v>1.9999999552965164E-2</v>
      </c>
      <c r="I2959">
        <v>3.7300000190734863</v>
      </c>
      <c r="J2959">
        <v>924</v>
      </c>
    </row>
    <row r="2960" spans="1:10" x14ac:dyDescent="0.25">
      <c r="A2960">
        <v>12565</v>
      </c>
      <c r="B2960" t="str">
        <v>Pankaj Polymers</v>
      </c>
      <c r="C2960">
        <v>14.974219</v>
      </c>
      <c r="D2960">
        <v>7.29022216796875</v>
      </c>
      <c r="E2960">
        <v>3.5971879959106445</v>
      </c>
      <c r="F2960">
        <v>0.49342599511146545</v>
      </c>
      <c r="G2960">
        <v>16.280000686645508</v>
      </c>
      <c r="H2960">
        <v>0.23999999463558197</v>
      </c>
      <c r="I2960">
        <v>9.0299997329711914</v>
      </c>
      <c r="J2960">
        <v>1185</v>
      </c>
    </row>
    <row r="2961" spans="1:10" x14ac:dyDescent="0.25">
      <c r="A2961">
        <v>4047</v>
      </c>
      <c r="B2961" t="str">
        <v>Parker Agrochem</v>
      </c>
      <c r="C2961">
        <v>6.8427350000000002</v>
      </c>
      <c r="D2961">
        <v>13.051142692565918</v>
      </c>
      <c r="E2961">
        <v>5.9330039024353027</v>
      </c>
      <c r="F2961">
        <v>0.45459699630737305</v>
      </c>
      <c r="G2961">
        <v>17.659999847412109</v>
      </c>
      <c r="H2961">
        <v>0.20000000298023224</v>
      </c>
      <c r="I2961">
        <v>8.4399995803833008</v>
      </c>
      <c r="J2961">
        <v>945</v>
      </c>
    </row>
    <row r="2962" spans="1:10" x14ac:dyDescent="0.25">
      <c r="A2962">
        <v>3844</v>
      </c>
      <c r="B2962" t="str">
        <v>Pharmaids Pharma</v>
      </c>
      <c r="C2962">
        <v>49.572592999999998</v>
      </c>
      <c r="D2962">
        <v>31.2027587890625</v>
      </c>
      <c r="E2962">
        <v>21.658130645751953</v>
      </c>
      <c r="F2962">
        <v>0.69410997629165649</v>
      </c>
      <c r="G2962">
        <v>57.284999847412109</v>
      </c>
      <c r="H2962">
        <v>0.14000000059604645</v>
      </c>
      <c r="I2962">
        <v>196.50999450683594</v>
      </c>
      <c r="J2962">
        <v>1139</v>
      </c>
    </row>
    <row r="2963" spans="1:10" x14ac:dyDescent="0.25">
      <c r="A2963">
        <v>74664</v>
      </c>
      <c r="B2963" t="str">
        <v>R O Jewels</v>
      </c>
      <c r="C2963">
        <v>4.088476</v>
      </c>
      <c r="D2963">
        <v>4.202366828918457</v>
      </c>
      <c r="E2963">
        <v>2.1360390186309814</v>
      </c>
      <c r="F2963">
        <v>0.50829398632049561</v>
      </c>
      <c r="G2963">
        <v>2.5</v>
      </c>
      <c r="H2963">
        <v>0.34000000357627869</v>
      </c>
      <c r="I2963">
        <v>12.359999656677246</v>
      </c>
      <c r="J2963">
        <v>750</v>
      </c>
    </row>
    <row r="2964" spans="1:10" x14ac:dyDescent="0.25">
      <c r="A2964">
        <v>843</v>
      </c>
      <c r="B2964" t="str">
        <v>Rama Petrochem</v>
      </c>
      <c r="C2964">
        <v>11.046462999999999</v>
      </c>
      <c r="D2964">
        <v>4.4942140579223633</v>
      </c>
      <c r="E2964">
        <v>1.761381983757019</v>
      </c>
      <c r="F2964">
        <v>0.3919219970703125</v>
      </c>
      <c r="G2964">
        <v>11.479999542236328</v>
      </c>
      <c r="H2964">
        <v>0</v>
      </c>
      <c r="I2964">
        <v>12.020000457763672</v>
      </c>
      <c r="J2964">
        <v>745</v>
      </c>
    </row>
    <row r="2965" spans="1:10" x14ac:dyDescent="0.25">
      <c r="A2965">
        <v>4812</v>
      </c>
      <c r="B2965" t="str">
        <v>Real Eco-Energy</v>
      </c>
      <c r="C2965">
        <v>14.864815</v>
      </c>
      <c r="D2965">
        <v>5.197443962097168</v>
      </c>
      <c r="E2965">
        <v>2.3456239700317383</v>
      </c>
      <c r="F2965">
        <v>0.45130300521850586</v>
      </c>
      <c r="G2965">
        <v>6.1550002098083496</v>
      </c>
      <c r="H2965">
        <v>0.86000001430511475</v>
      </c>
      <c r="I2965">
        <v>61.200000762939453</v>
      </c>
      <c r="J2965">
        <v>1063</v>
      </c>
    </row>
    <row r="2966" spans="1:10" x14ac:dyDescent="0.25">
      <c r="A2966">
        <v>4913</v>
      </c>
      <c r="B2966" t="str">
        <v>Rich Universe</v>
      </c>
      <c r="C2966">
        <v>18.216712000000001</v>
      </c>
      <c r="D2966">
        <v>9.6411628723144531</v>
      </c>
      <c r="E2966">
        <v>3.9792439937591553</v>
      </c>
      <c r="F2966">
        <v>0.4127349853515625</v>
      </c>
      <c r="G2966">
        <v>10.199999809265137</v>
      </c>
      <c r="H2966">
        <v>0.20000000298023224</v>
      </c>
      <c r="I2966">
        <v>7.4000000953674316</v>
      </c>
      <c r="J2966">
        <v>791</v>
      </c>
    </row>
    <row r="2967" spans="1:10" x14ac:dyDescent="0.25">
      <c r="A2967">
        <v>12780</v>
      </c>
      <c r="B2967" t="str">
        <v>Rotographics (I)</v>
      </c>
      <c r="C2967">
        <v>30.456520999999999</v>
      </c>
      <c r="D2967">
        <v>23.880834579467773</v>
      </c>
      <c r="E2967">
        <v>12.833664894104004</v>
      </c>
      <c r="F2967">
        <v>0.53740400075912476</v>
      </c>
      <c r="G2967">
        <v>60.299999237060547</v>
      </c>
      <c r="H2967">
        <v>9.9999997764825821E-3</v>
      </c>
      <c r="I2967">
        <v>21.719999313354492</v>
      </c>
      <c r="J2967">
        <v>114</v>
      </c>
    </row>
    <row r="2968" spans="1:10" x14ac:dyDescent="0.25">
      <c r="A2968">
        <v>2168</v>
      </c>
      <c r="B2968" t="str">
        <v>S &amp; S Power Swit</v>
      </c>
      <c r="C2968">
        <v>69.399122000000006</v>
      </c>
      <c r="D2968">
        <v>139.95524597167969</v>
      </c>
      <c r="E2968">
        <v>152.72915649414063</v>
      </c>
      <c r="F2968">
        <v>1.0912710428237915</v>
      </c>
      <c r="G2968">
        <v>365.32501220703125</v>
      </c>
      <c r="H2968">
        <v>0.93000000715255737</v>
      </c>
      <c r="I2968">
        <v>450.83999633789063</v>
      </c>
      <c r="J2968">
        <v>1038</v>
      </c>
    </row>
    <row r="2969" spans="1:10" x14ac:dyDescent="0.25">
      <c r="A2969">
        <v>66221</v>
      </c>
      <c r="B2969" t="str">
        <v>SAB Events</v>
      </c>
      <c r="C2969">
        <v>30.459973000000002</v>
      </c>
      <c r="D2969">
        <v>6.4048781394958496</v>
      </c>
      <c r="E2969">
        <v>4.3151578903198242</v>
      </c>
      <c r="F2969">
        <v>0.67373001575469971</v>
      </c>
      <c r="G2969">
        <v>5.8600001335144043</v>
      </c>
      <c r="H2969">
        <v>0</v>
      </c>
      <c r="I2969">
        <v>6.2699999809265137</v>
      </c>
      <c r="J2969">
        <v>944</v>
      </c>
    </row>
    <row r="2970" spans="1:10" x14ac:dyDescent="0.25">
      <c r="A2970">
        <v>54878</v>
      </c>
      <c r="B2970" t="str">
        <v>Seacoast Ship.</v>
      </c>
      <c r="C2970">
        <v>18.776807999999999</v>
      </c>
      <c r="D2970">
        <v>6.6872310638427734</v>
      </c>
      <c r="E2970">
        <v>5.0978817939758301</v>
      </c>
      <c r="F2970">
        <v>0.76233100891113281</v>
      </c>
      <c r="G2970">
        <v>2.7674999237060547</v>
      </c>
      <c r="H2970">
        <v>0.46000000834465027</v>
      </c>
      <c r="I2970">
        <v>149.21000671386719</v>
      </c>
      <c r="J2970">
        <v>1189</v>
      </c>
    </row>
    <row r="2971" spans="1:10" x14ac:dyDescent="0.25">
      <c r="A2971">
        <v>2054</v>
      </c>
      <c r="B2971" t="str">
        <v>Sh. Bhawani Pap.</v>
      </c>
      <c r="C2971">
        <v>-2.8857430000000002</v>
      </c>
      <c r="D2971">
        <v>3.360076904296875</v>
      </c>
      <c r="E2971">
        <v>1.1170109510421753</v>
      </c>
      <c r="F2971">
        <v>0.33243599534034729</v>
      </c>
      <c r="G2971">
        <v>3.372499942779541</v>
      </c>
      <c r="H2971">
        <v>0</v>
      </c>
      <c r="I2971">
        <v>11.210000038146973</v>
      </c>
      <c r="J2971">
        <v>424</v>
      </c>
    </row>
    <row r="2972" spans="1:10" x14ac:dyDescent="0.25">
      <c r="A2972">
        <v>67799</v>
      </c>
      <c r="B2972" t="str">
        <v>Shanti Educat.</v>
      </c>
      <c r="C2972">
        <v>41.112144999999998</v>
      </c>
      <c r="D2972">
        <v>65.420310974121094</v>
      </c>
      <c r="E2972">
        <v>42.250949859619141</v>
      </c>
      <c r="F2972">
        <v>0.64583802223205566</v>
      </c>
      <c r="G2972">
        <v>84.665000915527344</v>
      </c>
      <c r="H2972">
        <v>2.9999999329447746E-2</v>
      </c>
      <c r="I2972">
        <v>1352.4000244140625</v>
      </c>
      <c r="J2972">
        <v>1149</v>
      </c>
    </row>
    <row r="2973" spans="1:10" x14ac:dyDescent="0.25">
      <c r="A2973">
        <v>44000</v>
      </c>
      <c r="B2973" t="str">
        <v>Sheshadri Indus.</v>
      </c>
      <c r="C2973">
        <v>29.905975999999999</v>
      </c>
      <c r="D2973">
        <v>15.970256805419922</v>
      </c>
      <c r="E2973">
        <v>6.3033580780029297</v>
      </c>
      <c r="F2973">
        <v>0.3946940004825592</v>
      </c>
      <c r="G2973">
        <v>19.989999771118164</v>
      </c>
      <c r="H2973">
        <v>0</v>
      </c>
      <c r="I2973">
        <v>9.9099998474121094</v>
      </c>
      <c r="J2973">
        <v>1050</v>
      </c>
    </row>
    <row r="2974" spans="1:10" x14ac:dyDescent="0.25">
      <c r="A2974">
        <v>2837</v>
      </c>
      <c r="B2974" t="str">
        <v>Shukra Jewellery</v>
      </c>
      <c r="C2974">
        <v>-16.620135000000001</v>
      </c>
      <c r="D2974">
        <v>8.1956329345703125</v>
      </c>
      <c r="E2974">
        <v>3.5027918815612793</v>
      </c>
      <c r="F2974">
        <v>0.42739701271057129</v>
      </c>
      <c r="G2974">
        <v>7.6700000762939453</v>
      </c>
      <c r="H2974">
        <v>1.9999999552965164E-2</v>
      </c>
      <c r="I2974">
        <v>10.319999694824219</v>
      </c>
      <c r="J2974">
        <v>553</v>
      </c>
    </row>
    <row r="2975" spans="1:10" x14ac:dyDescent="0.25">
      <c r="A2975">
        <v>24825</v>
      </c>
      <c r="B2975" t="str">
        <v>Shyamkamal Inv</v>
      </c>
      <c r="C2975">
        <v>5.7832480000000004</v>
      </c>
      <c r="D2975">
        <v>9.0365152359008789</v>
      </c>
      <c r="E2975">
        <v>4.7192859649658203</v>
      </c>
      <c r="F2975">
        <v>0.52224600315093994</v>
      </c>
      <c r="G2975">
        <v>12.877499580383301</v>
      </c>
      <c r="H2975">
        <v>7.0000000298023224E-2</v>
      </c>
      <c r="I2975">
        <v>17.159999847412109</v>
      </c>
      <c r="J2975">
        <v>967</v>
      </c>
    </row>
    <row r="2976" spans="1:10" x14ac:dyDescent="0.25">
      <c r="A2976">
        <v>14608</v>
      </c>
      <c r="B2976" t="str">
        <v>Silicon Valley</v>
      </c>
      <c r="C2976">
        <v>0</v>
      </c>
      <c r="D2976">
        <v>2.9999999329447746E-2</v>
      </c>
      <c r="E2976">
        <v>0</v>
      </c>
      <c r="F2976">
        <v>0</v>
      </c>
      <c r="G2976">
        <v>2.9999999329447746E-2</v>
      </c>
      <c r="H2976">
        <v>0</v>
      </c>
      <c r="I2976">
        <v>0.38999998569488525</v>
      </c>
      <c r="J2976">
        <v>43</v>
      </c>
    </row>
    <row r="2977" spans="1:10" x14ac:dyDescent="0.25">
      <c r="A2977">
        <v>1451</v>
      </c>
      <c r="B2977" t="str">
        <v>Sinnar Bidi Udy.</v>
      </c>
      <c r="C2977">
        <v>25.183605</v>
      </c>
      <c r="D2977">
        <v>617.96368408203125</v>
      </c>
      <c r="E2977">
        <v>149.46913146972656</v>
      </c>
      <c r="F2977">
        <v>0.24187399446964264</v>
      </c>
      <c r="G2977">
        <v>779</v>
      </c>
      <c r="H2977">
        <v>0</v>
      </c>
      <c r="I2977">
        <v>31.159999847412109</v>
      </c>
      <c r="J2977">
        <v>308</v>
      </c>
    </row>
    <row r="2978" spans="1:10" x14ac:dyDescent="0.25">
      <c r="A2978">
        <v>7482</v>
      </c>
      <c r="B2978" t="str">
        <v>Skyline Ventures</v>
      </c>
      <c r="C2978">
        <v>13.665912000000001</v>
      </c>
      <c r="D2978">
        <v>27.956890106201172</v>
      </c>
      <c r="E2978">
        <v>8.2377347946166992</v>
      </c>
      <c r="F2978">
        <v>0.29465800523757935</v>
      </c>
      <c r="G2978">
        <v>23.110000610351563</v>
      </c>
      <c r="H2978">
        <v>0.18999999761581421</v>
      </c>
      <c r="I2978">
        <v>9.1700000762939453</v>
      </c>
      <c r="J2978">
        <v>229</v>
      </c>
    </row>
    <row r="2979" spans="1:10" x14ac:dyDescent="0.25">
      <c r="A2979">
        <v>4981</v>
      </c>
      <c r="B2979" t="str">
        <v>Sparkle GoldRock</v>
      </c>
      <c r="C2979">
        <v>82.578183999999993</v>
      </c>
      <c r="D2979">
        <v>39.244117736816406</v>
      </c>
      <c r="E2979">
        <v>34.565162658691406</v>
      </c>
      <c r="F2979">
        <v>0.88077300786972046</v>
      </c>
      <c r="G2979">
        <v>99.722503662109375</v>
      </c>
      <c r="H2979">
        <v>0</v>
      </c>
      <c r="I2979">
        <v>44.340000152587891</v>
      </c>
      <c r="J2979">
        <v>372</v>
      </c>
    </row>
    <row r="2980" spans="1:10" x14ac:dyDescent="0.25">
      <c r="A2980">
        <v>65216</v>
      </c>
      <c r="B2980" t="str">
        <v>Sprayking Ltd</v>
      </c>
      <c r="C2980">
        <v>41.264400999999999</v>
      </c>
      <c r="D2980">
        <v>14.066152572631836</v>
      </c>
      <c r="E2980">
        <v>7.0296101570129395</v>
      </c>
      <c r="F2980">
        <v>0.49975401163101196</v>
      </c>
      <c r="G2980">
        <v>6.252500057220459</v>
      </c>
      <c r="H2980">
        <v>0.15000000596046448</v>
      </c>
      <c r="I2980">
        <v>66.050003051757813</v>
      </c>
      <c r="J2980">
        <v>627</v>
      </c>
    </row>
    <row r="2981" spans="1:10" x14ac:dyDescent="0.25">
      <c r="A2981">
        <v>3901</v>
      </c>
      <c r="B2981" t="str">
        <v>Sri Lak.Sar.Arni</v>
      </c>
      <c r="C2981">
        <v>28.273137999999999</v>
      </c>
      <c r="D2981">
        <v>40.669998168945313</v>
      </c>
      <c r="E2981">
        <v>13.660367012023926</v>
      </c>
      <c r="F2981">
        <v>0.33588299155235291</v>
      </c>
      <c r="G2981">
        <v>44.299999237060547</v>
      </c>
      <c r="H2981">
        <v>0</v>
      </c>
      <c r="I2981">
        <v>14.75</v>
      </c>
      <c r="J2981">
        <v>982</v>
      </c>
    </row>
    <row r="2982" spans="1:10" x14ac:dyDescent="0.25">
      <c r="A2982">
        <v>1197</v>
      </c>
      <c r="B2982" t="str">
        <v>Sudal Industries</v>
      </c>
      <c r="C2982">
        <v>39.551254999999998</v>
      </c>
      <c r="D2982">
        <v>22.176885604858398</v>
      </c>
      <c r="E2982">
        <v>20.987037658691406</v>
      </c>
      <c r="F2982">
        <v>0.94634699821472168</v>
      </c>
      <c r="G2982">
        <v>62.099998474121094</v>
      </c>
      <c r="H2982">
        <v>0</v>
      </c>
      <c r="I2982">
        <v>45.900001525878906</v>
      </c>
      <c r="J2982">
        <v>998</v>
      </c>
    </row>
    <row r="2983" spans="1:10" x14ac:dyDescent="0.25">
      <c r="A2983">
        <v>1490</v>
      </c>
      <c r="B2983" t="str">
        <v>Yash Trad.&amp; Fin.</v>
      </c>
      <c r="C2983">
        <v>50.437475999999997</v>
      </c>
      <c r="D2983">
        <v>109.13555145263672</v>
      </c>
      <c r="E2983">
        <v>67.666969299316406</v>
      </c>
      <c r="F2983">
        <v>0.62002700567245483</v>
      </c>
      <c r="G2983">
        <v>216.14999389648438</v>
      </c>
      <c r="H2983">
        <v>0</v>
      </c>
      <c r="I2983">
        <v>64.849998474121094</v>
      </c>
      <c r="J2983">
        <v>108</v>
      </c>
    </row>
    <row r="2984" spans="1:10" x14ac:dyDescent="0.25">
      <c r="A2984">
        <v>7403</v>
      </c>
      <c r="B2984" t="str">
        <v>Auto Pins (I)</v>
      </c>
      <c r="C2984">
        <v>21.391058000000001</v>
      </c>
      <c r="D2984">
        <v>101.92548370361328</v>
      </c>
      <c r="E2984">
        <v>40.400604248046875</v>
      </c>
      <c r="F2984">
        <v>0.39637398719787598</v>
      </c>
      <c r="G2984">
        <v>102.34999847412109</v>
      </c>
      <c r="H2984">
        <v>0.41999998688697815</v>
      </c>
      <c r="I2984">
        <v>57.439998626708984</v>
      </c>
      <c r="J2984">
        <v>576</v>
      </c>
    </row>
    <row r="2985" spans="1:10" x14ac:dyDescent="0.25">
      <c r="A2985">
        <v>2139</v>
      </c>
      <c r="B2985" t="str">
        <v>Bombay Wire</v>
      </c>
      <c r="C2985">
        <v>80.652242000000001</v>
      </c>
      <c r="D2985">
        <v>46.708484649658203</v>
      </c>
      <c r="E2985">
        <v>20.295806884765625</v>
      </c>
      <c r="F2985">
        <v>0.43452098965644836</v>
      </c>
      <c r="G2985">
        <v>66.675003051757813</v>
      </c>
      <c r="H2985">
        <v>9.9999997764825821E-3</v>
      </c>
      <c r="I2985">
        <v>36.259998321533203</v>
      </c>
      <c r="J2985">
        <v>968</v>
      </c>
    </row>
    <row r="2986" spans="1:10" x14ac:dyDescent="0.25">
      <c r="A2986">
        <v>950</v>
      </c>
      <c r="B2986" t="str">
        <v>Cropster Agro</v>
      </c>
      <c r="C2986">
        <v>66.441879999999998</v>
      </c>
      <c r="D2986">
        <v>13.846085548400879</v>
      </c>
      <c r="E2986">
        <v>7.7693619728088379</v>
      </c>
      <c r="F2986">
        <v>0.56112301349639893</v>
      </c>
      <c r="G2986">
        <v>18.665000915527344</v>
      </c>
      <c r="H2986">
        <v>0</v>
      </c>
      <c r="I2986">
        <v>1548.1199951171875</v>
      </c>
      <c r="J2986">
        <v>511</v>
      </c>
    </row>
    <row r="2987" spans="1:10" x14ac:dyDescent="0.25">
      <c r="A2987">
        <v>2132</v>
      </c>
      <c r="B2987" t="str">
        <v>Dhenu Buildcon</v>
      </c>
      <c r="C2987">
        <v>20.327705999999999</v>
      </c>
      <c r="D2987">
        <v>3.0198349952697754</v>
      </c>
      <c r="E2987">
        <v>2.2055408954620361</v>
      </c>
      <c r="F2987">
        <v>0.73035097122192383</v>
      </c>
      <c r="G2987">
        <v>5.1700000762939453</v>
      </c>
      <c r="H2987">
        <v>0</v>
      </c>
      <c r="I2987">
        <v>9.6099996566772461</v>
      </c>
      <c r="J2987">
        <v>562</v>
      </c>
    </row>
    <row r="2988" spans="1:10" x14ac:dyDescent="0.25">
      <c r="A2988">
        <v>4889</v>
      </c>
      <c r="B2988" t="str">
        <v>Heera Ispat</v>
      </c>
      <c r="C2988">
        <v>19.466792000000002</v>
      </c>
      <c r="D2988">
        <v>7.1858820915222168</v>
      </c>
      <c r="E2988">
        <v>3.0853219032287598</v>
      </c>
      <c r="F2988">
        <v>0.42935898900032043</v>
      </c>
      <c r="G2988">
        <v>7.872499942779541</v>
      </c>
      <c r="H2988">
        <v>0</v>
      </c>
      <c r="I2988">
        <v>4.690000057220459</v>
      </c>
      <c r="J2988">
        <v>853</v>
      </c>
    </row>
    <row r="2989" spans="1:10" x14ac:dyDescent="0.25">
      <c r="A2989">
        <v>69822</v>
      </c>
      <c r="B2989" t="str">
        <v>IFL Enterprises</v>
      </c>
      <c r="C2989">
        <v>36.970395000000003</v>
      </c>
      <c r="D2989">
        <v>3.1586220264434814</v>
      </c>
      <c r="E2989">
        <v>2.9307889938354492</v>
      </c>
      <c r="F2989">
        <v>0.92786997556686401</v>
      </c>
      <c r="G2989">
        <v>1.1549999713897705</v>
      </c>
      <c r="H2989">
        <v>9.9999997764825821E-3</v>
      </c>
      <c r="I2989">
        <v>144.05000305175781</v>
      </c>
      <c r="J2989">
        <v>891</v>
      </c>
    </row>
    <row r="2990" spans="1:10" x14ac:dyDescent="0.25">
      <c r="A2990">
        <v>2745</v>
      </c>
      <c r="B2990" t="str">
        <v>Jayatma Enterp.</v>
      </c>
      <c r="C2990">
        <v>-6.2530700000000001</v>
      </c>
      <c r="D2990">
        <v>42.837074279785156</v>
      </c>
      <c r="E2990">
        <v>20.275232315063477</v>
      </c>
      <c r="F2990">
        <v>0.47330999374389648</v>
      </c>
      <c r="G2990">
        <v>13.329999923706055</v>
      </c>
      <c r="H2990">
        <v>3.9999999105930328E-2</v>
      </c>
      <c r="I2990">
        <v>4</v>
      </c>
      <c r="J2990">
        <v>352</v>
      </c>
    </row>
    <row r="2991" spans="1:10" x14ac:dyDescent="0.25">
      <c r="A2991">
        <v>42129</v>
      </c>
      <c r="B2991" t="str">
        <v>Looks Health</v>
      </c>
      <c r="C2991">
        <v>1.4545520000000001</v>
      </c>
      <c r="D2991">
        <v>7.7309880256652832</v>
      </c>
      <c r="E2991">
        <v>4.711860179901123</v>
      </c>
      <c r="F2991">
        <v>0.60947698354721069</v>
      </c>
      <c r="G2991">
        <v>4.8474998474121094</v>
      </c>
      <c r="H2991">
        <v>0</v>
      </c>
      <c r="I2991">
        <v>5</v>
      </c>
      <c r="J2991">
        <v>1149</v>
      </c>
    </row>
    <row r="2992" spans="1:10" x14ac:dyDescent="0.25">
      <c r="A2992">
        <v>6296</v>
      </c>
      <c r="B2992" t="str">
        <v>Madhuveer Com</v>
      </c>
      <c r="C2992">
        <v>114.32384500000001</v>
      </c>
      <c r="D2992">
        <v>86.973381042480469</v>
      </c>
      <c r="E2992">
        <v>84.854782104492188</v>
      </c>
      <c r="F2992">
        <v>0.97564101219177246</v>
      </c>
      <c r="G2992">
        <v>217.25</v>
      </c>
      <c r="H2992">
        <v>5.000000074505806E-2</v>
      </c>
      <c r="I2992">
        <v>514.09002685546875</v>
      </c>
      <c r="J2992">
        <v>747</v>
      </c>
    </row>
    <row r="2993" spans="1:10" x14ac:dyDescent="0.25">
      <c r="A2993">
        <v>24501</v>
      </c>
      <c r="B2993" t="str">
        <v>Mahaveer Infoway</v>
      </c>
      <c r="C2993">
        <v>21.594830999999999</v>
      </c>
      <c r="D2993">
        <v>6.7690777778625488</v>
      </c>
      <c r="E2993">
        <v>2.6025409698486328</v>
      </c>
      <c r="F2993">
        <v>0.3844749927520752</v>
      </c>
      <c r="G2993">
        <v>8.130000114440918</v>
      </c>
      <c r="H2993">
        <v>0.37000000476837158</v>
      </c>
      <c r="I2993">
        <v>4.6100001335144043</v>
      </c>
      <c r="J2993">
        <v>984</v>
      </c>
    </row>
    <row r="2994" spans="1:10" x14ac:dyDescent="0.25">
      <c r="A2994">
        <v>6631</v>
      </c>
      <c r="B2994" t="str">
        <v>Natural Biocon</v>
      </c>
      <c r="C2994">
        <v>0.65009499999999998</v>
      </c>
      <c r="D2994">
        <v>11.153562545776367</v>
      </c>
      <c r="E2994">
        <v>5.2614359855651855</v>
      </c>
      <c r="F2994">
        <v>0.47172701358795166</v>
      </c>
      <c r="G2994">
        <v>12.920000076293945</v>
      </c>
      <c r="H2994">
        <v>9.9999997764825821E-3</v>
      </c>
      <c r="I2994">
        <v>34.5</v>
      </c>
      <c r="J2994">
        <v>976</v>
      </c>
    </row>
    <row r="2995" spans="1:10" x14ac:dyDescent="0.25">
      <c r="A2995">
        <v>6211</v>
      </c>
      <c r="B2995" t="str">
        <v>Parshwanath Corp</v>
      </c>
      <c r="C2995">
        <v>42.343826999999997</v>
      </c>
      <c r="D2995">
        <v>55.396560668945313</v>
      </c>
      <c r="E2995">
        <v>40.271518707275391</v>
      </c>
      <c r="F2995">
        <v>0.72696799039840698</v>
      </c>
      <c r="G2995">
        <v>116</v>
      </c>
      <c r="H2995">
        <v>1.9999999552965164E-2</v>
      </c>
      <c r="I2995">
        <v>36.330001831054688</v>
      </c>
      <c r="J2995">
        <v>656</v>
      </c>
    </row>
    <row r="2996" spans="1:10" x14ac:dyDescent="0.25">
      <c r="A2996">
        <v>6058</v>
      </c>
      <c r="B2996" t="str">
        <v>Rander Corpn.</v>
      </c>
      <c r="C2996">
        <v>-1.670825</v>
      </c>
      <c r="D2996">
        <v>8.5913553237915039</v>
      </c>
      <c r="E2996">
        <v>2.450131893157959</v>
      </c>
      <c r="F2996">
        <v>0.28518599271774292</v>
      </c>
      <c r="G2996">
        <v>10.614999771118164</v>
      </c>
      <c r="H2996">
        <v>9.9999997764825821E-3</v>
      </c>
      <c r="I2996">
        <v>13.140000343322754</v>
      </c>
      <c r="J2996">
        <v>1024</v>
      </c>
    </row>
    <row r="2997" spans="1:10" x14ac:dyDescent="0.25">
      <c r="A2997">
        <v>54801</v>
      </c>
      <c r="B2997" t="str">
        <v>Sabrimala Indus.</v>
      </c>
      <c r="C2997">
        <v>9.6489609999999999</v>
      </c>
      <c r="D2997">
        <v>10.586167335510254</v>
      </c>
      <c r="E2997">
        <v>6.8788661956787109</v>
      </c>
      <c r="F2997">
        <v>0.64979797601699829</v>
      </c>
      <c r="G2997">
        <v>10.045000076293945</v>
      </c>
      <c r="H2997">
        <v>0</v>
      </c>
      <c r="I2997">
        <v>8.5</v>
      </c>
      <c r="J2997">
        <v>456</v>
      </c>
    </row>
    <row r="2998" spans="1:10" x14ac:dyDescent="0.25">
      <c r="A2998">
        <v>1460</v>
      </c>
      <c r="B2998" t="str">
        <v>Shricon Indus.</v>
      </c>
      <c r="C2998">
        <v>29.688894000000001</v>
      </c>
      <c r="D2998">
        <v>153.73762512207031</v>
      </c>
      <c r="E2998">
        <v>62.0743408203125</v>
      </c>
      <c r="F2998">
        <v>0.40376800298690796</v>
      </c>
      <c r="G2998">
        <v>155.96249389648438</v>
      </c>
      <c r="H2998">
        <v>0.12999999523162842</v>
      </c>
      <c r="I2998">
        <v>19.280000686645508</v>
      </c>
      <c r="J2998">
        <v>255</v>
      </c>
    </row>
    <row r="2999" spans="1:10" x14ac:dyDescent="0.25">
      <c r="A2999">
        <v>5453</v>
      </c>
      <c r="B2999" t="str">
        <v>Siddha Ventures</v>
      </c>
      <c r="C2999">
        <v>-9.9207059999999991</v>
      </c>
      <c r="D2999">
        <v>6.4471678733825684</v>
      </c>
      <c r="E2999">
        <v>3.6348459720611572</v>
      </c>
      <c r="F2999">
        <v>0.56379002332687378</v>
      </c>
      <c r="G2999">
        <v>7.309999942779541</v>
      </c>
      <c r="H2999">
        <v>0</v>
      </c>
      <c r="I2999">
        <v>7.0399999618530273</v>
      </c>
      <c r="J2999">
        <v>1251</v>
      </c>
    </row>
    <row r="3000" spans="1:10" x14ac:dyDescent="0.25">
      <c r="A3000">
        <v>20702</v>
      </c>
      <c r="B3000" t="str">
        <v>Southern Infosys</v>
      </c>
      <c r="C3000">
        <v>28.147729000000002</v>
      </c>
      <c r="D3000">
        <v>18.537939071655273</v>
      </c>
      <c r="E3000">
        <v>4.9082159996032715</v>
      </c>
      <c r="F3000">
        <v>0.26476600766181946</v>
      </c>
      <c r="G3000">
        <v>22.614999771118164</v>
      </c>
      <c r="H3000">
        <v>0</v>
      </c>
      <c r="I3000">
        <v>11.539999961853027</v>
      </c>
      <c r="J3000">
        <v>1192</v>
      </c>
    </row>
    <row r="3001" spans="1:10" x14ac:dyDescent="0.25">
      <c r="A3001">
        <v>13454</v>
      </c>
      <c r="B3001" t="str">
        <v>Suvidha Infra.</v>
      </c>
      <c r="C3001">
        <v>1.138865</v>
      </c>
      <c r="D3001">
        <v>15.471641540527344</v>
      </c>
      <c r="E3001">
        <v>4.8902721405029297</v>
      </c>
      <c r="F3001">
        <v>0.3160800039768219</v>
      </c>
      <c r="G3001">
        <v>21.190000534057617</v>
      </c>
      <c r="H3001">
        <v>0</v>
      </c>
      <c r="I3001">
        <v>18.850000381469727</v>
      </c>
      <c r="J3001">
        <v>175</v>
      </c>
    </row>
    <row r="3002" spans="1:10" x14ac:dyDescent="0.25">
      <c r="A3002">
        <v>6071</v>
      </c>
      <c r="B3002" t="str">
        <v>Tradewell Hold</v>
      </c>
      <c r="C3002">
        <v>1.0336510000000001</v>
      </c>
      <c r="D3002">
        <v>53.648685455322266</v>
      </c>
      <c r="E3002">
        <v>21.164236068725586</v>
      </c>
      <c r="F3002">
        <v>0.39449700713157654</v>
      </c>
      <c r="G3002">
        <v>60.709999084472656</v>
      </c>
      <c r="H3002">
        <v>0.30000001192092896</v>
      </c>
      <c r="I3002">
        <v>18.209999084472656</v>
      </c>
      <c r="J3002">
        <v>412</v>
      </c>
    </row>
    <row r="3003" spans="1:10" x14ac:dyDescent="0.25">
      <c r="A3003">
        <v>37383</v>
      </c>
      <c r="B3003" t="str">
        <v>West Leisure</v>
      </c>
      <c r="C3003">
        <v>18.465595</v>
      </c>
      <c r="D3003">
        <v>218.66598510742188</v>
      </c>
      <c r="E3003">
        <v>171.5294189453125</v>
      </c>
      <c r="F3003">
        <v>0.78443598747253418</v>
      </c>
      <c r="G3003">
        <v>172.82499694824219</v>
      </c>
      <c r="H3003">
        <v>0</v>
      </c>
      <c r="I3003">
        <v>51.909999847412109</v>
      </c>
      <c r="J3003">
        <v>839</v>
      </c>
    </row>
    <row r="3004" spans="1:10" x14ac:dyDescent="0.25">
      <c r="A3004">
        <v>7962</v>
      </c>
      <c r="B3004" t="str">
        <v>AVI Polymers</v>
      </c>
      <c r="C3004">
        <v>23.560656000000002</v>
      </c>
      <c r="D3004">
        <v>19.82575798034668</v>
      </c>
      <c r="E3004">
        <v>11.127037048339844</v>
      </c>
      <c r="F3004">
        <v>0.56124097108840942</v>
      </c>
      <c r="G3004">
        <v>15.050000190734863</v>
      </c>
      <c r="H3004">
        <v>7.9999998211860657E-2</v>
      </c>
      <c r="I3004">
        <v>6.2199997901916504</v>
      </c>
      <c r="J3004">
        <v>1036</v>
      </c>
    </row>
    <row r="3005" spans="1:10" x14ac:dyDescent="0.25">
      <c r="A3005">
        <v>4663</v>
      </c>
      <c r="B3005" t="str">
        <v>Avasara Finance</v>
      </c>
      <c r="C3005">
        <v>3.5116239999999999</v>
      </c>
      <c r="D3005">
        <v>16.13560676574707</v>
      </c>
      <c r="E3005">
        <v>7.5432782173156738</v>
      </c>
      <c r="F3005">
        <v>0.46749299764633179</v>
      </c>
      <c r="G3005">
        <v>32.090000152587891</v>
      </c>
      <c r="H3005">
        <v>0</v>
      </c>
      <c r="I3005">
        <v>16.459999084472656</v>
      </c>
      <c r="J3005">
        <v>338</v>
      </c>
    </row>
    <row r="3006" spans="1:10" x14ac:dyDescent="0.25">
      <c r="A3006">
        <v>13584</v>
      </c>
      <c r="B3006" t="str">
        <v>Deep Diamond</v>
      </c>
      <c r="C3006">
        <v>30.264391</v>
      </c>
      <c r="D3006">
        <v>6.4810729026794434</v>
      </c>
      <c r="E3006">
        <v>4.2522759437561035</v>
      </c>
      <c r="F3006">
        <v>0.65610700845718384</v>
      </c>
      <c r="G3006">
        <v>4.5475001335144043</v>
      </c>
      <c r="H3006">
        <v>0.15999999642372131</v>
      </c>
      <c r="I3006">
        <v>14.460000038146973</v>
      </c>
      <c r="J3006">
        <v>939</v>
      </c>
    </row>
    <row r="3007" spans="1:10" x14ac:dyDescent="0.25">
      <c r="A3007">
        <v>14414</v>
      </c>
      <c r="B3007" t="str">
        <v>F Mec Intl. Fin.</v>
      </c>
      <c r="C3007">
        <v>74.835583999999997</v>
      </c>
      <c r="D3007">
        <v>82.005668640136719</v>
      </c>
      <c r="E3007">
        <v>29.539993286132813</v>
      </c>
      <c r="F3007">
        <v>0.36021900177001953</v>
      </c>
      <c r="G3007">
        <v>108.94999694824219</v>
      </c>
      <c r="H3007">
        <v>0.23000000417232513</v>
      </c>
      <c r="I3007">
        <v>97.80999755859375</v>
      </c>
      <c r="J3007">
        <v>490</v>
      </c>
    </row>
    <row r="3008" spans="1:10" x14ac:dyDescent="0.25">
      <c r="A3008">
        <v>1751</v>
      </c>
      <c r="B3008" t="str">
        <v>Ganon Products</v>
      </c>
      <c r="C3008">
        <v>5.4241159999999997</v>
      </c>
      <c r="D3008">
        <v>10.381503105163574</v>
      </c>
      <c r="E3008">
        <v>3.4823870658874512</v>
      </c>
      <c r="F3008">
        <v>0.33544200658798218</v>
      </c>
      <c r="G3008">
        <v>14.314999580383301</v>
      </c>
      <c r="H3008">
        <v>0</v>
      </c>
      <c r="I3008">
        <v>13.319999694824219</v>
      </c>
      <c r="J3008">
        <v>504</v>
      </c>
    </row>
    <row r="3009" spans="1:10" x14ac:dyDescent="0.25">
      <c r="A3009">
        <v>14672</v>
      </c>
      <c r="B3009" t="str">
        <v>Innocorp</v>
      </c>
      <c r="C3009">
        <v>19.477698</v>
      </c>
      <c r="D3009">
        <v>5.8052678108215332</v>
      </c>
      <c r="E3009">
        <v>2.234921932220459</v>
      </c>
      <c r="F3009">
        <v>0.38498198986053467</v>
      </c>
      <c r="G3009">
        <v>5.054999828338623</v>
      </c>
      <c r="H3009">
        <v>0</v>
      </c>
      <c r="I3009">
        <v>3.9800000190734863</v>
      </c>
      <c r="J3009">
        <v>1008</v>
      </c>
    </row>
    <row r="3010" spans="1:10" x14ac:dyDescent="0.25">
      <c r="A3010">
        <v>7183</v>
      </c>
      <c r="B3010" t="str">
        <v>JSL Industries</v>
      </c>
      <c r="C3010">
        <v>61.417496</v>
      </c>
      <c r="D3010">
        <v>726.77447509765625</v>
      </c>
      <c r="E3010">
        <v>694.1202392578125</v>
      </c>
      <c r="F3010">
        <v>0.95507001876831055</v>
      </c>
      <c r="G3010">
        <v>1471.4625244140625</v>
      </c>
      <c r="H3010">
        <v>7.0000000298023224E-2</v>
      </c>
      <c r="I3010">
        <v>175.00999450683594</v>
      </c>
      <c r="J3010">
        <v>1061</v>
      </c>
    </row>
    <row r="3011" spans="1:10" x14ac:dyDescent="0.25">
      <c r="A3011">
        <v>15658</v>
      </c>
      <c r="B3011" t="str">
        <v>Lexoraa Ind</v>
      </c>
      <c r="C3011">
        <v>26.880927</v>
      </c>
      <c r="D3011">
        <v>15.99177360534668</v>
      </c>
      <c r="E3011">
        <v>8.2863283157348633</v>
      </c>
      <c r="F3011">
        <v>0.51816201210021973</v>
      </c>
      <c r="G3011">
        <v>14.899999618530273</v>
      </c>
      <c r="H3011">
        <v>0</v>
      </c>
      <c r="I3011">
        <v>5.809999942779541</v>
      </c>
      <c r="J3011">
        <v>599</v>
      </c>
    </row>
    <row r="3012" spans="1:10" x14ac:dyDescent="0.25">
      <c r="A3012">
        <v>2530</v>
      </c>
      <c r="B3012" t="str">
        <v>Millen. Online</v>
      </c>
      <c r="C3012">
        <v>22.693542999999998</v>
      </c>
      <c r="D3012">
        <v>2.1009559631347656</v>
      </c>
      <c r="E3012">
        <v>0.67475700378417969</v>
      </c>
      <c r="F3012">
        <v>0.3211669921875</v>
      </c>
      <c r="G3012">
        <v>2.1775000095367432</v>
      </c>
      <c r="H3012">
        <v>0</v>
      </c>
      <c r="I3012">
        <v>11</v>
      </c>
      <c r="J3012">
        <v>1065</v>
      </c>
    </row>
    <row r="3013" spans="1:10" x14ac:dyDescent="0.25">
      <c r="A3013">
        <v>6469</v>
      </c>
      <c r="B3013" t="str">
        <v>Padam Cotton</v>
      </c>
      <c r="C3013">
        <v>54.168348000000002</v>
      </c>
      <c r="D3013">
        <v>23.827293395996094</v>
      </c>
      <c r="E3013">
        <v>31.533086776733398</v>
      </c>
      <c r="F3013">
        <v>1.3234020471572876</v>
      </c>
      <c r="G3013">
        <v>41.275001525878906</v>
      </c>
      <c r="H3013">
        <v>0</v>
      </c>
      <c r="I3013">
        <v>52.740001678466797</v>
      </c>
      <c r="J3013">
        <v>765</v>
      </c>
    </row>
    <row r="3014" spans="1:10" x14ac:dyDescent="0.25">
      <c r="A3014">
        <v>7213</v>
      </c>
      <c r="B3014" t="str">
        <v>Scan Projects</v>
      </c>
      <c r="C3014">
        <v>68.369097999999994</v>
      </c>
      <c r="D3014">
        <v>62.177276611328125</v>
      </c>
      <c r="E3014">
        <v>35.256900787353516</v>
      </c>
      <c r="F3014">
        <v>0.56703799962997437</v>
      </c>
      <c r="G3014">
        <v>82.080001831054688</v>
      </c>
      <c r="H3014">
        <v>1.9999999552965164E-2</v>
      </c>
      <c r="I3014">
        <v>22.600000381469727</v>
      </c>
      <c r="J3014">
        <v>410</v>
      </c>
    </row>
    <row r="3015" spans="1:10" x14ac:dyDescent="0.25">
      <c r="A3015">
        <v>6503</v>
      </c>
      <c r="B3015" t="str">
        <v>Shree Mfg. Co.</v>
      </c>
      <c r="C3015">
        <v>20.022597000000001</v>
      </c>
      <c r="D3015">
        <v>9.3210964202880859</v>
      </c>
      <c r="E3015">
        <v>3.2280290126800537</v>
      </c>
      <c r="F3015">
        <v>0.34631401300430298</v>
      </c>
      <c r="G3015">
        <v>12.329999923706055</v>
      </c>
      <c r="H3015">
        <v>0</v>
      </c>
      <c r="I3015">
        <v>10.229999542236328</v>
      </c>
      <c r="J3015">
        <v>513</v>
      </c>
    </row>
    <row r="3016" spans="1:10" x14ac:dyDescent="0.25">
      <c r="A3016">
        <v>6742</v>
      </c>
      <c r="B3016" t="str">
        <v>Shukra Bullions</v>
      </c>
      <c r="C3016">
        <v>0.71993700000000005</v>
      </c>
      <c r="D3016">
        <v>19.611103057861328</v>
      </c>
      <c r="E3016">
        <v>7.6632509231567383</v>
      </c>
      <c r="F3016">
        <v>0.39076098799705505</v>
      </c>
      <c r="G3016">
        <v>18.450000762939453</v>
      </c>
      <c r="H3016">
        <v>0</v>
      </c>
      <c r="I3016">
        <v>9.25</v>
      </c>
      <c r="J3016">
        <v>588</v>
      </c>
    </row>
    <row r="3017" spans="1:10" x14ac:dyDescent="0.25">
      <c r="A3017">
        <v>16643</v>
      </c>
      <c r="B3017" t="str">
        <v>Sofcom Systems</v>
      </c>
      <c r="C3017">
        <v>35.866163999999998</v>
      </c>
      <c r="D3017">
        <v>52.527812957763672</v>
      </c>
      <c r="E3017">
        <v>23.394250869750977</v>
      </c>
      <c r="F3017">
        <v>0.44536900520324707</v>
      </c>
      <c r="G3017">
        <v>82.360000610351563</v>
      </c>
      <c r="H3017">
        <v>0</v>
      </c>
      <c r="I3017">
        <v>203.05000305175781</v>
      </c>
      <c r="J3017">
        <v>844</v>
      </c>
    </row>
    <row r="3018" spans="1:10" x14ac:dyDescent="0.25">
      <c r="A3018">
        <v>1589</v>
      </c>
      <c r="B3018" t="str">
        <v>United Interacti</v>
      </c>
      <c r="C3018">
        <v>47.731762000000003</v>
      </c>
      <c r="D3018">
        <v>56.661178588867188</v>
      </c>
      <c r="E3018">
        <v>29.169721603393555</v>
      </c>
      <c r="F3018">
        <v>0.51481002569198608</v>
      </c>
      <c r="G3018">
        <v>107.02749633789063</v>
      </c>
      <c r="H3018">
        <v>0</v>
      </c>
      <c r="I3018">
        <v>18.25</v>
      </c>
      <c r="J3018">
        <v>759</v>
      </c>
    </row>
    <row r="3019" spans="1:10" x14ac:dyDescent="0.25">
      <c r="A3019">
        <v>33370</v>
      </c>
      <c r="B3019" t="str">
        <v>AAR Commercial</v>
      </c>
      <c r="C3019">
        <v>28.421538999999999</v>
      </c>
      <c r="D3019">
        <v>5.8125</v>
      </c>
      <c r="E3019">
        <v>0.13841399550437927</v>
      </c>
      <c r="F3019">
        <v>2.3812999948859215E-2</v>
      </c>
      <c r="G3019">
        <v>6.0199999809265137</v>
      </c>
      <c r="H3019">
        <v>0</v>
      </c>
      <c r="I3019">
        <v>6.0300002098083496</v>
      </c>
      <c r="J3019">
        <v>4</v>
      </c>
    </row>
    <row r="3020" spans="1:10" x14ac:dyDescent="0.25">
      <c r="A3020">
        <v>6453</v>
      </c>
      <c r="B3020" t="str">
        <v>ANS Industries</v>
      </c>
      <c r="C3020">
        <v>-4.1286019999999999</v>
      </c>
      <c r="D3020">
        <v>11.226851463317871</v>
      </c>
      <c r="E3020">
        <v>3.042694091796875</v>
      </c>
      <c r="F3020">
        <v>0.27101901173591614</v>
      </c>
      <c r="G3020">
        <v>19.190000534057617</v>
      </c>
      <c r="H3020">
        <v>0.30000001192092896</v>
      </c>
      <c r="I3020">
        <v>17.760000228881836</v>
      </c>
      <c r="J3020">
        <v>733</v>
      </c>
    </row>
    <row r="3021" spans="1:10" x14ac:dyDescent="0.25">
      <c r="A3021">
        <v>73396</v>
      </c>
      <c r="B3021" t="str">
        <v>Aarti Surfactant</v>
      </c>
      <c r="C3021">
        <v>2.7760220000000002</v>
      </c>
      <c r="D3021">
        <v>776.8416748046875</v>
      </c>
      <c r="E3021">
        <v>286.89111328125</v>
      </c>
      <c r="F3021">
        <v>0.36930400133132935</v>
      </c>
      <c r="G3021">
        <v>557.3499755859375</v>
      </c>
      <c r="H3021">
        <v>0.47999998927116394</v>
      </c>
      <c r="I3021">
        <v>457.69000244140625</v>
      </c>
      <c r="J3021">
        <v>1227</v>
      </c>
    </row>
    <row r="3022" spans="1:10" x14ac:dyDescent="0.25">
      <c r="A3022">
        <v>4555</v>
      </c>
      <c r="B3022" t="str">
        <v>Adcon Capital</v>
      </c>
      <c r="C3022">
        <v>8.3564620000000005</v>
      </c>
      <c r="D3022">
        <v>1.0938409566879272</v>
      </c>
      <c r="E3022">
        <v>0.74804598093032837</v>
      </c>
      <c r="F3022">
        <v>0.68387097120285034</v>
      </c>
      <c r="G3022">
        <v>0.72500002384185791</v>
      </c>
      <c r="H3022">
        <v>0</v>
      </c>
      <c r="I3022">
        <v>14.279999732971191</v>
      </c>
      <c r="J3022">
        <v>1059</v>
      </c>
    </row>
    <row r="3023" spans="1:10" x14ac:dyDescent="0.25">
      <c r="A3023">
        <v>5097</v>
      </c>
      <c r="B3023" t="str">
        <v>Anirit Ventures</v>
      </c>
      <c r="C3023">
        <v>60.024624000000003</v>
      </c>
      <c r="D3023">
        <v>63.492374420166016</v>
      </c>
      <c r="E3023">
        <v>53.460723876953125</v>
      </c>
      <c r="F3023">
        <v>0.84200197458267212</v>
      </c>
      <c r="G3023">
        <v>103.56999969482422</v>
      </c>
      <c r="H3023">
        <v>0</v>
      </c>
      <c r="I3023">
        <v>62.119998931884766</v>
      </c>
      <c r="J3023">
        <v>404</v>
      </c>
    </row>
    <row r="3024" spans="1:10" x14ac:dyDescent="0.25">
      <c r="A3024">
        <v>4521</v>
      </c>
      <c r="B3024" t="str">
        <v>Asahi Industries</v>
      </c>
      <c r="C3024">
        <v>17.067900000000002</v>
      </c>
      <c r="D3024">
        <v>3.9048280715942383</v>
      </c>
      <c r="E3024">
        <v>0.72886401414871216</v>
      </c>
      <c r="F3024">
        <v>0.18665699660778046</v>
      </c>
      <c r="G3024">
        <v>5.0900001525878906</v>
      </c>
      <c r="H3024">
        <v>0</v>
      </c>
      <c r="I3024">
        <v>33.819999694824219</v>
      </c>
      <c r="J3024">
        <v>58</v>
      </c>
    </row>
    <row r="3025" spans="1:10" x14ac:dyDescent="0.25">
      <c r="A3025">
        <v>6440</v>
      </c>
      <c r="B3025" t="str">
        <v>Ashtasidhhi Ind</v>
      </c>
      <c r="C3025">
        <v>26.757546000000001</v>
      </c>
      <c r="D3025">
        <v>10.481880187988281</v>
      </c>
      <c r="E3025">
        <v>5.6800260543823242</v>
      </c>
      <c r="F3025">
        <v>0.54189002513885498</v>
      </c>
      <c r="G3025">
        <v>12.869999885559082</v>
      </c>
      <c r="H3025">
        <v>0</v>
      </c>
      <c r="I3025">
        <v>9.6700000762939453</v>
      </c>
      <c r="J3025">
        <v>1005</v>
      </c>
    </row>
    <row r="3026" spans="1:10" x14ac:dyDescent="0.25">
      <c r="A3026">
        <v>6221</v>
      </c>
      <c r="B3026" t="str">
        <v>Available Fin.</v>
      </c>
      <c r="C3026">
        <v>76.870172999999994</v>
      </c>
      <c r="D3026">
        <v>156.38938903808594</v>
      </c>
      <c r="E3026">
        <v>96.083061218261719</v>
      </c>
      <c r="F3026">
        <v>0.6143839955329895</v>
      </c>
      <c r="G3026">
        <v>194.5625</v>
      </c>
      <c r="H3026">
        <v>0</v>
      </c>
      <c r="I3026">
        <v>198.10000610351563</v>
      </c>
      <c r="J3026">
        <v>1175</v>
      </c>
    </row>
    <row r="3027" spans="1:10" x14ac:dyDescent="0.25">
      <c r="A3027">
        <v>1723</v>
      </c>
      <c r="B3027" t="str">
        <v>B &amp; A Packaging</v>
      </c>
      <c r="C3027">
        <v>87.037789000000004</v>
      </c>
      <c r="D3027">
        <v>227.69807434082031</v>
      </c>
      <c r="E3027">
        <v>82.94073486328125</v>
      </c>
      <c r="F3027">
        <v>0.36425799131393433</v>
      </c>
      <c r="G3027">
        <v>254</v>
      </c>
      <c r="H3027">
        <v>0.10000000149011612</v>
      </c>
      <c r="I3027">
        <v>124</v>
      </c>
      <c r="J3027">
        <v>1055</v>
      </c>
    </row>
    <row r="3028" spans="1:10" x14ac:dyDescent="0.25">
      <c r="A3028">
        <v>3138</v>
      </c>
      <c r="B3028" t="str">
        <v>BN Holdings</v>
      </c>
      <c r="C3028">
        <v>51.692121</v>
      </c>
      <c r="D3028">
        <v>85.518013000488281</v>
      </c>
      <c r="E3028">
        <v>73.199798583984375</v>
      </c>
      <c r="F3028">
        <v>0.85595798492431641</v>
      </c>
      <c r="G3028">
        <v>204.51249694824219</v>
      </c>
      <c r="H3028">
        <v>1.9999999552965164E-2</v>
      </c>
      <c r="I3028">
        <v>1995.06005859375</v>
      </c>
      <c r="J3028">
        <v>760</v>
      </c>
    </row>
    <row r="3029" spans="1:10" x14ac:dyDescent="0.25">
      <c r="A3029">
        <v>74587</v>
      </c>
      <c r="B3029" t="str">
        <v>Bonlon Industrie</v>
      </c>
      <c r="C3029">
        <v>8.4593430000000005</v>
      </c>
      <c r="D3029">
        <v>41.313957214355469</v>
      </c>
      <c r="E3029">
        <v>17.362279891967773</v>
      </c>
      <c r="F3029">
        <v>0.4202519953250885</v>
      </c>
      <c r="G3029">
        <v>32.132499694824219</v>
      </c>
      <c r="H3029">
        <v>0.28999999165534973</v>
      </c>
      <c r="I3029">
        <v>45.060001373291016</v>
      </c>
      <c r="J3029">
        <v>799</v>
      </c>
    </row>
    <row r="3030" spans="1:10" x14ac:dyDescent="0.25">
      <c r="A3030">
        <v>73024</v>
      </c>
      <c r="B3030" t="str">
        <v>Borosil</v>
      </c>
      <c r="C3030">
        <v>15.079243999999999</v>
      </c>
      <c r="D3030">
        <v>288.33517456054688</v>
      </c>
      <c r="E3030">
        <v>90.666877746582031</v>
      </c>
      <c r="F3030">
        <v>0.31444999575614929</v>
      </c>
      <c r="G3030">
        <v>342.95001220703125</v>
      </c>
      <c r="H3030">
        <v>0.23999999463558197</v>
      </c>
      <c r="I3030">
        <v>4070.60009765625</v>
      </c>
      <c r="J3030">
        <v>1221</v>
      </c>
    </row>
    <row r="3031" spans="1:10" x14ac:dyDescent="0.25">
      <c r="A3031">
        <v>1800</v>
      </c>
      <c r="B3031" t="str">
        <v>Classic Leasing</v>
      </c>
      <c r="C3031">
        <v>47.006701999999997</v>
      </c>
      <c r="D3031">
        <v>17.771930694580078</v>
      </c>
      <c r="E3031">
        <v>8.3602504730224609</v>
      </c>
      <c r="F3031">
        <v>0.47041898965835571</v>
      </c>
      <c r="G3031">
        <v>26.899999618530273</v>
      </c>
      <c r="H3031">
        <v>0</v>
      </c>
      <c r="I3031">
        <v>8.0699996948242188</v>
      </c>
      <c r="J3031">
        <v>913</v>
      </c>
    </row>
    <row r="3032" spans="1:10" x14ac:dyDescent="0.25">
      <c r="A3032">
        <v>54858</v>
      </c>
      <c r="B3032" t="str">
        <v>Decorous Investm</v>
      </c>
      <c r="C3032">
        <v>-4.5692089999999999</v>
      </c>
      <c r="D3032">
        <v>15.428362846374512</v>
      </c>
      <c r="E3032">
        <v>3.7945740222930908</v>
      </c>
      <c r="F3032">
        <v>0.24594800174236298</v>
      </c>
      <c r="G3032">
        <v>11.345000267028809</v>
      </c>
      <c r="H3032">
        <v>0</v>
      </c>
      <c r="I3032">
        <v>3.9000000953674316</v>
      </c>
      <c r="J3032">
        <v>904</v>
      </c>
    </row>
    <row r="3033" spans="1:10" x14ac:dyDescent="0.25">
      <c r="A3033">
        <v>3893</v>
      </c>
      <c r="B3033" t="str">
        <v>Eco Hotels</v>
      </c>
      <c r="C3033">
        <v>10.880853</v>
      </c>
      <c r="D3033">
        <v>29.819908142089844</v>
      </c>
      <c r="E3033">
        <v>12.348734855651855</v>
      </c>
      <c r="F3033">
        <v>0.41411000490188599</v>
      </c>
      <c r="G3033">
        <v>17.717500686645508</v>
      </c>
      <c r="H3033">
        <v>0</v>
      </c>
      <c r="I3033">
        <v>88.230003356933594</v>
      </c>
      <c r="J3033">
        <v>576</v>
      </c>
    </row>
    <row r="3034" spans="1:10" x14ac:dyDescent="0.25">
      <c r="A3034">
        <v>24463</v>
      </c>
      <c r="B3034" t="str">
        <v>Garbi Finvest</v>
      </c>
      <c r="C3034">
        <v>-13.969353</v>
      </c>
      <c r="D3034">
        <v>25.406200408935547</v>
      </c>
      <c r="E3034">
        <v>9.7979660034179688</v>
      </c>
      <c r="F3034">
        <v>0.38565298914909363</v>
      </c>
      <c r="G3034">
        <v>10.407500267028809</v>
      </c>
      <c r="H3034">
        <v>0</v>
      </c>
      <c r="I3034">
        <v>12.210000038146973</v>
      </c>
      <c r="J3034">
        <v>774</v>
      </c>
    </row>
    <row r="3035" spans="1:10" x14ac:dyDescent="0.25">
      <c r="A3035">
        <v>6295</v>
      </c>
      <c r="B3035" t="str">
        <v>High Street Fila</v>
      </c>
      <c r="C3035">
        <v>59.541716999999998</v>
      </c>
      <c r="D3035">
        <v>59.612308502197266</v>
      </c>
      <c r="E3035">
        <v>47.44940185546875</v>
      </c>
      <c r="F3035">
        <v>0.79596602916717529</v>
      </c>
      <c r="G3035">
        <v>172.89999389648438</v>
      </c>
      <c r="H3035">
        <v>0</v>
      </c>
      <c r="I3035">
        <v>40.520000457763672</v>
      </c>
      <c r="J3035">
        <v>550</v>
      </c>
    </row>
    <row r="3036" spans="1:10" x14ac:dyDescent="0.25">
      <c r="A3036">
        <v>4965</v>
      </c>
      <c r="B3036" t="str">
        <v>Integ. Proteins</v>
      </c>
      <c r="C3036">
        <v>62.950749000000002</v>
      </c>
      <c r="D3036">
        <v>22.440464019775391</v>
      </c>
      <c r="E3036">
        <v>17.565925598144531</v>
      </c>
      <c r="F3036">
        <v>0.78277897834777832</v>
      </c>
      <c r="G3036">
        <v>43.5</v>
      </c>
      <c r="H3036">
        <v>3.9999999105930328E-2</v>
      </c>
      <c r="I3036">
        <v>15.989999771118164</v>
      </c>
      <c r="J3036">
        <v>765</v>
      </c>
    </row>
    <row r="3037" spans="1:10" x14ac:dyDescent="0.25">
      <c r="A3037">
        <v>7300</v>
      </c>
      <c r="B3037" t="str">
        <v>Jain Marmo Inds</v>
      </c>
      <c r="C3037">
        <v>15.798377</v>
      </c>
      <c r="D3037">
        <v>22.108743667602539</v>
      </c>
      <c r="E3037">
        <v>5.188014030456543</v>
      </c>
      <c r="F3037">
        <v>0.23465900123119354</v>
      </c>
      <c r="G3037">
        <v>29.319999694824219</v>
      </c>
      <c r="H3037">
        <v>0.34000000357627869</v>
      </c>
      <c r="I3037">
        <v>9.1800003051757813</v>
      </c>
      <c r="J3037">
        <v>185</v>
      </c>
    </row>
    <row r="3038" spans="1:10" x14ac:dyDescent="0.25">
      <c r="A3038">
        <v>5733</v>
      </c>
      <c r="B3038" t="str">
        <v>Jainex Aamcol</v>
      </c>
      <c r="C3038">
        <v>28.863568000000001</v>
      </c>
      <c r="D3038">
        <v>142.11172485351563</v>
      </c>
      <c r="E3038">
        <v>46.619159698486328</v>
      </c>
      <c r="F3038">
        <v>0.32804599404335022</v>
      </c>
      <c r="G3038">
        <v>164.72500610351563</v>
      </c>
      <c r="H3038">
        <v>0.6600000262260437</v>
      </c>
      <c r="I3038">
        <v>24.75</v>
      </c>
      <c r="J3038">
        <v>953</v>
      </c>
    </row>
    <row r="3039" spans="1:10" x14ac:dyDescent="0.25">
      <c r="A3039">
        <v>6519</v>
      </c>
      <c r="B3039" t="str">
        <v>Khandelwal Extra</v>
      </c>
      <c r="C3039">
        <v>44.301302999999997</v>
      </c>
      <c r="D3039">
        <v>56.6761474609375</v>
      </c>
      <c r="E3039">
        <v>27.725831985473633</v>
      </c>
      <c r="F3039">
        <v>0.4891979992389679</v>
      </c>
      <c r="G3039">
        <v>78.792503356933594</v>
      </c>
      <c r="H3039">
        <v>0.2800000011920929</v>
      </c>
      <c r="I3039">
        <v>6.7300000190734863</v>
      </c>
      <c r="J3039">
        <v>947</v>
      </c>
    </row>
    <row r="3040" spans="1:10" x14ac:dyDescent="0.25">
      <c r="A3040">
        <v>5047</v>
      </c>
      <c r="B3040" t="str">
        <v>Kiran Syntex</v>
      </c>
      <c r="C3040">
        <v>14.879724</v>
      </c>
      <c r="D3040">
        <v>8.4135522842407227</v>
      </c>
      <c r="E3040">
        <v>3.3241519927978516</v>
      </c>
      <c r="F3040">
        <v>0.39509499073028564</v>
      </c>
      <c r="G3040">
        <v>8.9399995803833008</v>
      </c>
      <c r="H3040">
        <v>5.9999998658895493E-2</v>
      </c>
      <c r="I3040">
        <v>3.7999999523162842</v>
      </c>
      <c r="J3040">
        <v>898</v>
      </c>
    </row>
    <row r="3041" spans="1:10" x14ac:dyDescent="0.25">
      <c r="A3041">
        <v>5072</v>
      </c>
      <c r="B3041" t="str">
        <v>Manraj Hsg.Fin.</v>
      </c>
      <c r="C3041">
        <v>26.160267999999999</v>
      </c>
      <c r="D3041">
        <v>29.354515075683594</v>
      </c>
      <c r="E3041">
        <v>10.935623168945313</v>
      </c>
      <c r="F3041">
        <v>0.37253600358963013</v>
      </c>
      <c r="G3041">
        <v>56.467498779296875</v>
      </c>
      <c r="H3041">
        <v>0</v>
      </c>
      <c r="I3041">
        <v>28.5</v>
      </c>
      <c r="J3041">
        <v>229</v>
      </c>
    </row>
    <row r="3042" spans="1:10" x14ac:dyDescent="0.25">
      <c r="A3042">
        <v>384</v>
      </c>
      <c r="B3042" t="str">
        <v>Modern Insulator</v>
      </c>
      <c r="C3042">
        <v>77.901616000000004</v>
      </c>
      <c r="D3042">
        <v>72.276535034179688</v>
      </c>
      <c r="E3042">
        <v>39.023399353027344</v>
      </c>
      <c r="F3042">
        <v>0.53991800546646118</v>
      </c>
      <c r="G3042">
        <v>101.26249694824219</v>
      </c>
      <c r="H3042">
        <v>2.9999999329447746E-2</v>
      </c>
      <c r="I3042">
        <v>465.07000732421875</v>
      </c>
      <c r="J3042">
        <v>1217</v>
      </c>
    </row>
    <row r="3043" spans="1:10" x14ac:dyDescent="0.25">
      <c r="A3043">
        <v>1763</v>
      </c>
      <c r="B3043" t="str">
        <v>Munoth Capital</v>
      </c>
      <c r="C3043">
        <v>21.785958999999998</v>
      </c>
      <c r="D3043">
        <v>115.81134033203125</v>
      </c>
      <c r="E3043">
        <v>38.655132293701172</v>
      </c>
      <c r="F3043">
        <v>0.33377701044082642</v>
      </c>
      <c r="G3043">
        <v>169.94999694824219</v>
      </c>
      <c r="H3043">
        <v>2.9999999329447746E-2</v>
      </c>
      <c r="I3043">
        <v>155.77999877929688</v>
      </c>
      <c r="J3043">
        <v>223</v>
      </c>
    </row>
    <row r="3044" spans="1:10" x14ac:dyDescent="0.25">
      <c r="A3044">
        <v>3771</v>
      </c>
      <c r="B3044" t="str">
        <v>Narmada Macplast</v>
      </c>
      <c r="C3044">
        <v>92.960893999999996</v>
      </c>
      <c r="D3044">
        <v>39.981571197509766</v>
      </c>
      <c r="E3044">
        <v>52.236495971679688</v>
      </c>
      <c r="F3044">
        <v>1.3065140247344971</v>
      </c>
      <c r="G3044">
        <v>186</v>
      </c>
      <c r="H3044">
        <v>0.2199999988079071</v>
      </c>
      <c r="I3044">
        <v>67.209999084472656</v>
      </c>
      <c r="J3044">
        <v>685</v>
      </c>
    </row>
    <row r="3045" spans="1:10" x14ac:dyDescent="0.25">
      <c r="A3045">
        <v>5805</v>
      </c>
      <c r="B3045" t="str">
        <v>Nilachal Refract</v>
      </c>
      <c r="C3045">
        <v>-3.6404459999999998</v>
      </c>
      <c r="D3045">
        <v>42.510650634765625</v>
      </c>
      <c r="E3045">
        <v>9.6231937408447266</v>
      </c>
      <c r="F3045">
        <v>0.22637100517749786</v>
      </c>
      <c r="G3045">
        <v>39.240001678466797</v>
      </c>
      <c r="H3045">
        <v>0.56000000238418579</v>
      </c>
      <c r="I3045">
        <v>79.610000610351563</v>
      </c>
      <c r="J3045">
        <v>1007</v>
      </c>
    </row>
    <row r="3046" spans="1:10" x14ac:dyDescent="0.25">
      <c r="A3046">
        <v>7083</v>
      </c>
      <c r="B3046" t="str">
        <v>Northlink Fiscal</v>
      </c>
      <c r="C3046">
        <v>-0.10556699999999999</v>
      </c>
      <c r="D3046">
        <v>27.926921844482422</v>
      </c>
      <c r="E3046">
        <v>11.710005760192871</v>
      </c>
      <c r="F3046">
        <v>0.41930899024009705</v>
      </c>
      <c r="G3046">
        <v>28.75</v>
      </c>
      <c r="H3046">
        <v>0.10999999940395355</v>
      </c>
      <c r="I3046">
        <v>15.090000152587891</v>
      </c>
      <c r="J3046">
        <v>500</v>
      </c>
    </row>
    <row r="3047" spans="1:10" x14ac:dyDescent="0.25">
      <c r="A3047">
        <v>5307</v>
      </c>
      <c r="B3047" t="str">
        <v>Pithampur Poly</v>
      </c>
      <c r="C3047">
        <v>1.28712</v>
      </c>
      <c r="D3047">
        <v>11.365138053894043</v>
      </c>
      <c r="E3047">
        <v>2.4083321094512939</v>
      </c>
      <c r="F3047">
        <v>0.21190500259399414</v>
      </c>
      <c r="G3047">
        <v>12.069999694824219</v>
      </c>
      <c r="H3047">
        <v>0</v>
      </c>
      <c r="I3047">
        <v>5.880000114440918</v>
      </c>
      <c r="J3047">
        <v>54</v>
      </c>
    </row>
    <row r="3048" spans="1:10" x14ac:dyDescent="0.25">
      <c r="A3048">
        <v>1388</v>
      </c>
      <c r="B3048" t="str">
        <v>Prashant India</v>
      </c>
      <c r="C3048">
        <v>52.854928999999998</v>
      </c>
      <c r="D3048">
        <v>10.353405952453613</v>
      </c>
      <c r="E3048">
        <v>3.3419740200042725</v>
      </c>
      <c r="F3048">
        <v>0.3227899968624115</v>
      </c>
      <c r="G3048">
        <v>14.149999618530273</v>
      </c>
      <c r="H3048">
        <v>0</v>
      </c>
      <c r="I3048">
        <v>6</v>
      </c>
      <c r="J3048">
        <v>428</v>
      </c>
    </row>
    <row r="3049" spans="1:10" x14ac:dyDescent="0.25">
      <c r="A3049">
        <v>2232</v>
      </c>
      <c r="B3049" t="str">
        <v>RKD Agri</v>
      </c>
      <c r="C3049">
        <v>-8.2057760000000002</v>
      </c>
      <c r="D3049">
        <v>6.9774889945983887</v>
      </c>
      <c r="E3049">
        <v>1.8868019580841064</v>
      </c>
      <c r="F3049">
        <v>0.27041301131248474</v>
      </c>
      <c r="G3049">
        <v>7.315000057220459</v>
      </c>
      <c r="H3049">
        <v>0.94999998807907104</v>
      </c>
      <c r="I3049">
        <v>42.430000305175781</v>
      </c>
      <c r="J3049">
        <v>239</v>
      </c>
    </row>
    <row r="3050" spans="1:10" x14ac:dyDescent="0.25">
      <c r="A3050">
        <v>72633</v>
      </c>
      <c r="B3050" t="str">
        <v>Rossari Biotech</v>
      </c>
      <c r="C3050">
        <v>-1.5186120000000001</v>
      </c>
      <c r="D3050">
        <v>893.70489501953125</v>
      </c>
      <c r="E3050">
        <v>215.29043579101563</v>
      </c>
      <c r="F3050">
        <v>0.24089699983596802</v>
      </c>
      <c r="G3050">
        <v>668.125</v>
      </c>
      <c r="H3050">
        <v>5.9999998658895493E-2</v>
      </c>
      <c r="I3050">
        <v>3667.47998046875</v>
      </c>
      <c r="J3050">
        <v>1220</v>
      </c>
    </row>
    <row r="3051" spans="1:10" x14ac:dyDescent="0.25">
      <c r="A3051">
        <v>42587</v>
      </c>
      <c r="B3051" t="str">
        <v>SHRI NIWAS L&amp; F.</v>
      </c>
      <c r="C3051">
        <v>-14.91325</v>
      </c>
      <c r="D3051">
        <v>8.8079166412353516</v>
      </c>
      <c r="E3051">
        <v>3.4684898853302002</v>
      </c>
      <c r="F3051">
        <v>0.39379200339317322</v>
      </c>
      <c r="G3051">
        <v>10.824999809265137</v>
      </c>
      <c r="H3051">
        <v>3.9999999105930328E-2</v>
      </c>
      <c r="I3051">
        <v>26.799999237060547</v>
      </c>
      <c r="J3051">
        <v>198</v>
      </c>
    </row>
    <row r="3052" spans="1:10" x14ac:dyDescent="0.25">
      <c r="A3052">
        <v>6621</v>
      </c>
      <c r="B3052" t="str">
        <v>SW Investments</v>
      </c>
      <c r="C3052">
        <v>27.967265000000001</v>
      </c>
      <c r="D3052">
        <v>57.122547149658203</v>
      </c>
      <c r="E3052">
        <v>14.167505264282227</v>
      </c>
      <c r="F3052">
        <v>0.2480199933052063</v>
      </c>
      <c r="G3052">
        <v>86</v>
      </c>
      <c r="H3052">
        <v>0</v>
      </c>
      <c r="I3052">
        <v>7.7399997711181641</v>
      </c>
      <c r="J3052">
        <v>525</v>
      </c>
    </row>
    <row r="3053" spans="1:10" x14ac:dyDescent="0.25">
      <c r="A3053">
        <v>7276</v>
      </c>
      <c r="B3053" t="str">
        <v>Seshachal Tech.</v>
      </c>
      <c r="C3053">
        <v>2845.744158</v>
      </c>
      <c r="D3053">
        <v>2.1366660594940186</v>
      </c>
      <c r="E3053">
        <v>0.18293899297714233</v>
      </c>
      <c r="F3053">
        <v>8.56190025806427E-2</v>
      </c>
      <c r="G3053">
        <v>2.3900001049041748</v>
      </c>
      <c r="H3053">
        <v>0.34999999403953552</v>
      </c>
      <c r="I3053">
        <v>0.17000000178813934</v>
      </c>
      <c r="J3053">
        <v>6</v>
      </c>
    </row>
    <row r="3054" spans="1:10" x14ac:dyDescent="0.25">
      <c r="A3054">
        <v>7608</v>
      </c>
      <c r="B3054" t="str">
        <v>Sh. Kalyan Hold.</v>
      </c>
      <c r="C3054">
        <v>2.0294140000000001</v>
      </c>
      <c r="D3054">
        <v>3.0899999141693115</v>
      </c>
      <c r="E3054">
        <v>3.4641001373529434E-2</v>
      </c>
      <c r="F3054">
        <v>1.1211000382900238E-2</v>
      </c>
      <c r="G3054">
        <v>3.130000114440918</v>
      </c>
      <c r="H3054">
        <v>0.31999999284744263</v>
      </c>
      <c r="I3054">
        <v>3.119999885559082</v>
      </c>
      <c r="J3054">
        <v>3</v>
      </c>
    </row>
    <row r="3055" spans="1:10" x14ac:dyDescent="0.25">
      <c r="A3055">
        <v>1619</v>
      </c>
      <c r="B3055" t="str">
        <v>Sheraton Proper.</v>
      </c>
      <c r="C3055">
        <v>0</v>
      </c>
      <c r="D3055">
        <v>11.520000457763672</v>
      </c>
      <c r="E3055">
        <v>0</v>
      </c>
      <c r="F3055">
        <v>0</v>
      </c>
      <c r="G3055">
        <v>11.520000457763672</v>
      </c>
      <c r="H3055">
        <v>0</v>
      </c>
      <c r="I3055">
        <v>1.3799999952316284</v>
      </c>
      <c r="J3055">
        <v>1</v>
      </c>
    </row>
    <row r="3056" spans="1:10" x14ac:dyDescent="0.25">
      <c r="A3056">
        <v>3921</v>
      </c>
      <c r="B3056" t="str">
        <v>Ushakiran Fin.</v>
      </c>
      <c r="C3056">
        <v>45.189528000000003</v>
      </c>
      <c r="D3056">
        <v>23.043693542480469</v>
      </c>
      <c r="E3056">
        <v>12.437402725219727</v>
      </c>
      <c r="F3056">
        <v>0.53973102569580078</v>
      </c>
      <c r="G3056">
        <v>36.134998321533203</v>
      </c>
      <c r="H3056">
        <v>0</v>
      </c>
      <c r="I3056">
        <v>9.1800003051757813</v>
      </c>
      <c r="J3056">
        <v>1066</v>
      </c>
    </row>
    <row r="3057" spans="1:10" x14ac:dyDescent="0.25">
      <c r="A3057">
        <v>4774</v>
      </c>
      <c r="B3057" t="str">
        <v>Woodsvilla</v>
      </c>
      <c r="C3057">
        <v>32.200941999999998</v>
      </c>
      <c r="D3057">
        <v>7.6501760482788086</v>
      </c>
      <c r="E3057">
        <v>3.5206971168518066</v>
      </c>
      <c r="F3057">
        <v>0.46021100878715515</v>
      </c>
      <c r="G3057">
        <v>12.5</v>
      </c>
      <c r="H3057">
        <v>9.9999997764825821E-3</v>
      </c>
      <c r="I3057">
        <v>7.5199999809265137</v>
      </c>
      <c r="J3057">
        <v>57</v>
      </c>
    </row>
    <row r="3058" spans="1:10" x14ac:dyDescent="0.25">
      <c r="A3058">
        <v>45794</v>
      </c>
      <c r="B3058" t="str">
        <v>Adarsh Mercantil</v>
      </c>
      <c r="C3058">
        <v>19.838761000000002</v>
      </c>
      <c r="D3058">
        <v>9.7023801803588867</v>
      </c>
      <c r="E3058">
        <v>2.8765790462493896</v>
      </c>
      <c r="F3058">
        <v>0.29648199677467346</v>
      </c>
      <c r="G3058">
        <v>15.079999923706055</v>
      </c>
      <c r="H3058">
        <v>0.2800000011920929</v>
      </c>
      <c r="I3058">
        <v>5.5399999618530273</v>
      </c>
      <c r="J3058">
        <v>21</v>
      </c>
    </row>
    <row r="3059" spans="1:10" x14ac:dyDescent="0.25">
      <c r="A3059">
        <v>40592</v>
      </c>
      <c r="B3059" t="str">
        <v>Apex Cap. &amp; Fin.</v>
      </c>
      <c r="C3059">
        <v>0</v>
      </c>
      <c r="D3059">
        <v>46.799999237060547</v>
      </c>
      <c r="E3059">
        <v>0</v>
      </c>
      <c r="F3059">
        <v>0</v>
      </c>
      <c r="G3059">
        <v>46.799999237060547</v>
      </c>
      <c r="H3059">
        <v>0.61000001430511475</v>
      </c>
      <c r="I3059">
        <v>27</v>
      </c>
      <c r="J3059">
        <v>1</v>
      </c>
    </row>
    <row r="3060" spans="1:10" x14ac:dyDescent="0.25">
      <c r="A3060">
        <v>51532</v>
      </c>
      <c r="B3060" t="str">
        <v>Aryan Share</v>
      </c>
      <c r="C3060">
        <v>23.603926999999999</v>
      </c>
      <c r="D3060">
        <v>21.396032333374023</v>
      </c>
      <c r="E3060">
        <v>4.8233699798583984</v>
      </c>
      <c r="F3060">
        <v>0.22543300688266754</v>
      </c>
      <c r="G3060">
        <v>19.399999618530273</v>
      </c>
      <c r="H3060">
        <v>0</v>
      </c>
      <c r="I3060">
        <v>5.5500001907348633</v>
      </c>
      <c r="J3060">
        <v>460</v>
      </c>
    </row>
    <row r="3061" spans="1:10" x14ac:dyDescent="0.25">
      <c r="A3061">
        <v>7833</v>
      </c>
      <c r="B3061" t="str">
        <v>BFL Asset Finves</v>
      </c>
      <c r="C3061">
        <v>-35.284885000000003</v>
      </c>
      <c r="D3061">
        <v>41.037887573242188</v>
      </c>
      <c r="E3061">
        <v>49.429157257080078</v>
      </c>
      <c r="F3061">
        <v>1.204475998878479</v>
      </c>
      <c r="G3061">
        <v>13.822500228881836</v>
      </c>
      <c r="H3061">
        <v>0.23000000417232513</v>
      </c>
      <c r="I3061">
        <v>14.100000381469727</v>
      </c>
      <c r="J3061">
        <v>934</v>
      </c>
    </row>
    <row r="3062" spans="1:10" x14ac:dyDescent="0.25">
      <c r="A3062">
        <v>26084</v>
      </c>
      <c r="B3062" t="str">
        <v>Chandrima Mercan</v>
      </c>
      <c r="C3062">
        <v>18.879656000000001</v>
      </c>
      <c r="D3062">
        <v>16.607078552246094</v>
      </c>
      <c r="E3062">
        <v>20.975008010864258</v>
      </c>
      <c r="F3062">
        <v>1.2630159854888916</v>
      </c>
      <c r="G3062">
        <v>48.150001525878906</v>
      </c>
      <c r="H3062">
        <v>0.15000000596046448</v>
      </c>
      <c r="I3062">
        <v>106.61000061035156</v>
      </c>
      <c r="J3062">
        <v>1161</v>
      </c>
    </row>
    <row r="3063" spans="1:10" x14ac:dyDescent="0.25">
      <c r="A3063">
        <v>6822</v>
      </c>
      <c r="B3063" t="str">
        <v>Desh Rakshak</v>
      </c>
      <c r="C3063">
        <v>47.239606999999999</v>
      </c>
      <c r="D3063">
        <v>21.318334579467773</v>
      </c>
      <c r="E3063">
        <v>12.702260971069336</v>
      </c>
      <c r="F3063">
        <v>0.59583699703216553</v>
      </c>
      <c r="G3063">
        <v>38.090000152587891</v>
      </c>
      <c r="H3063">
        <v>0.37000000476837158</v>
      </c>
      <c r="I3063">
        <v>16.909999847412109</v>
      </c>
      <c r="J3063">
        <v>87</v>
      </c>
    </row>
    <row r="3064" spans="1:10" x14ac:dyDescent="0.25">
      <c r="A3064">
        <v>74030</v>
      </c>
      <c r="B3064" t="str">
        <v>Energy InfrTrust</v>
      </c>
      <c r="C3064">
        <v>-2.082954</v>
      </c>
      <c r="D3064">
        <v>93.344741821289063</v>
      </c>
      <c r="E3064">
        <v>5.2711400985717773</v>
      </c>
      <c r="F3064">
        <v>5.6469999253749847E-2</v>
      </c>
      <c r="G3064">
        <v>85</v>
      </c>
      <c r="H3064">
        <v>0</v>
      </c>
      <c r="I3064">
        <v>5644</v>
      </c>
      <c r="J3064">
        <v>211</v>
      </c>
    </row>
    <row r="3065" spans="1:10" x14ac:dyDescent="0.25">
      <c r="A3065">
        <v>5328</v>
      </c>
      <c r="B3065" t="str">
        <v>Eraaya Lifespace</v>
      </c>
      <c r="C3065">
        <v>94.521726000000001</v>
      </c>
      <c r="D3065">
        <v>73.081474304199219</v>
      </c>
      <c r="E3065">
        <v>70.468864440917969</v>
      </c>
      <c r="F3065">
        <v>0.96425098180770874</v>
      </c>
      <c r="G3065">
        <v>48.299999237060547</v>
      </c>
      <c r="H3065">
        <v>5.9999998658895493E-2</v>
      </c>
      <c r="I3065">
        <v>922.010009765625</v>
      </c>
      <c r="J3065">
        <v>468</v>
      </c>
    </row>
    <row r="3066" spans="1:10" x14ac:dyDescent="0.25">
      <c r="A3066">
        <v>70201</v>
      </c>
      <c r="B3066" t="str">
        <v>Escorp Asset Mgt</v>
      </c>
      <c r="C3066">
        <v>50.295361</v>
      </c>
      <c r="D3066">
        <v>62.203533172607422</v>
      </c>
      <c r="E3066">
        <v>25.122112274169922</v>
      </c>
      <c r="F3066">
        <v>0.40386998653411865</v>
      </c>
      <c r="G3066">
        <v>98.262496948242188</v>
      </c>
      <c r="H3066">
        <v>0</v>
      </c>
      <c r="I3066">
        <v>109.22000122070313</v>
      </c>
      <c r="J3066">
        <v>162</v>
      </c>
    </row>
    <row r="3067" spans="1:10" x14ac:dyDescent="0.25">
      <c r="A3067">
        <v>1703</v>
      </c>
      <c r="B3067" t="str">
        <v>Fynx Capital</v>
      </c>
      <c r="C3067">
        <v>35.309837999999999</v>
      </c>
      <c r="D3067">
        <v>7.6332588195800781</v>
      </c>
      <c r="E3067">
        <v>4.1227679252624512</v>
      </c>
      <c r="F3067">
        <v>0.54010599851608276</v>
      </c>
      <c r="G3067">
        <v>16.799999237060547</v>
      </c>
      <c r="H3067">
        <v>3.9999999105930328E-2</v>
      </c>
      <c r="I3067">
        <v>33.599998474121094</v>
      </c>
      <c r="J3067">
        <v>46</v>
      </c>
    </row>
    <row r="3068" spans="1:10" x14ac:dyDescent="0.25">
      <c r="A3068">
        <v>43396</v>
      </c>
      <c r="B3068" t="str">
        <v>GCM Securit.</v>
      </c>
      <c r="C3068">
        <v>-47.315587000000001</v>
      </c>
      <c r="D3068">
        <v>2.1401948928833008</v>
      </c>
      <c r="E3068">
        <v>1.536296010017395</v>
      </c>
      <c r="F3068">
        <v>0.71783000230789185</v>
      </c>
      <c r="G3068">
        <v>0.94249999523162842</v>
      </c>
      <c r="H3068">
        <v>0</v>
      </c>
      <c r="I3068">
        <v>17.479999542236328</v>
      </c>
      <c r="J3068">
        <v>1025</v>
      </c>
    </row>
    <row r="3069" spans="1:10" x14ac:dyDescent="0.25">
      <c r="A3069">
        <v>6417</v>
      </c>
      <c r="B3069" t="str">
        <v>Gajanan Sec.Serv</v>
      </c>
      <c r="C3069">
        <v>40.232723</v>
      </c>
      <c r="D3069">
        <v>73.761375427246094</v>
      </c>
      <c r="E3069">
        <v>39.577766418457031</v>
      </c>
      <c r="F3069">
        <v>0.53656500577926636</v>
      </c>
      <c r="G3069">
        <v>63.630001068115234</v>
      </c>
      <c r="H3069">
        <v>0</v>
      </c>
      <c r="I3069">
        <v>18.899999618530273</v>
      </c>
      <c r="J3069">
        <v>555</v>
      </c>
    </row>
    <row r="3070" spans="1:10" x14ac:dyDescent="0.25">
      <c r="A3070">
        <v>1997</v>
      </c>
      <c r="B3070" t="str">
        <v>Kratos Energy</v>
      </c>
      <c r="C3070">
        <v>3.4508200000000002</v>
      </c>
      <c r="D3070">
        <v>306.30865478515625</v>
      </c>
      <c r="E3070">
        <v>17.290685653686523</v>
      </c>
      <c r="F3070">
        <v>5.6448999792337418E-2</v>
      </c>
      <c r="G3070">
        <v>322.39999389648438</v>
      </c>
      <c r="H3070">
        <v>0.25</v>
      </c>
      <c r="I3070">
        <v>32.240001678466797</v>
      </c>
      <c r="J3070">
        <v>13</v>
      </c>
    </row>
    <row r="3071" spans="1:10" x14ac:dyDescent="0.25">
      <c r="A3071">
        <v>22865</v>
      </c>
      <c r="B3071" t="str">
        <v>Max Healthcare</v>
      </c>
      <c r="C3071">
        <v>52.161414000000001</v>
      </c>
      <c r="D3071">
        <v>549.18658447265625</v>
      </c>
      <c r="E3071">
        <v>306.66424560546875</v>
      </c>
      <c r="F3071">
        <v>0.55839699506759644</v>
      </c>
      <c r="G3071">
        <v>1172.7125244140625</v>
      </c>
      <c r="H3071">
        <v>7.0000000298023224E-2</v>
      </c>
      <c r="I3071">
        <v>112953.7421875</v>
      </c>
      <c r="J3071">
        <v>1199</v>
      </c>
    </row>
    <row r="3072" spans="1:10" x14ac:dyDescent="0.25">
      <c r="A3072">
        <v>74816</v>
      </c>
      <c r="B3072" t="str">
        <v>Mindspace Busine</v>
      </c>
      <c r="C3072">
        <v>6.4073440000000002</v>
      </c>
      <c r="D3072">
        <v>333.24441528320313</v>
      </c>
      <c r="E3072">
        <v>27.896799087524414</v>
      </c>
      <c r="F3072">
        <v>8.3713002502918243E-2</v>
      </c>
      <c r="G3072">
        <v>414.2550048828125</v>
      </c>
      <c r="H3072">
        <v>0.23999999463558197</v>
      </c>
      <c r="I3072">
        <v>25262.240234375</v>
      </c>
      <c r="J3072">
        <v>1209</v>
      </c>
    </row>
    <row r="3073" spans="1:10" x14ac:dyDescent="0.25">
      <c r="A3073">
        <v>26228</v>
      </c>
      <c r="B3073" t="str">
        <v>Modern Engineer.</v>
      </c>
      <c r="C3073">
        <v>38.883926000000002</v>
      </c>
      <c r="D3073">
        <v>38.246795654296875</v>
      </c>
      <c r="E3073">
        <v>23.293680191040039</v>
      </c>
      <c r="F3073">
        <v>0.60903602838516235</v>
      </c>
      <c r="G3073">
        <v>30.649999618530273</v>
      </c>
      <c r="H3073">
        <v>0</v>
      </c>
      <c r="I3073">
        <v>47.349998474121094</v>
      </c>
      <c r="J3073">
        <v>421</v>
      </c>
    </row>
    <row r="3074" spans="1:10" x14ac:dyDescent="0.25">
      <c r="A3074">
        <v>18059</v>
      </c>
      <c r="B3074" t="str">
        <v>Mudra Fin Ser</v>
      </c>
      <c r="C3074">
        <v>2.14988</v>
      </c>
      <c r="D3074">
        <v>3.9749999046325684</v>
      </c>
      <c r="E3074">
        <v>0.1150360032916069</v>
      </c>
      <c r="F3074">
        <v>2.8939999639987946E-2</v>
      </c>
      <c r="G3074">
        <v>4.0999999046325684</v>
      </c>
      <c r="H3074">
        <v>0</v>
      </c>
      <c r="I3074">
        <v>2.0499999523162842</v>
      </c>
      <c r="J3074">
        <v>4</v>
      </c>
    </row>
    <row r="3075" spans="1:10" x14ac:dyDescent="0.25">
      <c r="A3075">
        <v>19901</v>
      </c>
      <c r="B3075" t="str">
        <v>Multipurpose Trd</v>
      </c>
      <c r="C3075">
        <v>-1.200971</v>
      </c>
      <c r="D3075">
        <v>9.5993757247924805</v>
      </c>
      <c r="E3075">
        <v>1.4051359891891479</v>
      </c>
      <c r="F3075">
        <v>0.14637799561023712</v>
      </c>
      <c r="G3075">
        <v>9.4300003051757813</v>
      </c>
      <c r="H3075">
        <v>1.9999999552965164E-2</v>
      </c>
      <c r="I3075">
        <v>4.7800002098083496</v>
      </c>
      <c r="J3075">
        <v>912</v>
      </c>
    </row>
    <row r="3076" spans="1:10" x14ac:dyDescent="0.25">
      <c r="A3076">
        <v>74755</v>
      </c>
      <c r="B3076" t="str">
        <v>NDR Auto Compon.</v>
      </c>
      <c r="C3076">
        <v>73.579866999999993</v>
      </c>
      <c r="D3076">
        <v>275.42312622070313</v>
      </c>
      <c r="E3076">
        <v>261.29489135742188</v>
      </c>
      <c r="F3076">
        <v>0.94870400428771973</v>
      </c>
      <c r="G3076">
        <v>1020</v>
      </c>
      <c r="H3076">
        <v>0.14000000059604645</v>
      </c>
      <c r="I3076">
        <v>2462.610107421875</v>
      </c>
      <c r="J3076">
        <v>1210</v>
      </c>
    </row>
    <row r="3077" spans="1:10" x14ac:dyDescent="0.25">
      <c r="A3077">
        <v>7288</v>
      </c>
      <c r="B3077" t="str">
        <v>Nuway Organic</v>
      </c>
      <c r="C3077">
        <v>35.998427</v>
      </c>
      <c r="D3077">
        <v>16.355228424072266</v>
      </c>
      <c r="E3077">
        <v>6.5986909866333008</v>
      </c>
      <c r="F3077">
        <v>0.40346100926399231</v>
      </c>
      <c r="G3077">
        <v>37.049999237060547</v>
      </c>
      <c r="H3077">
        <v>0</v>
      </c>
      <c r="I3077">
        <v>35.479999542236328</v>
      </c>
      <c r="J3077">
        <v>175</v>
      </c>
    </row>
    <row r="3078" spans="1:10" x14ac:dyDescent="0.25">
      <c r="A3078">
        <v>7425</v>
      </c>
      <c r="B3078" t="str">
        <v>Sarthak Industri</v>
      </c>
      <c r="C3078">
        <v>39.498900999999996</v>
      </c>
      <c r="D3078">
        <v>45.255218505859375</v>
      </c>
      <c r="E3078">
        <v>29.280651092529297</v>
      </c>
      <c r="F3078">
        <v>0.64701199531555176</v>
      </c>
      <c r="G3078">
        <v>37.607498168945313</v>
      </c>
      <c r="H3078">
        <v>5.9999998658895493E-2</v>
      </c>
      <c r="I3078">
        <v>33.580001831054688</v>
      </c>
      <c r="J3078">
        <v>988</v>
      </c>
    </row>
    <row r="3079" spans="1:10" x14ac:dyDescent="0.25">
      <c r="A3079">
        <v>26056</v>
      </c>
      <c r="B3079" t="str">
        <v>Sarvottam Finve.</v>
      </c>
      <c r="C3079">
        <v>-6.3879489999999999</v>
      </c>
      <c r="D3079">
        <v>32.439929962158203</v>
      </c>
      <c r="E3079">
        <v>9.1713676452636719</v>
      </c>
      <c r="F3079">
        <v>0.2827180027961731</v>
      </c>
      <c r="G3079">
        <v>24.084999084472656</v>
      </c>
      <c r="H3079">
        <v>9.9999997764825821E-3</v>
      </c>
      <c r="I3079">
        <v>17.959999084472656</v>
      </c>
      <c r="J3079">
        <v>634</v>
      </c>
    </row>
    <row r="3080" spans="1:10" x14ac:dyDescent="0.25">
      <c r="A3080">
        <v>26349</v>
      </c>
      <c r="B3080" t="str">
        <v>Sellwin Traders</v>
      </c>
      <c r="C3080">
        <v>14.776408999999999</v>
      </c>
      <c r="D3080">
        <v>3.3863670825958252</v>
      </c>
      <c r="E3080">
        <v>0.89215999841690063</v>
      </c>
      <c r="F3080">
        <v>0.26345598697662354</v>
      </c>
      <c r="G3080">
        <v>5.117499828338623</v>
      </c>
      <c r="H3080">
        <v>0</v>
      </c>
      <c r="I3080">
        <v>115.98000335693359</v>
      </c>
      <c r="J3080">
        <v>942</v>
      </c>
    </row>
    <row r="3081" spans="1:10" x14ac:dyDescent="0.25">
      <c r="A3081">
        <v>24438</v>
      </c>
      <c r="B3081" t="str">
        <v>Shree Salasar</v>
      </c>
      <c r="C3081">
        <v>4.1251439999999997</v>
      </c>
      <c r="D3081">
        <v>12.90000057220459</v>
      </c>
      <c r="E3081">
        <v>1.0353260040283203</v>
      </c>
      <c r="F3081">
        <v>8.0257996916770935E-2</v>
      </c>
      <c r="G3081">
        <v>14.579999923706055</v>
      </c>
      <c r="H3081">
        <v>0</v>
      </c>
      <c r="I3081">
        <v>10.170000076293945</v>
      </c>
      <c r="J3081">
        <v>7</v>
      </c>
    </row>
    <row r="3082" spans="1:10" x14ac:dyDescent="0.25">
      <c r="A3082">
        <v>4915</v>
      </c>
      <c r="B3082" t="str">
        <v>Subhash Silk</v>
      </c>
      <c r="C3082">
        <v>33.969790000000003</v>
      </c>
      <c r="D3082">
        <v>30.094924926757813</v>
      </c>
      <c r="E3082">
        <v>20.070680618286133</v>
      </c>
      <c r="F3082">
        <v>0.6669120192527771</v>
      </c>
      <c r="G3082">
        <v>67.800003051757813</v>
      </c>
      <c r="H3082">
        <v>0.10999999940395355</v>
      </c>
      <c r="I3082">
        <v>28.75</v>
      </c>
      <c r="J3082">
        <v>731</v>
      </c>
    </row>
    <row r="3083" spans="1:10" x14ac:dyDescent="0.25">
      <c r="A3083">
        <v>3274</v>
      </c>
      <c r="B3083" t="str">
        <v>Suraj Industries</v>
      </c>
      <c r="C3083">
        <v>96.206727999999998</v>
      </c>
      <c r="D3083">
        <v>88.315170288085938</v>
      </c>
      <c r="E3083">
        <v>31.824668884277344</v>
      </c>
      <c r="F3083">
        <v>0.36035299301147461</v>
      </c>
      <c r="G3083">
        <v>70.625</v>
      </c>
      <c r="H3083">
        <v>0.2800000011920929</v>
      </c>
      <c r="I3083">
        <v>112.80999755859375</v>
      </c>
      <c r="J3083">
        <v>971</v>
      </c>
    </row>
    <row r="3084" spans="1:10" x14ac:dyDescent="0.25">
      <c r="A3084">
        <v>74689</v>
      </c>
      <c r="B3084" t="str">
        <v>Suratwwala Busi.</v>
      </c>
      <c r="C3084">
        <v>75.428656000000004</v>
      </c>
      <c r="D3084">
        <v>48.878871917724609</v>
      </c>
      <c r="E3084">
        <v>43.056793212890625</v>
      </c>
      <c r="F3084">
        <v>0.88088798522949219</v>
      </c>
      <c r="G3084">
        <v>45.389999389648438</v>
      </c>
      <c r="H3084">
        <v>0.40999999642372131</v>
      </c>
      <c r="I3084">
        <v>787.1400146484375</v>
      </c>
      <c r="J3084">
        <v>932</v>
      </c>
    </row>
    <row r="3085" spans="1:10" x14ac:dyDescent="0.25">
      <c r="A3085">
        <v>1810</v>
      </c>
      <c r="B3085" t="str">
        <v>Taparia Tools</v>
      </c>
      <c r="C3085">
        <v>5.0431569999999999</v>
      </c>
      <c r="D3085">
        <v>7.9231338500976563</v>
      </c>
      <c r="E3085">
        <v>5.9047942161560059</v>
      </c>
      <c r="F3085">
        <v>0.74526000022888184</v>
      </c>
      <c r="G3085">
        <v>20.950000762939453</v>
      </c>
      <c r="H3085">
        <v>0</v>
      </c>
      <c r="I3085">
        <v>31.799999237060547</v>
      </c>
      <c r="J3085">
        <v>67</v>
      </c>
    </row>
    <row r="3086" spans="1:10" x14ac:dyDescent="0.25">
      <c r="A3086">
        <v>6709</v>
      </c>
      <c r="B3086" t="str">
        <v>Tashi India</v>
      </c>
      <c r="C3086">
        <v>1.9639070000000001</v>
      </c>
      <c r="D3086">
        <v>114.41666412353516</v>
      </c>
      <c r="E3086">
        <v>3.1754260063171387</v>
      </c>
      <c r="F3086">
        <v>2.775299921631813E-2</v>
      </c>
      <c r="G3086">
        <v>116.25</v>
      </c>
      <c r="H3086">
        <v>0</v>
      </c>
      <c r="I3086">
        <v>8.6499996185302734</v>
      </c>
      <c r="J3086">
        <v>3</v>
      </c>
    </row>
    <row r="3087" spans="1:10" x14ac:dyDescent="0.25">
      <c r="A3087">
        <v>7157</v>
      </c>
      <c r="B3087" t="str">
        <v>Typhoon Fin Ser</v>
      </c>
      <c r="C3087">
        <v>-0.179396</v>
      </c>
      <c r="D3087">
        <v>18.666666030883789</v>
      </c>
      <c r="E3087">
        <v>0.53463399410247803</v>
      </c>
      <c r="F3087">
        <v>2.8641000390052795E-2</v>
      </c>
      <c r="G3087">
        <v>18.950000762939453</v>
      </c>
      <c r="H3087">
        <v>0</v>
      </c>
      <c r="I3087">
        <v>5.690000057220459</v>
      </c>
      <c r="J3087">
        <v>3</v>
      </c>
    </row>
    <row r="3088" spans="1:10" x14ac:dyDescent="0.25">
      <c r="A3088">
        <v>6433</v>
      </c>
      <c r="B3088" t="str">
        <v>Vikalp Securitie</v>
      </c>
      <c r="C3088">
        <v>20.322863000000002</v>
      </c>
      <c r="D3088">
        <v>16.249187469482422</v>
      </c>
      <c r="E3088">
        <v>14.953371047973633</v>
      </c>
      <c r="F3088">
        <v>0.92025297880172729</v>
      </c>
      <c r="G3088">
        <v>32</v>
      </c>
      <c r="H3088">
        <v>0</v>
      </c>
      <c r="I3088">
        <v>9.7600002288818359</v>
      </c>
      <c r="J3088">
        <v>957</v>
      </c>
    </row>
    <row r="3089" spans="1:10" x14ac:dyDescent="0.25">
      <c r="A3089">
        <v>1791</v>
      </c>
      <c r="B3089" t="str">
        <v>Virya Resources</v>
      </c>
      <c r="C3089">
        <v>43.368377000000002</v>
      </c>
      <c r="D3089">
        <v>423.66073608398438</v>
      </c>
      <c r="E3089">
        <v>252.0750732421875</v>
      </c>
      <c r="F3089">
        <v>0.594992995262146</v>
      </c>
      <c r="G3089">
        <v>590</v>
      </c>
      <c r="H3089">
        <v>9.9999997764825821E-3</v>
      </c>
      <c r="I3089">
        <v>88.5</v>
      </c>
      <c r="J3089">
        <v>120</v>
      </c>
    </row>
    <row r="3090" spans="1:10" x14ac:dyDescent="0.25">
      <c r="A3090">
        <v>1872</v>
      </c>
      <c r="B3090" t="str">
        <v>Voltaire Leasing</v>
      </c>
      <c r="C3090">
        <v>-7.2923119999999999</v>
      </c>
      <c r="D3090">
        <v>16.229705810546875</v>
      </c>
      <c r="E3090">
        <v>5.1308398246765137</v>
      </c>
      <c r="F3090">
        <v>0.31613901257514954</v>
      </c>
      <c r="G3090">
        <v>13.265000343322754</v>
      </c>
      <c r="H3090">
        <v>0</v>
      </c>
      <c r="I3090">
        <v>5.369999885559082</v>
      </c>
      <c r="J3090">
        <v>749</v>
      </c>
    </row>
    <row r="3091" spans="1:10" x14ac:dyDescent="0.25">
      <c r="A3091">
        <v>2928</v>
      </c>
      <c r="B3091" t="str">
        <v>Bloom Industries</v>
      </c>
      <c r="C3091">
        <v>26.447935000000001</v>
      </c>
      <c r="D3091">
        <v>27.158090591430664</v>
      </c>
      <c r="E3091">
        <v>7.4352140426635742</v>
      </c>
      <c r="F3091">
        <v>0.27377501130104065</v>
      </c>
      <c r="G3091">
        <v>36.332500457763672</v>
      </c>
      <c r="H3091">
        <v>0.60000002384185791</v>
      </c>
      <c r="I3091">
        <v>24.299999237060547</v>
      </c>
      <c r="J3091">
        <v>804</v>
      </c>
    </row>
    <row r="3092" spans="1:10" x14ac:dyDescent="0.25">
      <c r="A3092">
        <v>70299</v>
      </c>
      <c r="B3092" t="str">
        <v>Happiest Minds</v>
      </c>
      <c r="C3092">
        <v>11.548658</v>
      </c>
      <c r="D3092">
        <v>857.904541015625</v>
      </c>
      <c r="E3092">
        <v>259.95672607421875</v>
      </c>
      <c r="F3092">
        <v>0.30301401019096375</v>
      </c>
      <c r="G3092">
        <v>630.9124755859375</v>
      </c>
      <c r="H3092">
        <v>0.46000000834465027</v>
      </c>
      <c r="I3092">
        <v>9417.4404296875</v>
      </c>
      <c r="J3092">
        <v>1180</v>
      </c>
    </row>
    <row r="3093" spans="1:10" x14ac:dyDescent="0.25">
      <c r="A3093">
        <v>19619</v>
      </c>
      <c r="B3093" t="str">
        <v>Hind.Housing Co.</v>
      </c>
      <c r="C3093">
        <v>3.2428789999999998</v>
      </c>
      <c r="D3093">
        <v>36.930004119873047</v>
      </c>
      <c r="E3093">
        <v>1.7951879501342773</v>
      </c>
      <c r="F3093">
        <v>4.8611000180244446E-2</v>
      </c>
      <c r="G3093">
        <v>38.740001678466797</v>
      </c>
      <c r="H3093">
        <v>0</v>
      </c>
      <c r="I3093">
        <v>9.0000003576278687E-2</v>
      </c>
      <c r="J3093">
        <v>3</v>
      </c>
    </row>
    <row r="3094" spans="1:10" x14ac:dyDescent="0.25">
      <c r="A3094">
        <v>6098</v>
      </c>
      <c r="B3094" t="str">
        <v>IDream Film</v>
      </c>
      <c r="C3094">
        <v>3.9938889999999998</v>
      </c>
      <c r="D3094">
        <v>103.99292755126953</v>
      </c>
      <c r="E3094">
        <v>10.956646919250488</v>
      </c>
      <c r="F3094">
        <v>0.1053600013256073</v>
      </c>
      <c r="G3094">
        <v>131.75</v>
      </c>
      <c r="H3094">
        <v>0</v>
      </c>
      <c r="I3094">
        <v>1.9800000190734863</v>
      </c>
      <c r="J3094">
        <v>41</v>
      </c>
    </row>
    <row r="3095" spans="1:10" x14ac:dyDescent="0.25">
      <c r="A3095">
        <v>74807</v>
      </c>
      <c r="B3095" t="str">
        <v>Max India Ltd</v>
      </c>
      <c r="C3095">
        <v>19.608816000000001</v>
      </c>
      <c r="D3095">
        <v>127.35212707519531</v>
      </c>
      <c r="E3095">
        <v>74.224815368652344</v>
      </c>
      <c r="F3095">
        <v>0.58283102512359619</v>
      </c>
      <c r="G3095">
        <v>185.16250610351563</v>
      </c>
      <c r="H3095">
        <v>0</v>
      </c>
      <c r="I3095">
        <v>954.42999267578125</v>
      </c>
      <c r="J3095">
        <v>1194</v>
      </c>
    </row>
    <row r="3096" spans="1:10" x14ac:dyDescent="0.25">
      <c r="A3096">
        <v>21197</v>
      </c>
      <c r="B3096" t="str">
        <v>Response Info.</v>
      </c>
      <c r="C3096">
        <v>30.998373999999998</v>
      </c>
      <c r="D3096">
        <v>45.430419921875</v>
      </c>
      <c r="E3096">
        <v>22.460779190063477</v>
      </c>
      <c r="F3096">
        <v>0.49439999461174011</v>
      </c>
      <c r="G3096">
        <v>37.625</v>
      </c>
      <c r="H3096">
        <v>0.23000000417232513</v>
      </c>
      <c r="I3096">
        <v>30.469999313354492</v>
      </c>
      <c r="J3096">
        <v>769</v>
      </c>
    </row>
    <row r="3097" spans="1:10" x14ac:dyDescent="0.25">
      <c r="A3097">
        <v>72028</v>
      </c>
      <c r="B3097" t="str">
        <v>Route Mobile</v>
      </c>
      <c r="C3097">
        <v>8.6969349999999999</v>
      </c>
      <c r="D3097">
        <v>1469.431884765625</v>
      </c>
      <c r="E3097">
        <v>289.36428833007813</v>
      </c>
      <c r="F3097">
        <v>0.19692300260066986</v>
      </c>
      <c r="G3097">
        <v>1022.7625122070313</v>
      </c>
      <c r="H3097">
        <v>9.9999997764825821E-3</v>
      </c>
      <c r="I3097">
        <v>6283.68994140625</v>
      </c>
      <c r="J3097">
        <v>1178</v>
      </c>
    </row>
    <row r="3098" spans="1:10" x14ac:dyDescent="0.25">
      <c r="A3098">
        <v>3632</v>
      </c>
      <c r="B3098" t="str">
        <v>T N Steel Tubes</v>
      </c>
      <c r="C3098">
        <v>-6.3407809999999998</v>
      </c>
      <c r="D3098">
        <v>13.695412635803223</v>
      </c>
      <c r="E3098">
        <v>4.4105319976806641</v>
      </c>
      <c r="F3098">
        <v>0.32204499840736389</v>
      </c>
      <c r="G3098">
        <v>18.139999389648438</v>
      </c>
      <c r="H3098">
        <v>0.67000001668930054</v>
      </c>
      <c r="I3098">
        <v>9.3000001907348633</v>
      </c>
      <c r="J3098">
        <v>429</v>
      </c>
    </row>
    <row r="3099" spans="1:10" x14ac:dyDescent="0.25">
      <c r="A3099">
        <v>2823</v>
      </c>
      <c r="B3099" t="str">
        <v>Tahmar Enterp.</v>
      </c>
      <c r="C3099">
        <v>68.002499999999998</v>
      </c>
      <c r="D3099">
        <v>9.5740680694580078</v>
      </c>
      <c r="E3099">
        <v>9.770054817199707</v>
      </c>
      <c r="F3099">
        <v>1.0204709768295288</v>
      </c>
      <c r="G3099">
        <v>14.002499580383301</v>
      </c>
      <c r="H3099">
        <v>0.56000000238418579</v>
      </c>
      <c r="I3099">
        <v>133.64999389648438</v>
      </c>
      <c r="J3099">
        <v>601</v>
      </c>
    </row>
    <row r="3100" spans="1:10" x14ac:dyDescent="0.25">
      <c r="A3100">
        <v>75091</v>
      </c>
      <c r="B3100" t="str">
        <v>Advait Energy</v>
      </c>
      <c r="C3100">
        <v>100.883222</v>
      </c>
      <c r="D3100">
        <v>708.5277099609375</v>
      </c>
      <c r="E3100">
        <v>673.25506591796875</v>
      </c>
      <c r="F3100">
        <v>0.95021700859069824</v>
      </c>
      <c r="G3100">
        <v>1841.5999755859375</v>
      </c>
      <c r="H3100">
        <v>0.40999999642372131</v>
      </c>
      <c r="I3100">
        <v>1936.0999755859375</v>
      </c>
      <c r="J3100">
        <v>963</v>
      </c>
    </row>
    <row r="3101" spans="1:10" x14ac:dyDescent="0.25">
      <c r="A3101">
        <v>38941</v>
      </c>
      <c r="B3101" t="str">
        <v>Angel One</v>
      </c>
      <c r="C3101">
        <v>52.659142000000003</v>
      </c>
      <c r="D3101">
        <v>1709.150390625</v>
      </c>
      <c r="E3101">
        <v>867.79376220703125</v>
      </c>
      <c r="F3101">
        <v>0.50773400068283081</v>
      </c>
      <c r="G3101">
        <v>2835.97509765625</v>
      </c>
      <c r="H3101">
        <v>0.70999997854232788</v>
      </c>
      <c r="I3101">
        <v>25153.58984375</v>
      </c>
      <c r="J3101">
        <v>1169</v>
      </c>
    </row>
    <row r="3102" spans="1:10" x14ac:dyDescent="0.25">
      <c r="A3102">
        <v>73016</v>
      </c>
      <c r="B3102" t="str">
        <v>Archidply Decor</v>
      </c>
      <c r="C3102">
        <v>26.296067000000001</v>
      </c>
      <c r="D3102">
        <v>64.137123107910156</v>
      </c>
      <c r="E3102">
        <v>24.735250473022461</v>
      </c>
      <c r="F3102">
        <v>0.38566198945045471</v>
      </c>
      <c r="G3102">
        <v>94.084999084472656</v>
      </c>
      <c r="H3102">
        <v>0.37000000476837158</v>
      </c>
      <c r="I3102">
        <v>52.290000915527344</v>
      </c>
      <c r="J3102">
        <v>1048</v>
      </c>
    </row>
    <row r="3103" spans="1:10" x14ac:dyDescent="0.25">
      <c r="A3103">
        <v>47716</v>
      </c>
      <c r="B3103" t="str">
        <v>Cams Services</v>
      </c>
      <c r="C3103">
        <v>22.582086</v>
      </c>
      <c r="D3103">
        <v>2839.874267578125</v>
      </c>
      <c r="E3103">
        <v>865.41510009765625</v>
      </c>
      <c r="F3103">
        <v>0.30473700165748596</v>
      </c>
      <c r="G3103">
        <v>4072.987548828125</v>
      </c>
      <c r="H3103">
        <v>7.9999998211860657E-2</v>
      </c>
      <c r="I3103">
        <v>19851.4296875</v>
      </c>
      <c r="J3103">
        <v>1170</v>
      </c>
    </row>
    <row r="3104" spans="1:10" x14ac:dyDescent="0.25">
      <c r="A3104">
        <v>74485</v>
      </c>
      <c r="B3104" t="str">
        <v>Chemcon Special.</v>
      </c>
      <c r="C3104">
        <v>-25.353881999999999</v>
      </c>
      <c r="D3104">
        <v>320.82177734375</v>
      </c>
      <c r="E3104">
        <v>88.202812194824219</v>
      </c>
      <c r="F3104">
        <v>0.27492800354957581</v>
      </c>
      <c r="G3104">
        <v>191.98750305175781</v>
      </c>
      <c r="H3104">
        <v>0.10999999940395355</v>
      </c>
      <c r="I3104">
        <v>693.239990234375</v>
      </c>
      <c r="J3104">
        <v>1170</v>
      </c>
    </row>
    <row r="3105" spans="1:10" x14ac:dyDescent="0.25">
      <c r="A3105">
        <v>1700</v>
      </c>
      <c r="B3105" t="str">
        <v>Evantra Ventures</v>
      </c>
      <c r="C3105">
        <v>144.62721500000001</v>
      </c>
      <c r="D3105">
        <v>709.8348388671875</v>
      </c>
      <c r="E3105">
        <v>394.12960815429688</v>
      </c>
      <c r="F3105">
        <v>0.55524098873138428</v>
      </c>
      <c r="G3105">
        <v>1048</v>
      </c>
      <c r="H3105">
        <v>0</v>
      </c>
      <c r="I3105">
        <v>210.32000732421875</v>
      </c>
      <c r="J3105">
        <v>443</v>
      </c>
    </row>
    <row r="3106" spans="1:10" x14ac:dyDescent="0.25">
      <c r="A3106">
        <v>71795</v>
      </c>
      <c r="B3106" t="str">
        <v>Hemisphere Prop</v>
      </c>
      <c r="C3106">
        <v>5.9849560000000004</v>
      </c>
      <c r="D3106">
        <v>136.80818176269531</v>
      </c>
      <c r="E3106">
        <v>38.454982757568359</v>
      </c>
      <c r="F3106">
        <v>0.28108701109886169</v>
      </c>
      <c r="G3106">
        <v>136.33749389648438</v>
      </c>
      <c r="H3106">
        <v>0.18000000715255737</v>
      </c>
      <c r="I3106">
        <v>3793.35009765625</v>
      </c>
      <c r="J3106">
        <v>1156</v>
      </c>
    </row>
    <row r="3107" spans="1:10" x14ac:dyDescent="0.25">
      <c r="A3107">
        <v>74677</v>
      </c>
      <c r="B3107" t="str">
        <v>Likhitha Infra.</v>
      </c>
      <c r="C3107">
        <v>32.687649999999998</v>
      </c>
      <c r="D3107">
        <v>239.66484069824219</v>
      </c>
      <c r="E3107">
        <v>90.277664184570313</v>
      </c>
      <c r="F3107">
        <v>0.37668299674987793</v>
      </c>
      <c r="G3107">
        <v>287.54998779296875</v>
      </c>
      <c r="H3107">
        <v>0</v>
      </c>
      <c r="I3107">
        <v>1120.1800537109375</v>
      </c>
      <c r="J3107">
        <v>1161</v>
      </c>
    </row>
    <row r="3108" spans="1:10" x14ac:dyDescent="0.25">
      <c r="A3108">
        <v>12963</v>
      </c>
      <c r="B3108" t="str">
        <v>Mazagon Dock</v>
      </c>
      <c r="C3108">
        <v>82.270882</v>
      </c>
      <c r="D3108">
        <v>864.1256103515625</v>
      </c>
      <c r="E3108">
        <v>927.11676025390625</v>
      </c>
      <c r="F3108">
        <v>1.0728960037231445</v>
      </c>
      <c r="G3108">
        <v>3254.10009765625</v>
      </c>
      <c r="H3108">
        <v>0</v>
      </c>
      <c r="I3108">
        <v>130029.5390625</v>
      </c>
      <c r="J3108">
        <v>1164</v>
      </c>
    </row>
    <row r="3109" spans="1:10" x14ac:dyDescent="0.25">
      <c r="A3109">
        <v>1495</v>
      </c>
      <c r="B3109" t="str">
        <v>Oswal Leasing</v>
      </c>
      <c r="C3109">
        <v>37.038753999999997</v>
      </c>
      <c r="D3109">
        <v>31.349998474121094</v>
      </c>
      <c r="E3109">
        <v>13.440228462219238</v>
      </c>
      <c r="F3109">
        <v>0.42871499061584473</v>
      </c>
      <c r="G3109">
        <v>53.259998321533203</v>
      </c>
      <c r="H3109">
        <v>0</v>
      </c>
      <c r="I3109">
        <v>2.6600000858306885</v>
      </c>
      <c r="J3109">
        <v>52</v>
      </c>
    </row>
    <row r="3110" spans="1:10" x14ac:dyDescent="0.25">
      <c r="A3110">
        <v>26923</v>
      </c>
      <c r="B3110" t="str">
        <v>Raj Oil Mills</v>
      </c>
      <c r="C3110">
        <v>70.236005000000006</v>
      </c>
      <c r="D3110">
        <v>51.251754760742188</v>
      </c>
      <c r="E3110">
        <v>15.953310966491699</v>
      </c>
      <c r="F3110">
        <v>0.3112730085849762</v>
      </c>
      <c r="G3110">
        <v>55.617500305175781</v>
      </c>
      <c r="H3110">
        <v>0</v>
      </c>
      <c r="I3110">
        <v>157.91999816894531</v>
      </c>
      <c r="J3110">
        <v>1156</v>
      </c>
    </row>
    <row r="3111" spans="1:10" x14ac:dyDescent="0.25">
      <c r="A3111">
        <v>75094</v>
      </c>
      <c r="B3111" t="str">
        <v>Secmark Consult.</v>
      </c>
      <c r="C3111">
        <v>23.261324999999999</v>
      </c>
      <c r="D3111">
        <v>77.950859069824219</v>
      </c>
      <c r="E3111">
        <v>32.247230529785156</v>
      </c>
      <c r="F3111">
        <v>0.41368699073791504</v>
      </c>
      <c r="G3111">
        <v>151.94999694824219</v>
      </c>
      <c r="H3111">
        <v>0.62000000476837158</v>
      </c>
      <c r="I3111">
        <v>160.22000122070313</v>
      </c>
      <c r="J3111">
        <v>966</v>
      </c>
    </row>
    <row r="3112" spans="1:10" x14ac:dyDescent="0.25">
      <c r="A3112">
        <v>5886</v>
      </c>
      <c r="B3112" t="str">
        <v>Thambbi Modern</v>
      </c>
      <c r="C3112">
        <v>39.859476000000001</v>
      </c>
      <c r="D3112">
        <v>9.2198038101196289</v>
      </c>
      <c r="E3112">
        <v>4.1196880340576172</v>
      </c>
      <c r="F3112">
        <v>0.44683000445365906</v>
      </c>
      <c r="G3112">
        <v>20.372499465942383</v>
      </c>
      <c r="H3112">
        <v>0</v>
      </c>
      <c r="I3112">
        <v>23.75</v>
      </c>
      <c r="J3112">
        <v>243</v>
      </c>
    </row>
    <row r="3113" spans="1:10" x14ac:dyDescent="0.25">
      <c r="A3113">
        <v>23412</v>
      </c>
      <c r="B3113" t="str">
        <v>UTI AMC</v>
      </c>
      <c r="C3113">
        <v>20.33098</v>
      </c>
      <c r="D3113">
        <v>869.22491455078125</v>
      </c>
      <c r="E3113">
        <v>213.42793273925781</v>
      </c>
      <c r="F3113">
        <v>0.24553799629211426</v>
      </c>
      <c r="G3113">
        <v>1247.1500244140625</v>
      </c>
      <c r="H3113">
        <v>0</v>
      </c>
      <c r="I3113">
        <v>15846.33984375</v>
      </c>
      <c r="J3113">
        <v>1164</v>
      </c>
    </row>
    <row r="3114" spans="1:10" x14ac:dyDescent="0.25">
      <c r="A3114">
        <v>65456</v>
      </c>
      <c r="B3114" t="str">
        <v>Vintage Coffee</v>
      </c>
      <c r="C3114">
        <v>62.668317000000002</v>
      </c>
      <c r="D3114">
        <v>58.481395721435547</v>
      </c>
      <c r="E3114">
        <v>30.497936248779297</v>
      </c>
      <c r="F3114">
        <v>0.52149802446365356</v>
      </c>
      <c r="G3114">
        <v>120.625</v>
      </c>
      <c r="H3114">
        <v>5.000000074505806E-2</v>
      </c>
      <c r="I3114">
        <v>1515.949951171875</v>
      </c>
      <c r="J3114">
        <v>1103</v>
      </c>
    </row>
    <row r="3115" spans="1:10" x14ac:dyDescent="0.25">
      <c r="A3115">
        <v>43685</v>
      </c>
      <c r="B3115" t="str">
        <v>Equitas Sma. Fin</v>
      </c>
      <c r="C3115">
        <v>15.698655</v>
      </c>
      <c r="D3115">
        <v>67.736526489257813</v>
      </c>
      <c r="E3115">
        <v>19.428379058837891</v>
      </c>
      <c r="F3115">
        <v>0.28682300448417664</v>
      </c>
      <c r="G3115">
        <v>64.74749755859375</v>
      </c>
      <c r="H3115">
        <v>0</v>
      </c>
      <c r="I3115">
        <v>7324.16015625</v>
      </c>
      <c r="J3115">
        <v>1149</v>
      </c>
    </row>
    <row r="3116" spans="1:10" x14ac:dyDescent="0.25">
      <c r="A3116">
        <v>14546</v>
      </c>
      <c r="B3116" t="str">
        <v>Gland Pharma</v>
      </c>
      <c r="C3116">
        <v>-0.60144500000000001</v>
      </c>
      <c r="D3116">
        <v>2207.78369140625</v>
      </c>
      <c r="E3116">
        <v>821.89605712890625</v>
      </c>
      <c r="F3116">
        <v>0.37227201461791992</v>
      </c>
      <c r="G3116">
        <v>1720</v>
      </c>
      <c r="H3116">
        <v>0</v>
      </c>
      <c r="I3116">
        <v>28146.990234375</v>
      </c>
      <c r="J3116">
        <v>1135</v>
      </c>
    </row>
    <row r="3117" spans="1:10" x14ac:dyDescent="0.25">
      <c r="A3117">
        <v>2375</v>
      </c>
      <c r="B3117" t="str">
        <v>Guj. Toolroom</v>
      </c>
      <c r="C3117">
        <v>72.379373999999999</v>
      </c>
      <c r="D3117">
        <v>2.2697560787200928</v>
      </c>
      <c r="E3117">
        <v>1.8413239717483521</v>
      </c>
      <c r="F3117">
        <v>0.81124299764633179</v>
      </c>
      <c r="G3117">
        <v>1.25</v>
      </c>
      <c r="H3117">
        <v>3.9999999105930328E-2</v>
      </c>
      <c r="I3117">
        <v>171.25999450683594</v>
      </c>
      <c r="J3117">
        <v>748</v>
      </c>
    </row>
    <row r="3118" spans="1:10" x14ac:dyDescent="0.25">
      <c r="A3118">
        <v>6202</v>
      </c>
      <c r="B3118" t="str">
        <v>Lynx Machinery</v>
      </c>
      <c r="C3118">
        <v>42.751334999999997</v>
      </c>
      <c r="D3118">
        <v>75.470771789550781</v>
      </c>
      <c r="E3118">
        <v>49.590320587158203</v>
      </c>
      <c r="F3118">
        <v>0.65707999467849731</v>
      </c>
      <c r="G3118">
        <v>175</v>
      </c>
      <c r="H3118">
        <v>0</v>
      </c>
      <c r="I3118">
        <v>17.950000762939453</v>
      </c>
      <c r="J3118">
        <v>122</v>
      </c>
    </row>
    <row r="3119" spans="1:10" x14ac:dyDescent="0.25">
      <c r="A3119">
        <v>3135</v>
      </c>
      <c r="B3119" t="str">
        <v>Orchid Pharma</v>
      </c>
      <c r="C3119">
        <v>87.101358000000005</v>
      </c>
      <c r="D3119">
        <v>720.02996826171875</v>
      </c>
      <c r="E3119">
        <v>478.95016479492188</v>
      </c>
      <c r="F3119">
        <v>0.66518098115921021</v>
      </c>
      <c r="G3119">
        <v>691.63751220703125</v>
      </c>
      <c r="H3119">
        <v>0.23999999463558197</v>
      </c>
      <c r="I3119">
        <v>3470.7099609375</v>
      </c>
      <c r="J3119">
        <v>1148</v>
      </c>
    </row>
    <row r="3120" spans="1:10" x14ac:dyDescent="0.25">
      <c r="A3120">
        <v>26557</v>
      </c>
      <c r="B3120" t="str">
        <v>Surya India</v>
      </c>
      <c r="C3120">
        <v>18.333317000000001</v>
      </c>
      <c r="D3120">
        <v>15.576250076293945</v>
      </c>
      <c r="E3120">
        <v>1.7859450578689575</v>
      </c>
      <c r="F3120">
        <v>0.11465799808502197</v>
      </c>
      <c r="G3120">
        <v>18.25</v>
      </c>
      <c r="H3120">
        <v>0</v>
      </c>
      <c r="I3120">
        <v>12.75</v>
      </c>
      <c r="J3120">
        <v>8</v>
      </c>
    </row>
    <row r="3121" spans="1:10" x14ac:dyDescent="0.25">
      <c r="A3121">
        <v>24316</v>
      </c>
      <c r="B3121" t="str">
        <v>Vaxfab Enterp.</v>
      </c>
      <c r="C3121">
        <v>-0.77780400000000005</v>
      </c>
      <c r="D3121">
        <v>15.385205268859863</v>
      </c>
      <c r="E3121">
        <v>8.4241390228271484</v>
      </c>
      <c r="F3121">
        <v>0.54754799604415894</v>
      </c>
      <c r="G3121">
        <v>14.779999732971191</v>
      </c>
      <c r="H3121">
        <v>9.9999997764825821E-3</v>
      </c>
      <c r="I3121">
        <v>12.279999732971191</v>
      </c>
      <c r="J3121">
        <v>1076</v>
      </c>
    </row>
    <row r="3122" spans="1:10" x14ac:dyDescent="0.25">
      <c r="A3122">
        <v>4210</v>
      </c>
      <c r="B3122" t="str">
        <v>Blue Cloud Soft.</v>
      </c>
      <c r="C3122">
        <v>35.933630999999998</v>
      </c>
      <c r="D3122">
        <v>29.207729339599609</v>
      </c>
      <c r="E3122">
        <v>28.3890380859375</v>
      </c>
      <c r="F3122">
        <v>0.97197002172470093</v>
      </c>
      <c r="G3122">
        <v>28</v>
      </c>
      <c r="H3122">
        <v>0</v>
      </c>
      <c r="I3122">
        <v>1221.5899658203125</v>
      </c>
      <c r="J3122">
        <v>968</v>
      </c>
    </row>
    <row r="3123" spans="1:10" x14ac:dyDescent="0.25">
      <c r="A3123">
        <v>4089</v>
      </c>
      <c r="B3123" t="str">
        <v>Eureka Industrie</v>
      </c>
      <c r="C3123">
        <v>43.004641999999997</v>
      </c>
      <c r="D3123">
        <v>6.040031909942627</v>
      </c>
      <c r="E3123">
        <v>4.8923749923706055</v>
      </c>
      <c r="F3123">
        <v>0.80999201536178589</v>
      </c>
      <c r="G3123">
        <v>11.255000114440918</v>
      </c>
      <c r="H3123">
        <v>0</v>
      </c>
      <c r="I3123">
        <v>64.220001220703125</v>
      </c>
      <c r="J3123">
        <v>711</v>
      </c>
    </row>
    <row r="3124" spans="1:10" x14ac:dyDescent="0.25">
      <c r="A3124">
        <v>74862</v>
      </c>
      <c r="B3124" t="str">
        <v>Fairchem Organic</v>
      </c>
      <c r="C3124">
        <v>8.1426660000000002</v>
      </c>
      <c r="D3124">
        <v>1305.004150390625</v>
      </c>
      <c r="E3124">
        <v>380.41934204101563</v>
      </c>
      <c r="F3124">
        <v>0.29150798916816711</v>
      </c>
      <c r="G3124">
        <v>940.5</v>
      </c>
      <c r="H3124">
        <v>0.10000000149011612</v>
      </c>
      <c r="I3124">
        <v>1211.4599609375</v>
      </c>
      <c r="J3124">
        <v>1112</v>
      </c>
    </row>
    <row r="3125" spans="1:10" x14ac:dyDescent="0.25">
      <c r="A3125">
        <v>1596</v>
      </c>
      <c r="B3125" t="str">
        <v>Gold Rock Inves.</v>
      </c>
      <c r="C3125">
        <v>3.7740870000000002</v>
      </c>
      <c r="D3125">
        <v>10.772500038146973</v>
      </c>
      <c r="E3125">
        <v>0.6753460168838501</v>
      </c>
      <c r="F3125">
        <v>6.2692001461982727E-2</v>
      </c>
      <c r="G3125">
        <v>11.569999694824219</v>
      </c>
      <c r="H3125">
        <v>9.9999997764825821E-3</v>
      </c>
      <c r="I3125">
        <v>0.9100000262260437</v>
      </c>
      <c r="J3125">
        <v>4</v>
      </c>
    </row>
    <row r="3126" spans="1:10" x14ac:dyDescent="0.25">
      <c r="A3126">
        <v>42462</v>
      </c>
      <c r="B3126" t="str">
        <v>Mrs Bectors</v>
      </c>
      <c r="C3126">
        <v>21.244902</v>
      </c>
      <c r="D3126">
        <v>826.82025146484375</v>
      </c>
      <c r="E3126">
        <v>505.11331176757813</v>
      </c>
      <c r="F3126">
        <v>0.61091101169586182</v>
      </c>
      <c r="G3126">
        <v>1391.875</v>
      </c>
      <c r="H3126">
        <v>0.33000001311302185</v>
      </c>
      <c r="I3126">
        <v>8565.0400390625</v>
      </c>
      <c r="J3126">
        <v>1112</v>
      </c>
    </row>
    <row r="3127" spans="1:10" x14ac:dyDescent="0.25">
      <c r="A3127">
        <v>5086</v>
      </c>
      <c r="B3127" t="str">
        <v>Progrex Ventures</v>
      </c>
      <c r="C3127">
        <v>26.978804</v>
      </c>
      <c r="D3127">
        <v>10.668001174926758</v>
      </c>
      <c r="E3127">
        <v>4.6700000762939453</v>
      </c>
      <c r="F3127">
        <v>0.43775799870491028</v>
      </c>
      <c r="G3127">
        <v>22.719999313354492</v>
      </c>
      <c r="H3127">
        <v>0</v>
      </c>
      <c r="I3127">
        <v>8.1899995803833008</v>
      </c>
      <c r="J3127">
        <v>220</v>
      </c>
    </row>
    <row r="3128" spans="1:10" x14ac:dyDescent="0.25">
      <c r="A3128">
        <v>75109</v>
      </c>
      <c r="B3128" t="str">
        <v>Ravinder Heights</v>
      </c>
      <c r="C3128">
        <v>11.766094000000001</v>
      </c>
      <c r="D3128">
        <v>34.196197509765625</v>
      </c>
      <c r="E3128">
        <v>14.824647903442383</v>
      </c>
      <c r="F3128">
        <v>0.43351700901985168</v>
      </c>
      <c r="G3128">
        <v>52.617500305175781</v>
      </c>
      <c r="H3128">
        <v>0</v>
      </c>
      <c r="I3128">
        <v>323.19000244140625</v>
      </c>
      <c r="J3128">
        <v>1105</v>
      </c>
    </row>
    <row r="3129" spans="1:10" x14ac:dyDescent="0.25">
      <c r="A3129">
        <v>5396</v>
      </c>
      <c r="B3129" t="str">
        <v>Regal Entertain.</v>
      </c>
      <c r="C3129">
        <v>-20.912956000000001</v>
      </c>
      <c r="D3129">
        <v>5.0015859603881836</v>
      </c>
      <c r="E3129">
        <v>1.5862729549407959</v>
      </c>
      <c r="F3129">
        <v>0.31715399026870728</v>
      </c>
      <c r="G3129">
        <v>5.8499999046325684</v>
      </c>
      <c r="H3129">
        <v>9.0000003576278687E-2</v>
      </c>
      <c r="I3129">
        <v>1.7999999523162842</v>
      </c>
      <c r="J3129">
        <v>93</v>
      </c>
    </row>
    <row r="3130" spans="1:10" x14ac:dyDescent="0.25">
      <c r="A3130">
        <v>72552</v>
      </c>
      <c r="B3130" t="str">
        <v>Restaurant Brand</v>
      </c>
      <c r="C3130">
        <v>-10.125178999999999</v>
      </c>
      <c r="D3130">
        <v>116.94891357421875</v>
      </c>
      <c r="E3130">
        <v>26.311431884765625</v>
      </c>
      <c r="F3130">
        <v>0.22498199343681335</v>
      </c>
      <c r="G3130">
        <v>78.735000610351563</v>
      </c>
      <c r="H3130">
        <v>0.56000000238418579</v>
      </c>
      <c r="I3130">
        <v>4635.66015625</v>
      </c>
      <c r="J3130">
        <v>1120</v>
      </c>
    </row>
    <row r="3131" spans="1:10" x14ac:dyDescent="0.25">
      <c r="A3131">
        <v>15220</v>
      </c>
      <c r="B3131" t="str">
        <v>SGN Telecoms</v>
      </c>
      <c r="C3131">
        <v>29.257169000000001</v>
      </c>
      <c r="D3131">
        <v>0.66201698780059814</v>
      </c>
      <c r="E3131">
        <v>0.17105799913406372</v>
      </c>
      <c r="F3131">
        <v>0.25839000940322876</v>
      </c>
      <c r="G3131">
        <v>0.83249998092651367</v>
      </c>
      <c r="H3131">
        <v>0</v>
      </c>
      <c r="I3131">
        <v>6.4600000381469727</v>
      </c>
      <c r="J3131">
        <v>1004</v>
      </c>
    </row>
    <row r="3132" spans="1:10" x14ac:dyDescent="0.25">
      <c r="A3132">
        <v>23177</v>
      </c>
      <c r="B3132" t="str">
        <v>Shashank Traders</v>
      </c>
      <c r="C3132">
        <v>11.958724999999999</v>
      </c>
      <c r="D3132">
        <v>15.439444541931152</v>
      </c>
      <c r="E3132">
        <v>5.2324438095092773</v>
      </c>
      <c r="F3132">
        <v>0.33890101313591003</v>
      </c>
      <c r="G3132">
        <v>26.690000534057617</v>
      </c>
      <c r="H3132">
        <v>0.5899999737739563</v>
      </c>
      <c r="I3132">
        <v>8.2600002288818359</v>
      </c>
      <c r="J3132">
        <v>36</v>
      </c>
    </row>
    <row r="3133" spans="1:10" x14ac:dyDescent="0.25">
      <c r="A3133">
        <v>23965</v>
      </c>
      <c r="B3133" t="str">
        <v>Valley Magnesite</v>
      </c>
      <c r="C3133">
        <v>0</v>
      </c>
      <c r="D3133">
        <v>13.119999885559082</v>
      </c>
      <c r="E3133">
        <v>0</v>
      </c>
      <c r="F3133">
        <v>0</v>
      </c>
      <c r="G3133">
        <v>13.119999885559082</v>
      </c>
      <c r="H3133">
        <v>0</v>
      </c>
      <c r="I3133">
        <v>1.3799999952316284</v>
      </c>
      <c r="J3133">
        <v>1</v>
      </c>
    </row>
    <row r="3134" spans="1:10" x14ac:dyDescent="0.25">
      <c r="A3134">
        <v>45888</v>
      </c>
      <c r="B3134" t="str">
        <v>Antony Waste han</v>
      </c>
      <c r="C3134">
        <v>8.0138020000000001</v>
      </c>
      <c r="D3134">
        <v>407.34280395507813</v>
      </c>
      <c r="E3134">
        <v>147.27484130859375</v>
      </c>
      <c r="F3134">
        <v>0.36155000329017639</v>
      </c>
      <c r="G3134">
        <v>614.625</v>
      </c>
      <c r="H3134">
        <v>0.15999999642372131</v>
      </c>
      <c r="I3134">
        <v>1705.3199462890625</v>
      </c>
      <c r="J3134">
        <v>1107</v>
      </c>
    </row>
    <row r="3135" spans="1:10" x14ac:dyDescent="0.25">
      <c r="A3135">
        <v>68021</v>
      </c>
      <c r="B3135" t="str">
        <v>Balgopal Commer.</v>
      </c>
      <c r="C3135">
        <v>97.700901000000002</v>
      </c>
      <c r="D3135">
        <v>51.200637817382813</v>
      </c>
      <c r="E3135">
        <v>40.421798706054688</v>
      </c>
      <c r="F3135">
        <v>0.78947800397872925</v>
      </c>
      <c r="G3135">
        <v>144.88749694824219</v>
      </c>
      <c r="H3135">
        <v>0</v>
      </c>
      <c r="I3135">
        <v>276.60000610351563</v>
      </c>
      <c r="J3135">
        <v>707</v>
      </c>
    </row>
    <row r="3136" spans="1:10" x14ac:dyDescent="0.25">
      <c r="A3136">
        <v>27803</v>
      </c>
      <c r="B3136" t="str">
        <v>Hind Commerce</v>
      </c>
      <c r="C3136">
        <v>14.157413</v>
      </c>
      <c r="D3136">
        <v>3.5406250953674316</v>
      </c>
      <c r="E3136">
        <v>0.23409700393676758</v>
      </c>
      <c r="F3136">
        <v>6.6118001937866211E-2</v>
      </c>
      <c r="G3136">
        <v>3.809999942779541</v>
      </c>
      <c r="H3136">
        <v>0</v>
      </c>
      <c r="I3136">
        <v>1.1399999856948853</v>
      </c>
      <c r="J3136">
        <v>4</v>
      </c>
    </row>
    <row r="3137" spans="1:10" x14ac:dyDescent="0.25">
      <c r="A3137">
        <v>7753</v>
      </c>
      <c r="B3137" t="str">
        <v>N D Metal Inds.</v>
      </c>
      <c r="C3137">
        <v>31.996029</v>
      </c>
      <c r="D3137">
        <v>71.356719970703125</v>
      </c>
      <c r="E3137">
        <v>32.256332397460938</v>
      </c>
      <c r="F3137">
        <v>0.45204299688339233</v>
      </c>
      <c r="G3137">
        <v>91.510002136230469</v>
      </c>
      <c r="H3137">
        <v>0.12999999523162842</v>
      </c>
      <c r="I3137">
        <v>22.690000534057617</v>
      </c>
      <c r="J3137">
        <v>198</v>
      </c>
    </row>
    <row r="3138" spans="1:10" x14ac:dyDescent="0.25">
      <c r="A3138">
        <v>6094</v>
      </c>
      <c r="B3138" t="str">
        <v>Peoples Invest</v>
      </c>
      <c r="C3138">
        <v>67.979532000000006</v>
      </c>
      <c r="D3138">
        <v>156.18658447265625</v>
      </c>
      <c r="E3138">
        <v>79.41082763671875</v>
      </c>
      <c r="F3138">
        <v>0.50843602418899536</v>
      </c>
      <c r="G3138">
        <v>190</v>
      </c>
      <c r="H3138">
        <v>0</v>
      </c>
      <c r="I3138">
        <v>3.7999999523162842</v>
      </c>
      <c r="J3138">
        <v>288</v>
      </c>
    </row>
    <row r="3139" spans="1:10" x14ac:dyDescent="0.25">
      <c r="A3139">
        <v>75237</v>
      </c>
      <c r="B3139" t="str">
        <v>Brookfield India</v>
      </c>
      <c r="C3139">
        <v>3.0032679999999998</v>
      </c>
      <c r="D3139">
        <v>279.45266723632813</v>
      </c>
      <c r="E3139">
        <v>26.775020599365234</v>
      </c>
      <c r="F3139">
        <v>9.5812000334262848E-2</v>
      </c>
      <c r="G3139">
        <v>308.4324951171875</v>
      </c>
      <c r="H3139">
        <v>3.9999999105930328E-2</v>
      </c>
      <c r="I3139">
        <v>18665.900390625</v>
      </c>
      <c r="J3139">
        <v>1076</v>
      </c>
    </row>
    <row r="3140" spans="1:10" x14ac:dyDescent="0.25">
      <c r="A3140">
        <v>42548</v>
      </c>
      <c r="B3140" t="str">
        <v>Decillion Financ</v>
      </c>
      <c r="C3140">
        <v>30.852492999999999</v>
      </c>
      <c r="D3140">
        <v>32.079856872558594</v>
      </c>
      <c r="E3140">
        <v>16.722200393676758</v>
      </c>
      <c r="F3140">
        <v>0.52126801013946533</v>
      </c>
      <c r="G3140">
        <v>40.402500152587891</v>
      </c>
      <c r="H3140">
        <v>5.9999998658895493E-2</v>
      </c>
      <c r="I3140">
        <v>13.899999618530273</v>
      </c>
      <c r="J3140">
        <v>630</v>
      </c>
    </row>
    <row r="3141" spans="1:10" x14ac:dyDescent="0.25">
      <c r="A3141">
        <v>42719</v>
      </c>
      <c r="B3141" t="str">
        <v>Indigo Paints</v>
      </c>
      <c r="C3141">
        <v>-20.698440000000002</v>
      </c>
      <c r="D3141">
        <v>1626.108154296875</v>
      </c>
      <c r="E3141">
        <v>471.97589111328125</v>
      </c>
      <c r="F3141">
        <v>0.29024899005889893</v>
      </c>
      <c r="G3141">
        <v>1111.78759765625</v>
      </c>
      <c r="H3141">
        <v>1.9999999552965164E-2</v>
      </c>
      <c r="I3141">
        <v>5345.56982421875</v>
      </c>
      <c r="J3141">
        <v>1086</v>
      </c>
    </row>
    <row r="3142" spans="1:10" x14ac:dyDescent="0.25">
      <c r="A3142">
        <v>5013</v>
      </c>
      <c r="B3142" t="str">
        <v>Kumbhat Fin.</v>
      </c>
      <c r="C3142">
        <v>47.488035000000004</v>
      </c>
      <c r="D3142">
        <v>15.107365608215332</v>
      </c>
      <c r="E3142">
        <v>4.5731701850891113</v>
      </c>
      <c r="F3142">
        <v>0.30271100997924805</v>
      </c>
      <c r="G3142">
        <v>20.909999847412109</v>
      </c>
      <c r="H3142">
        <v>0</v>
      </c>
      <c r="I3142">
        <v>11.140000343322754</v>
      </c>
      <c r="J3142">
        <v>555</v>
      </c>
    </row>
    <row r="3143" spans="1:10" x14ac:dyDescent="0.25">
      <c r="A3143">
        <v>64838</v>
      </c>
      <c r="B3143" t="str">
        <v>Lucent Industrie</v>
      </c>
      <c r="C3143">
        <v>99.442279999999997</v>
      </c>
      <c r="D3143">
        <v>445.85104370117188</v>
      </c>
      <c r="E3143">
        <v>236.50640869140625</v>
      </c>
      <c r="F3143">
        <v>0.53046101331710815</v>
      </c>
      <c r="G3143">
        <v>675</v>
      </c>
      <c r="H3143">
        <v>0.31000000238418579</v>
      </c>
      <c r="I3143">
        <v>1012.5</v>
      </c>
      <c r="J3143">
        <v>273</v>
      </c>
    </row>
    <row r="3144" spans="1:10" x14ac:dyDescent="0.25">
      <c r="A3144">
        <v>6691</v>
      </c>
      <c r="B3144" t="str">
        <v>SMC Global Sec.</v>
      </c>
      <c r="C3144">
        <v>8.5277419999999999</v>
      </c>
      <c r="D3144">
        <v>99.515037536621094</v>
      </c>
      <c r="E3144">
        <v>29.691024780273438</v>
      </c>
      <c r="F3144">
        <v>0.29835700988769531</v>
      </c>
      <c r="G3144">
        <v>134.61250305175781</v>
      </c>
      <c r="H3144">
        <v>0.82999998331069946</v>
      </c>
      <c r="I3144">
        <v>1391.989990234375</v>
      </c>
      <c r="J3144">
        <v>1070</v>
      </c>
    </row>
    <row r="3145" spans="1:10" x14ac:dyDescent="0.25">
      <c r="A3145">
        <v>7609</v>
      </c>
      <c r="B3145" t="str">
        <v>Scintilla Comm</v>
      </c>
      <c r="C3145">
        <v>-5.9244669999999999</v>
      </c>
      <c r="D3145">
        <v>5.155311107635498</v>
      </c>
      <c r="E3145">
        <v>1.2446169853210449</v>
      </c>
      <c r="F3145">
        <v>0.24142399430274963</v>
      </c>
      <c r="G3145">
        <v>6.4200000762939453</v>
      </c>
      <c r="H3145">
        <v>7.9999998211860657E-2</v>
      </c>
      <c r="I3145">
        <v>6.440000057220459</v>
      </c>
      <c r="J3145">
        <v>619</v>
      </c>
    </row>
    <row r="3146" spans="1:10" x14ac:dyDescent="0.25">
      <c r="A3146">
        <v>42781</v>
      </c>
      <c r="B3146" t="str">
        <v>Stove Kraft</v>
      </c>
      <c r="C3146">
        <v>5.2293399999999997</v>
      </c>
      <c r="D3146">
        <v>631.414306640625</v>
      </c>
      <c r="E3146">
        <v>176.89569091796875</v>
      </c>
      <c r="F3146">
        <v>0.28015801310539246</v>
      </c>
      <c r="G3146">
        <v>578.4375</v>
      </c>
      <c r="H3146">
        <v>0.54000002145767212</v>
      </c>
      <c r="I3146">
        <v>1869.1099853515625</v>
      </c>
      <c r="J3146">
        <v>1083</v>
      </c>
    </row>
    <row r="3147" spans="1:10" x14ac:dyDescent="0.25">
      <c r="A3147">
        <v>26015</v>
      </c>
      <c r="B3147" t="str">
        <v>Adhbhut Infra.</v>
      </c>
      <c r="C3147">
        <v>-46.839499000000004</v>
      </c>
      <c r="D3147">
        <v>65.170188903808594</v>
      </c>
      <c r="E3147">
        <v>87.831298828125</v>
      </c>
      <c r="F3147">
        <v>1.347722053527832</v>
      </c>
      <c r="G3147">
        <v>20.709999084472656</v>
      </c>
      <c r="H3147">
        <v>0</v>
      </c>
      <c r="I3147">
        <v>21.680000305175781</v>
      </c>
      <c r="J3147">
        <v>461</v>
      </c>
    </row>
    <row r="3148" spans="1:10" x14ac:dyDescent="0.25">
      <c r="A3148">
        <v>66893</v>
      </c>
      <c r="B3148" t="str">
        <v>Anupam Rasayan</v>
      </c>
      <c r="C3148">
        <v>19.426634</v>
      </c>
      <c r="D3148">
        <v>821.33575439453125</v>
      </c>
      <c r="E3148">
        <v>133.75914001464844</v>
      </c>
      <c r="F3148">
        <v>0.16285599768161774</v>
      </c>
      <c r="G3148">
        <v>1127.9000244140625</v>
      </c>
      <c r="H3148">
        <v>0.37000000476837158</v>
      </c>
      <c r="I3148">
        <v>12455.2197265625</v>
      </c>
      <c r="J3148">
        <v>1050</v>
      </c>
    </row>
    <row r="3149" spans="1:10" x14ac:dyDescent="0.25">
      <c r="A3149">
        <v>4400</v>
      </c>
      <c r="B3149" t="str">
        <v>Bijoy Hans</v>
      </c>
      <c r="C3149">
        <v>2.5911590000000002</v>
      </c>
      <c r="D3149">
        <v>22.48951530456543</v>
      </c>
      <c r="E3149">
        <v>1.0825879573822021</v>
      </c>
      <c r="F3149">
        <v>4.8137001693248749E-2</v>
      </c>
      <c r="G3149">
        <v>23</v>
      </c>
      <c r="H3149">
        <v>1.9999999552965164E-2</v>
      </c>
      <c r="I3149">
        <v>6.9000000953674316</v>
      </c>
      <c r="J3149">
        <v>31</v>
      </c>
    </row>
    <row r="3150" spans="1:10" x14ac:dyDescent="0.25">
      <c r="A3150">
        <v>27871</v>
      </c>
      <c r="B3150" t="str">
        <v>Craftsman Auto</v>
      </c>
      <c r="C3150">
        <v>32.181085000000003</v>
      </c>
      <c r="D3150">
        <v>3643.7919921875</v>
      </c>
      <c r="E3150">
        <v>1339.9931640625</v>
      </c>
      <c r="F3150">
        <v>0.36774700880050659</v>
      </c>
      <c r="G3150">
        <v>5222.39990234375</v>
      </c>
      <c r="H3150">
        <v>0.92000001668930054</v>
      </c>
      <c r="I3150">
        <v>12369.240234375</v>
      </c>
      <c r="J3150">
        <v>1050</v>
      </c>
    </row>
    <row r="3151" spans="1:10" x14ac:dyDescent="0.25">
      <c r="A3151">
        <v>75283</v>
      </c>
      <c r="B3151" t="str">
        <v>DRC Systems</v>
      </c>
      <c r="C3151">
        <v>35.973934999999997</v>
      </c>
      <c r="D3151">
        <v>16.687410354614258</v>
      </c>
      <c r="E3151">
        <v>6.730186939239502</v>
      </c>
      <c r="F3151">
        <v>0.40330898761749268</v>
      </c>
      <c r="G3151">
        <v>19.212499618530273</v>
      </c>
      <c r="H3151">
        <v>1.9999999552965164E-2</v>
      </c>
      <c r="I3151">
        <v>256.42999267578125</v>
      </c>
      <c r="J3151">
        <v>870</v>
      </c>
    </row>
    <row r="3152" spans="1:10" x14ac:dyDescent="0.25">
      <c r="A3152">
        <v>1240</v>
      </c>
      <c r="B3152" t="str">
        <v>Eastcoast Steel</v>
      </c>
      <c r="C3152">
        <v>-31.977820000000001</v>
      </c>
      <c r="D3152">
        <v>25.753152847290039</v>
      </c>
      <c r="E3152">
        <v>10.860128402709961</v>
      </c>
      <c r="F3152">
        <v>0.42170101404190063</v>
      </c>
      <c r="G3152">
        <v>15.800000190734863</v>
      </c>
      <c r="H3152">
        <v>0.12999999523162842</v>
      </c>
      <c r="I3152">
        <v>8.5299997329711914</v>
      </c>
      <c r="J3152">
        <v>153</v>
      </c>
    </row>
    <row r="3153" spans="1:10" x14ac:dyDescent="0.25">
      <c r="A3153">
        <v>74649</v>
      </c>
      <c r="B3153" t="str">
        <v>Easy Trip Plann.</v>
      </c>
      <c r="C3153">
        <v>11.556194</v>
      </c>
      <c r="D3153">
        <v>19.372224807739258</v>
      </c>
      <c r="E3153">
        <v>5.3265399932861328</v>
      </c>
      <c r="F3153">
        <v>0.27495801448822021</v>
      </c>
      <c r="G3153">
        <v>10.590000152587891</v>
      </c>
      <c r="H3153">
        <v>5.9999998658895493E-2</v>
      </c>
      <c r="I3153">
        <v>3714.199951171875</v>
      </c>
      <c r="J3153">
        <v>1054</v>
      </c>
    </row>
    <row r="3154" spans="1:10" x14ac:dyDescent="0.25">
      <c r="A3154">
        <v>67411</v>
      </c>
      <c r="B3154" t="str">
        <v>Elitecon Inter.</v>
      </c>
      <c r="C3154">
        <v>103.099575</v>
      </c>
      <c r="D3154">
        <v>189.05433654785156</v>
      </c>
      <c r="E3154">
        <v>159.8333740234375</v>
      </c>
      <c r="F3154">
        <v>0.8454359769821167</v>
      </c>
      <c r="G3154">
        <v>525.48748779296875</v>
      </c>
      <c r="H3154">
        <v>0</v>
      </c>
      <c r="I3154">
        <v>8309.7998046875</v>
      </c>
      <c r="J3154">
        <v>200</v>
      </c>
    </row>
    <row r="3155" spans="1:10" x14ac:dyDescent="0.25">
      <c r="A3155">
        <v>2621</v>
      </c>
      <c r="B3155" t="str">
        <v>Ganesh Holdings</v>
      </c>
      <c r="C3155">
        <v>53.210352</v>
      </c>
      <c r="D3155">
        <v>59.260150909423828</v>
      </c>
      <c r="E3155">
        <v>36.654617309570313</v>
      </c>
      <c r="F3155">
        <v>0.61853700876235962</v>
      </c>
      <c r="G3155">
        <v>100.92500305175781</v>
      </c>
      <c r="H3155">
        <v>0</v>
      </c>
      <c r="I3155">
        <v>9.2200002670288086</v>
      </c>
      <c r="J3155">
        <v>675</v>
      </c>
    </row>
    <row r="3156" spans="1:10" x14ac:dyDescent="0.25">
      <c r="A3156">
        <v>29118</v>
      </c>
      <c r="B3156" t="str">
        <v>Heranba Inds</v>
      </c>
      <c r="C3156">
        <v>-25.113968</v>
      </c>
      <c r="D3156">
        <v>485.44924926757813</v>
      </c>
      <c r="E3156">
        <v>163.03225708007813</v>
      </c>
      <c r="F3156">
        <v>0.33583799004554749</v>
      </c>
      <c r="G3156">
        <v>283.33749389648438</v>
      </c>
      <c r="H3156">
        <v>0.14000000059604645</v>
      </c>
      <c r="I3156">
        <v>1116.97998046875</v>
      </c>
      <c r="J3156">
        <v>1063</v>
      </c>
    </row>
    <row r="3157" spans="1:10" x14ac:dyDescent="0.25">
      <c r="A3157">
        <v>2477</v>
      </c>
      <c r="B3157" t="str">
        <v>Jaybharat Text</v>
      </c>
      <c r="C3157">
        <v>6.76912</v>
      </c>
      <c r="D3157">
        <v>25.000772476196289</v>
      </c>
      <c r="E3157">
        <v>3.1425929069519043</v>
      </c>
      <c r="F3157">
        <v>0.12569999694824219</v>
      </c>
      <c r="G3157">
        <v>25.290000915527344</v>
      </c>
      <c r="H3157">
        <v>0</v>
      </c>
      <c r="I3157">
        <v>968.20001220703125</v>
      </c>
      <c r="J3157">
        <v>52</v>
      </c>
    </row>
    <row r="3158" spans="1:10" x14ac:dyDescent="0.25">
      <c r="A3158">
        <v>75293</v>
      </c>
      <c r="B3158" t="str">
        <v>Jubilant Ingrev.</v>
      </c>
      <c r="C3158">
        <v>24.642264000000001</v>
      </c>
      <c r="D3158">
        <v>548.080810546875</v>
      </c>
      <c r="E3158">
        <v>118.54088592529297</v>
      </c>
      <c r="F3158">
        <v>0.21628400683403015</v>
      </c>
      <c r="G3158">
        <v>724.0250244140625</v>
      </c>
      <c r="H3158">
        <v>0.34000000357627869</v>
      </c>
      <c r="I3158">
        <v>11212.599609375</v>
      </c>
      <c r="J3158">
        <v>1054</v>
      </c>
    </row>
    <row r="3159" spans="1:10" x14ac:dyDescent="0.25">
      <c r="A3159">
        <v>1611</v>
      </c>
      <c r="B3159" t="str">
        <v>Jupiter Inds.</v>
      </c>
      <c r="C3159">
        <v>-3.0094569999999998</v>
      </c>
      <c r="D3159">
        <v>3.5807139873504639</v>
      </c>
      <c r="E3159">
        <v>0.31667700409889221</v>
      </c>
      <c r="F3159">
        <v>8.8439002633094788E-2</v>
      </c>
      <c r="G3159">
        <v>3.619999885559082</v>
      </c>
      <c r="H3159">
        <v>0</v>
      </c>
      <c r="I3159">
        <v>0.36000001430511475</v>
      </c>
      <c r="J3159">
        <v>14</v>
      </c>
    </row>
    <row r="3160" spans="1:10" x14ac:dyDescent="0.25">
      <c r="A3160">
        <v>75229</v>
      </c>
      <c r="B3160" t="str">
        <v>Knowledge Marine</v>
      </c>
      <c r="C3160">
        <v>99.963868000000005</v>
      </c>
      <c r="D3160">
        <v>1000.7314453125</v>
      </c>
      <c r="E3160">
        <v>650.34503173828125</v>
      </c>
      <c r="F3160">
        <v>0.64986997842788696</v>
      </c>
      <c r="G3160">
        <v>1682.7750244140625</v>
      </c>
      <c r="H3160">
        <v>0.11999999731779099</v>
      </c>
      <c r="I3160">
        <v>1817.81005859375</v>
      </c>
      <c r="J3160">
        <v>1004</v>
      </c>
    </row>
    <row r="3161" spans="1:10" x14ac:dyDescent="0.25">
      <c r="A3161">
        <v>23722</v>
      </c>
      <c r="B3161" t="str">
        <v>Laxmi Organic</v>
      </c>
      <c r="C3161">
        <v>4.4273699999999998</v>
      </c>
      <c r="D3161">
        <v>295.39834594726563</v>
      </c>
      <c r="E3161">
        <v>82.517333984375</v>
      </c>
      <c r="F3161">
        <v>0.27934300899505615</v>
      </c>
      <c r="G3161">
        <v>192.33749389648438</v>
      </c>
      <c r="H3161">
        <v>0.15999999642372131</v>
      </c>
      <c r="I3161">
        <v>5322.4501953125</v>
      </c>
      <c r="J3161">
        <v>1050</v>
      </c>
    </row>
    <row r="3162" spans="1:10" x14ac:dyDescent="0.25">
      <c r="A3162">
        <v>34242</v>
      </c>
      <c r="B3162" t="str">
        <v>MTAR Technologie</v>
      </c>
      <c r="C3162">
        <v>10.71622</v>
      </c>
      <c r="D3162">
        <v>1730.56005859375</v>
      </c>
      <c r="E3162">
        <v>379.74319458007813</v>
      </c>
      <c r="F3162">
        <v>0.21943399310112</v>
      </c>
      <c r="G3162">
        <v>1702.375</v>
      </c>
      <c r="H3162">
        <v>0.25999999046325684</v>
      </c>
      <c r="I3162">
        <v>5307.8798828125</v>
      </c>
      <c r="J3162">
        <v>1058</v>
      </c>
    </row>
    <row r="3163" spans="1:10" x14ac:dyDescent="0.25">
      <c r="A3163">
        <v>2233</v>
      </c>
      <c r="B3163" t="str">
        <v>Mercury Trade Li</v>
      </c>
      <c r="C3163">
        <v>-11.7539</v>
      </c>
      <c r="D3163">
        <v>31.426555633544922</v>
      </c>
      <c r="E3163">
        <v>25.572454452514648</v>
      </c>
      <c r="F3163">
        <v>0.81372100114822388</v>
      </c>
      <c r="G3163">
        <v>15.114999771118164</v>
      </c>
      <c r="H3163">
        <v>0</v>
      </c>
      <c r="I3163">
        <v>20.389999389648438</v>
      </c>
      <c r="J3163">
        <v>299</v>
      </c>
    </row>
    <row r="3164" spans="1:10" x14ac:dyDescent="0.25">
      <c r="A3164">
        <v>75228</v>
      </c>
      <c r="B3164" t="str">
        <v>Nureca</v>
      </c>
      <c r="C3164">
        <v>-19.186236999999998</v>
      </c>
      <c r="D3164">
        <v>726.5404052734375</v>
      </c>
      <c r="E3164">
        <v>540.83447265625</v>
      </c>
      <c r="F3164">
        <v>0.74439698457717896</v>
      </c>
      <c r="G3164">
        <v>275.0625</v>
      </c>
      <c r="H3164">
        <v>1.9999999552965164E-2</v>
      </c>
      <c r="I3164">
        <v>272.45001220703125</v>
      </c>
      <c r="J3164">
        <v>1068</v>
      </c>
    </row>
    <row r="3165" spans="1:10" x14ac:dyDescent="0.25">
      <c r="A3165">
        <v>7290</v>
      </c>
      <c r="B3165" t="str">
        <v>RCC Cements</v>
      </c>
      <c r="C3165">
        <v>10.593704000000001</v>
      </c>
      <c r="D3165">
        <v>10.978124618530273</v>
      </c>
      <c r="E3165">
        <v>1.2758539915084839</v>
      </c>
      <c r="F3165">
        <v>0.11621800065040588</v>
      </c>
      <c r="G3165">
        <v>12.930000305175781</v>
      </c>
      <c r="H3165">
        <v>0.34000000357627869</v>
      </c>
      <c r="I3165">
        <v>7.2399997711181641</v>
      </c>
      <c r="J3165">
        <v>16</v>
      </c>
    </row>
    <row r="3166" spans="1:10" x14ac:dyDescent="0.25">
      <c r="A3166">
        <v>22070</v>
      </c>
      <c r="B3166" t="str">
        <v>Railtel Corpn.</v>
      </c>
      <c r="C3166">
        <v>31.256698</v>
      </c>
      <c r="D3166">
        <v>226.50212097167969</v>
      </c>
      <c r="E3166">
        <v>136.20521545410156</v>
      </c>
      <c r="F3166">
        <v>0.60134202241897583</v>
      </c>
      <c r="G3166">
        <v>417.82501220703125</v>
      </c>
      <c r="H3166">
        <v>2.9999999329447746E-2</v>
      </c>
      <c r="I3166">
        <v>13081.4501953125</v>
      </c>
      <c r="J3166">
        <v>1068</v>
      </c>
    </row>
    <row r="3167" spans="1:10" x14ac:dyDescent="0.25">
      <c r="A3167">
        <v>1608</v>
      </c>
      <c r="B3167" t="str">
        <v>Rajsanket Realty</v>
      </c>
      <c r="C3167">
        <v>0</v>
      </c>
      <c r="D3167">
        <v>53.200000762939453</v>
      </c>
      <c r="E3167">
        <v>0</v>
      </c>
      <c r="F3167">
        <v>0</v>
      </c>
      <c r="G3167">
        <v>53.200000762939453</v>
      </c>
      <c r="H3167">
        <v>0</v>
      </c>
      <c r="I3167">
        <v>12.739999771118164</v>
      </c>
      <c r="J3167">
        <v>1</v>
      </c>
    </row>
    <row r="3168" spans="1:10" x14ac:dyDescent="0.25">
      <c r="A3168">
        <v>26822</v>
      </c>
      <c r="B3168" t="str">
        <v>Rajvir Inds.</v>
      </c>
      <c r="C3168">
        <v>2.1270549999999999</v>
      </c>
      <c r="D3168">
        <v>8.9373750686645508</v>
      </c>
      <c r="E3168">
        <v>2.4896140098571777</v>
      </c>
      <c r="F3168">
        <v>0.27856200933456421</v>
      </c>
      <c r="G3168">
        <v>11.630000114440918</v>
      </c>
      <c r="H3168">
        <v>0</v>
      </c>
      <c r="I3168">
        <v>4.6500000953674316</v>
      </c>
      <c r="J3168">
        <v>80</v>
      </c>
    </row>
    <row r="3169" spans="1:10" x14ac:dyDescent="0.25">
      <c r="A3169">
        <v>74025</v>
      </c>
      <c r="B3169" t="str">
        <v>Ambassador Intra</v>
      </c>
      <c r="C3169">
        <v>34.328434000000001</v>
      </c>
      <c r="D3169">
        <v>33.091293334960938</v>
      </c>
      <c r="E3169">
        <v>8.1620922088623047</v>
      </c>
      <c r="F3169">
        <v>0.24665400385856628</v>
      </c>
      <c r="G3169">
        <v>49.990001678466797</v>
      </c>
      <c r="H3169">
        <v>0.15999999642372131</v>
      </c>
      <c r="I3169">
        <v>10.449999809265137</v>
      </c>
      <c r="J3169">
        <v>226</v>
      </c>
    </row>
    <row r="3170" spans="1:10" x14ac:dyDescent="0.25">
      <c r="A3170">
        <v>7817</v>
      </c>
      <c r="B3170" t="str">
        <v>Ambica Agarbat.</v>
      </c>
      <c r="C3170">
        <v>19.273775000000001</v>
      </c>
      <c r="D3170">
        <v>27.503742218017578</v>
      </c>
      <c r="E3170">
        <v>5.5098972320556641</v>
      </c>
      <c r="F3170">
        <v>0.20033299922943115</v>
      </c>
      <c r="G3170">
        <v>27.780000686645508</v>
      </c>
      <c r="H3170">
        <v>0.62999999523162842</v>
      </c>
      <c r="I3170">
        <v>47.049999237060547</v>
      </c>
      <c r="J3170">
        <v>1029</v>
      </c>
    </row>
    <row r="3171" spans="1:10" x14ac:dyDescent="0.25">
      <c r="A3171">
        <v>73023</v>
      </c>
      <c r="B3171" t="str">
        <v>Deep Industries</v>
      </c>
      <c r="C3171">
        <v>83.348000999999996</v>
      </c>
      <c r="D3171">
        <v>225.51042175292969</v>
      </c>
      <c r="E3171">
        <v>151.98599243164063</v>
      </c>
      <c r="F3171">
        <v>0.67396402359008789</v>
      </c>
      <c r="G3171">
        <v>424.41250610351563</v>
      </c>
      <c r="H3171">
        <v>7.9999998211860657E-2</v>
      </c>
      <c r="I3171">
        <v>2681.280029296875</v>
      </c>
      <c r="J3171">
        <v>1031</v>
      </c>
    </row>
    <row r="3172" spans="1:10" x14ac:dyDescent="0.25">
      <c r="A3172">
        <v>75261</v>
      </c>
      <c r="B3172" t="str">
        <v>EKI Energy</v>
      </c>
      <c r="C3172">
        <v>29.915531000000001</v>
      </c>
      <c r="D3172">
        <v>794.11474609375</v>
      </c>
      <c r="E3172">
        <v>711.7398681640625</v>
      </c>
      <c r="F3172">
        <v>0.89626801013946533</v>
      </c>
      <c r="G3172">
        <v>120.69999694824219</v>
      </c>
      <c r="H3172">
        <v>7.0000000298023224E-2</v>
      </c>
      <c r="I3172">
        <v>329.8599853515625</v>
      </c>
      <c r="J3172">
        <v>1032</v>
      </c>
    </row>
    <row r="3173" spans="1:10" x14ac:dyDescent="0.25">
      <c r="A3173">
        <v>42402</v>
      </c>
      <c r="B3173" t="str">
        <v>Kalyan Jewellers</v>
      </c>
      <c r="C3173">
        <v>47.899977999999997</v>
      </c>
      <c r="D3173">
        <v>257.16656494140625</v>
      </c>
      <c r="E3173">
        <v>217.79658508300781</v>
      </c>
      <c r="F3173">
        <v>0.84690898656845093</v>
      </c>
      <c r="G3173">
        <v>515.75</v>
      </c>
      <c r="H3173">
        <v>0.57999998331069946</v>
      </c>
      <c r="I3173">
        <v>52724.6796875</v>
      </c>
      <c r="J3173">
        <v>1049</v>
      </c>
    </row>
    <row r="3174" spans="1:10" x14ac:dyDescent="0.25">
      <c r="A3174">
        <v>7484</v>
      </c>
      <c r="B3174" t="str">
        <v>LCC Infotech</v>
      </c>
      <c r="C3174">
        <v>0.62562499999999999</v>
      </c>
      <c r="D3174">
        <v>3.7707951068878174</v>
      </c>
      <c r="E3174">
        <v>2.5183830261230469</v>
      </c>
      <c r="F3174">
        <v>0.66786497831344604</v>
      </c>
      <c r="G3174">
        <v>5.6700000762939453</v>
      </c>
      <c r="H3174">
        <v>0.10000000149011612</v>
      </c>
      <c r="I3174">
        <v>71.779998779296875</v>
      </c>
      <c r="J3174">
        <v>1032</v>
      </c>
    </row>
    <row r="3175" spans="1:10" x14ac:dyDescent="0.25">
      <c r="A3175">
        <v>4551</v>
      </c>
      <c r="B3175" t="str">
        <v>MFS Intercorp</v>
      </c>
      <c r="C3175">
        <v>11.636846999999999</v>
      </c>
      <c r="D3175">
        <v>14.822561264038086</v>
      </c>
      <c r="E3175">
        <v>6.848351001739502</v>
      </c>
      <c r="F3175">
        <v>0.46202200651168823</v>
      </c>
      <c r="G3175">
        <v>16.530000686645508</v>
      </c>
      <c r="H3175">
        <v>0</v>
      </c>
      <c r="I3175">
        <v>7.3899998664855957</v>
      </c>
      <c r="J3175">
        <v>863</v>
      </c>
    </row>
    <row r="3176" spans="1:10" x14ac:dyDescent="0.25">
      <c r="A3176">
        <v>35713</v>
      </c>
      <c r="B3176" t="str">
        <v>Macrotech Devel.</v>
      </c>
      <c r="C3176">
        <v>47.012312999999999</v>
      </c>
      <c r="D3176">
        <v>805.4564208984375</v>
      </c>
      <c r="E3176">
        <v>360.12164306640625</v>
      </c>
      <c r="F3176">
        <v>0.44710299372673035</v>
      </c>
      <c r="G3176">
        <v>1438.625</v>
      </c>
      <c r="H3176">
        <v>0.68000000715255737</v>
      </c>
      <c r="I3176">
        <v>142073.125</v>
      </c>
      <c r="J3176">
        <v>1036</v>
      </c>
    </row>
    <row r="3177" spans="1:10" x14ac:dyDescent="0.25">
      <c r="A3177">
        <v>33311</v>
      </c>
      <c r="B3177" t="str">
        <v>Nazara Technolo.</v>
      </c>
      <c r="C3177">
        <v>9.2113890000000005</v>
      </c>
      <c r="D3177">
        <v>832.99847412109375</v>
      </c>
      <c r="E3177">
        <v>203.71810913085938</v>
      </c>
      <c r="F3177">
        <v>0.24456000328063965</v>
      </c>
      <c r="G3177">
        <v>1313.7249755859375</v>
      </c>
      <c r="H3177">
        <v>0</v>
      </c>
      <c r="I3177">
        <v>11391.4296875</v>
      </c>
      <c r="J3177">
        <v>1048</v>
      </c>
    </row>
    <row r="3178" spans="1:10" x14ac:dyDescent="0.25">
      <c r="A3178">
        <v>5936</v>
      </c>
      <c r="B3178" t="str">
        <v>Spright Agro</v>
      </c>
      <c r="C3178">
        <v>79.711186999999995</v>
      </c>
      <c r="D3178">
        <v>6.0179457664489746</v>
      </c>
      <c r="E3178">
        <v>8.8680362701416016</v>
      </c>
      <c r="F3178">
        <v>1.4735980033874512</v>
      </c>
      <c r="G3178">
        <v>3.5999999046325684</v>
      </c>
      <c r="H3178">
        <v>9.9999997764825821E-3</v>
      </c>
      <c r="I3178">
        <v>383.60000610351563</v>
      </c>
      <c r="J3178">
        <v>816</v>
      </c>
    </row>
    <row r="3179" spans="1:10" x14ac:dyDescent="0.25">
      <c r="A3179">
        <v>48889</v>
      </c>
      <c r="B3179" t="str">
        <v>Suryoday Small</v>
      </c>
      <c r="C3179">
        <v>-15.429683000000001</v>
      </c>
      <c r="D3179">
        <v>151.20375061035156</v>
      </c>
      <c r="E3179">
        <v>41.489475250244141</v>
      </c>
      <c r="F3179">
        <v>0.27439400553703308</v>
      </c>
      <c r="G3179">
        <v>138.5</v>
      </c>
      <c r="H3179">
        <v>0</v>
      </c>
      <c r="I3179">
        <v>1465.6700439453125</v>
      </c>
      <c r="J3179">
        <v>1048</v>
      </c>
    </row>
    <row r="3180" spans="1:10" x14ac:dyDescent="0.25">
      <c r="A3180">
        <v>68696</v>
      </c>
      <c r="B3180" t="str">
        <v>Suvidhaa Info.</v>
      </c>
      <c r="C3180">
        <v>-70.794494999999998</v>
      </c>
      <c r="D3180">
        <v>9.1081428527832031</v>
      </c>
      <c r="E3180">
        <v>9.69744873046875</v>
      </c>
      <c r="F3180">
        <v>1.0647009611129761</v>
      </c>
      <c r="G3180">
        <v>3.7349998950958252</v>
      </c>
      <c r="H3180">
        <v>0</v>
      </c>
      <c r="I3180">
        <v>78.680000305175781</v>
      </c>
      <c r="J3180">
        <v>1046</v>
      </c>
    </row>
    <row r="3181" spans="1:10" x14ac:dyDescent="0.25">
      <c r="A3181">
        <v>66950</v>
      </c>
      <c r="B3181" t="str">
        <v>Swagtam Trading</v>
      </c>
      <c r="C3181">
        <v>39.899290999999998</v>
      </c>
      <c r="D3181">
        <v>66.608802795410156</v>
      </c>
      <c r="E3181">
        <v>31.205303192138672</v>
      </c>
      <c r="F3181">
        <v>0.46848601102828979</v>
      </c>
      <c r="G3181">
        <v>61.75</v>
      </c>
      <c r="H3181">
        <v>0</v>
      </c>
      <c r="I3181">
        <v>7.3499999046325684</v>
      </c>
      <c r="J3181">
        <v>686</v>
      </c>
    </row>
    <row r="3182" spans="1:10" x14ac:dyDescent="0.25">
      <c r="A3182">
        <v>2023</v>
      </c>
      <c r="B3182" t="str">
        <v>Vega Jewellers</v>
      </c>
      <c r="C3182">
        <v>110.897139</v>
      </c>
      <c r="D3182">
        <v>27.515510559082031</v>
      </c>
      <c r="E3182">
        <v>26.49237060546875</v>
      </c>
      <c r="F3182">
        <v>0.96281599998474121</v>
      </c>
      <c r="G3182">
        <v>102.05999755859375</v>
      </c>
      <c r="H3182">
        <v>0</v>
      </c>
      <c r="I3182">
        <v>96.720001220703125</v>
      </c>
      <c r="J3182">
        <v>185</v>
      </c>
    </row>
    <row r="3183" spans="1:10" x14ac:dyDescent="0.25">
      <c r="A3183">
        <v>18578</v>
      </c>
      <c r="B3183" t="str">
        <v>Hi-Klass Trading</v>
      </c>
      <c r="C3183">
        <v>21.585705999999998</v>
      </c>
      <c r="D3183">
        <v>4.6381239891052246</v>
      </c>
      <c r="E3183">
        <v>1.0591080188751221</v>
      </c>
      <c r="F3183">
        <v>0.22834800183773041</v>
      </c>
      <c r="G3183">
        <v>6.4899997711181641</v>
      </c>
      <c r="H3183">
        <v>0</v>
      </c>
      <c r="I3183">
        <v>4.0300002098083496</v>
      </c>
      <c r="J3183">
        <v>16</v>
      </c>
    </row>
    <row r="3184" spans="1:10" x14ac:dyDescent="0.25">
      <c r="A3184">
        <v>2539</v>
      </c>
      <c r="B3184" t="str">
        <v>Pervasive Comm.</v>
      </c>
      <c r="C3184">
        <v>0</v>
      </c>
      <c r="D3184">
        <v>1.2000000476837158</v>
      </c>
      <c r="E3184">
        <v>0</v>
      </c>
      <c r="F3184">
        <v>0</v>
      </c>
      <c r="G3184">
        <v>1.2000000476837158</v>
      </c>
      <c r="H3184">
        <v>0</v>
      </c>
      <c r="I3184">
        <v>0.10999999940395355</v>
      </c>
      <c r="J3184">
        <v>1</v>
      </c>
    </row>
    <row r="3185" spans="1:10" x14ac:dyDescent="0.25">
      <c r="A3185">
        <v>75317</v>
      </c>
      <c r="B3185" t="str">
        <v>Powergrid Infra.</v>
      </c>
      <c r="C3185">
        <v>-4.2655029999999998</v>
      </c>
      <c r="D3185">
        <v>110.79834747314453</v>
      </c>
      <c r="E3185">
        <v>18.55604362487793</v>
      </c>
      <c r="F3185">
        <v>0.16747599840164185</v>
      </c>
      <c r="G3185">
        <v>86.962501525878906</v>
      </c>
      <c r="H3185">
        <v>7.0000000298023224E-2</v>
      </c>
      <c r="I3185">
        <v>7913.35009765625</v>
      </c>
      <c r="J3185">
        <v>1019</v>
      </c>
    </row>
    <row r="3186" spans="1:10" x14ac:dyDescent="0.25">
      <c r="A3186">
        <v>4033</v>
      </c>
      <c r="B3186" t="str">
        <v>Premier Cap Serv</v>
      </c>
      <c r="C3186">
        <v>-46.875205000000001</v>
      </c>
      <c r="D3186">
        <v>7.0750260353088379</v>
      </c>
      <c r="E3186">
        <v>7.3835878372192383</v>
      </c>
      <c r="F3186">
        <v>1.0436129570007324</v>
      </c>
      <c r="G3186">
        <v>8.75</v>
      </c>
      <c r="H3186">
        <v>2.9999999329447746E-2</v>
      </c>
      <c r="I3186">
        <v>32.430000305175781</v>
      </c>
      <c r="J3186">
        <v>960</v>
      </c>
    </row>
    <row r="3187" spans="1:10" x14ac:dyDescent="0.25">
      <c r="A3187">
        <v>3400</v>
      </c>
      <c r="B3187" t="str">
        <v>Sobhagya Mercant</v>
      </c>
      <c r="C3187">
        <v>180.94723200000001</v>
      </c>
      <c r="D3187">
        <v>176.21981811523438</v>
      </c>
      <c r="E3187">
        <v>152.71415710449219</v>
      </c>
      <c r="F3187">
        <v>0.8666120171546936</v>
      </c>
      <c r="G3187">
        <v>452.29998779296875</v>
      </c>
      <c r="H3187">
        <v>0.25</v>
      </c>
      <c r="I3187">
        <v>387.239990234375</v>
      </c>
      <c r="J3187">
        <v>316</v>
      </c>
    </row>
    <row r="3188" spans="1:10" x14ac:dyDescent="0.25">
      <c r="A3188">
        <v>15928</v>
      </c>
      <c r="B3188" t="str">
        <v>Sunrise Indl.</v>
      </c>
      <c r="C3188">
        <v>12.486420000000001</v>
      </c>
      <c r="D3188">
        <v>6.6599998474121094</v>
      </c>
      <c r="E3188">
        <v>0.41328001022338867</v>
      </c>
      <c r="F3188">
        <v>6.2054000794887543E-2</v>
      </c>
      <c r="G3188">
        <v>7.1500000953674316</v>
      </c>
      <c r="H3188">
        <v>0</v>
      </c>
      <c r="I3188">
        <v>0.36000001430511475</v>
      </c>
      <c r="J3188">
        <v>4</v>
      </c>
    </row>
    <row r="3189" spans="1:10" x14ac:dyDescent="0.25">
      <c r="A3189">
        <v>75469</v>
      </c>
      <c r="B3189" t="str">
        <v>Inox Wind Energy</v>
      </c>
      <c r="C3189">
        <v>112.20622899999999</v>
      </c>
      <c r="D3189">
        <v>4083.494873046875</v>
      </c>
      <c r="E3189">
        <v>3996.36279296875</v>
      </c>
      <c r="F3189">
        <v>0.97866201400756836</v>
      </c>
      <c r="G3189">
        <v>10397.849609375</v>
      </c>
      <c r="H3189">
        <v>7.0000000298023224E-2</v>
      </c>
      <c r="I3189">
        <v>12410.75</v>
      </c>
      <c r="J3189">
        <v>992</v>
      </c>
    </row>
    <row r="3190" spans="1:10" x14ac:dyDescent="0.25">
      <c r="A3190">
        <v>24115</v>
      </c>
      <c r="B3190" t="str">
        <v>P B A Infra.</v>
      </c>
      <c r="C3190">
        <v>7.7548089999999998</v>
      </c>
      <c r="D3190">
        <v>12.051274299621582</v>
      </c>
      <c r="E3190">
        <v>2.7832410335540771</v>
      </c>
      <c r="F3190">
        <v>0.2309499979019165</v>
      </c>
      <c r="G3190">
        <v>10.242500305175781</v>
      </c>
      <c r="H3190">
        <v>0</v>
      </c>
      <c r="I3190">
        <v>13.840000152587891</v>
      </c>
      <c r="J3190">
        <v>1003</v>
      </c>
    </row>
    <row r="3191" spans="1:10" x14ac:dyDescent="0.25">
      <c r="A3191">
        <v>41771</v>
      </c>
      <c r="B3191" t="str">
        <v>Dodla Dairy</v>
      </c>
      <c r="C3191">
        <v>22.553643999999998</v>
      </c>
      <c r="D3191">
        <v>760.05389404296875</v>
      </c>
      <c r="E3191">
        <v>281.530029296875</v>
      </c>
      <c r="F3191">
        <v>0.37040799856185913</v>
      </c>
      <c r="G3191">
        <v>1376.39990234375</v>
      </c>
      <c r="H3191">
        <v>9.9999997764825821E-3</v>
      </c>
      <c r="I3191">
        <v>8171.7001953125</v>
      </c>
      <c r="J3191">
        <v>988</v>
      </c>
    </row>
    <row r="3192" spans="1:10" x14ac:dyDescent="0.25">
      <c r="A3192">
        <v>35408</v>
      </c>
      <c r="B3192" t="str">
        <v>G R Infraproject</v>
      </c>
      <c r="C3192">
        <v>-7.3480100000000004</v>
      </c>
      <c r="D3192">
        <v>1378.9290771484375</v>
      </c>
      <c r="E3192">
        <v>262.04318237304688</v>
      </c>
      <c r="F3192">
        <v>0.19003400206565857</v>
      </c>
      <c r="G3192">
        <v>1277.4749755859375</v>
      </c>
      <c r="H3192">
        <v>0.15000000596046448</v>
      </c>
      <c r="I3192">
        <v>12132.2001953125</v>
      </c>
      <c r="J3192">
        <v>973</v>
      </c>
    </row>
    <row r="3193" spans="1:10" x14ac:dyDescent="0.25">
      <c r="A3193">
        <v>1419</v>
      </c>
      <c r="B3193" t="str">
        <v>ICDS</v>
      </c>
      <c r="C3193">
        <v>31.458290000000002</v>
      </c>
      <c r="D3193">
        <v>41.765525817871094</v>
      </c>
      <c r="E3193">
        <v>15.498117446899414</v>
      </c>
      <c r="F3193">
        <v>0.37107399106025696</v>
      </c>
      <c r="G3193">
        <v>55.880001068115234</v>
      </c>
      <c r="H3193">
        <v>9.9999997764825821E-3</v>
      </c>
      <c r="I3193">
        <v>72.790000915527344</v>
      </c>
      <c r="J3193">
        <v>920</v>
      </c>
    </row>
    <row r="3194" spans="1:10" x14ac:dyDescent="0.25">
      <c r="A3194">
        <v>75356</v>
      </c>
      <c r="B3194" t="str">
        <v>India Pesticides</v>
      </c>
      <c r="C3194">
        <v>-14.512631000000001</v>
      </c>
      <c r="D3194">
        <v>254.49095153808594</v>
      </c>
      <c r="E3194">
        <v>61.452182769775391</v>
      </c>
      <c r="F3194">
        <v>0.24147099256515503</v>
      </c>
      <c r="G3194">
        <v>196.4375</v>
      </c>
      <c r="H3194">
        <v>1.9999999552965164E-2</v>
      </c>
      <c r="I3194">
        <v>2226.110107421875</v>
      </c>
      <c r="J3194">
        <v>983</v>
      </c>
    </row>
    <row r="3195" spans="1:10" x14ac:dyDescent="0.25">
      <c r="A3195">
        <v>34776</v>
      </c>
      <c r="B3195" t="str">
        <v>Krishna Institu.</v>
      </c>
      <c r="C3195">
        <v>32.100921</v>
      </c>
      <c r="D3195">
        <v>375.33489990234375</v>
      </c>
      <c r="E3195">
        <v>129.44998168945313</v>
      </c>
      <c r="F3195">
        <v>0.3448919951915741</v>
      </c>
      <c r="G3195">
        <v>653.86260986328125</v>
      </c>
      <c r="H3195">
        <v>9.0000003576278687E-2</v>
      </c>
      <c r="I3195">
        <v>25925</v>
      </c>
      <c r="J3195">
        <v>986</v>
      </c>
    </row>
    <row r="3196" spans="1:10" x14ac:dyDescent="0.25">
      <c r="A3196">
        <v>54800</v>
      </c>
      <c r="B3196" t="str">
        <v>Octavius Plant.</v>
      </c>
      <c r="C3196">
        <v>14.478840999999999</v>
      </c>
      <c r="D3196">
        <v>58.069637298583984</v>
      </c>
      <c r="E3196">
        <v>14.021087646484375</v>
      </c>
      <c r="F3196">
        <v>0.24145300686359406</v>
      </c>
      <c r="G3196">
        <v>57.950000762939453</v>
      </c>
      <c r="H3196">
        <v>0.10000000149011612</v>
      </c>
      <c r="I3196">
        <v>17.389999389648438</v>
      </c>
      <c r="J3196">
        <v>916</v>
      </c>
    </row>
    <row r="3197" spans="1:10" x14ac:dyDescent="0.25">
      <c r="A3197">
        <v>19443</v>
      </c>
      <c r="B3197" t="str">
        <v>Oxygenta Pharma</v>
      </c>
      <c r="C3197">
        <v>69.651307000000003</v>
      </c>
      <c r="D3197">
        <v>41.646579742431641</v>
      </c>
      <c r="E3197">
        <v>23.392923355102539</v>
      </c>
      <c r="F3197">
        <v>0.56170099973678589</v>
      </c>
      <c r="G3197">
        <v>116.04750061035156</v>
      </c>
      <c r="H3197">
        <v>0</v>
      </c>
      <c r="I3197">
        <v>418.05999755859375</v>
      </c>
      <c r="J3197">
        <v>918</v>
      </c>
    </row>
    <row r="3198" spans="1:10" x14ac:dyDescent="0.25">
      <c r="A3198">
        <v>7113</v>
      </c>
      <c r="B3198" t="str">
        <v>Prism Finance</v>
      </c>
      <c r="C3198">
        <v>8.8115989999999993</v>
      </c>
      <c r="D3198">
        <v>29.846466064453125</v>
      </c>
      <c r="E3198">
        <v>7.7898421287536621</v>
      </c>
      <c r="F3198">
        <v>0.26099699735641479</v>
      </c>
      <c r="G3198">
        <v>29.350000381469727</v>
      </c>
      <c r="H3198">
        <v>9.9999997764825821E-3</v>
      </c>
      <c r="I3198">
        <v>19.079999923706055</v>
      </c>
      <c r="J3198">
        <v>164</v>
      </c>
    </row>
    <row r="3199" spans="1:10" x14ac:dyDescent="0.25">
      <c r="A3199">
        <v>4747</v>
      </c>
      <c r="B3199" t="str">
        <v>Rajasthan Gases</v>
      </c>
      <c r="C3199">
        <v>59.374569999999999</v>
      </c>
      <c r="D3199">
        <v>21.003862380981445</v>
      </c>
      <c r="E3199">
        <v>19.482561111450195</v>
      </c>
      <c r="F3199">
        <v>0.92756998538970947</v>
      </c>
      <c r="G3199">
        <v>41.412498474121094</v>
      </c>
      <c r="H3199">
        <v>0.12999999523162842</v>
      </c>
      <c r="I3199">
        <v>323.25</v>
      </c>
      <c r="J3199">
        <v>770</v>
      </c>
    </row>
    <row r="3200" spans="1:10" x14ac:dyDescent="0.25">
      <c r="A3200">
        <v>7591</v>
      </c>
      <c r="B3200" t="str">
        <v>Shree Securities</v>
      </c>
      <c r="C3200">
        <v>-33.808135999999998</v>
      </c>
      <c r="D3200">
        <v>0.73928898572921753</v>
      </c>
      <c r="E3200">
        <v>0.70477801561355591</v>
      </c>
      <c r="F3200">
        <v>0.95331799983978271</v>
      </c>
      <c r="G3200">
        <v>0.3125</v>
      </c>
      <c r="H3200">
        <v>0</v>
      </c>
      <c r="I3200">
        <v>25.540000915527344</v>
      </c>
      <c r="J3200">
        <v>682</v>
      </c>
    </row>
    <row r="3201" spans="1:10" x14ac:dyDescent="0.25">
      <c r="A3201">
        <v>45268</v>
      </c>
      <c r="B3201" t="str">
        <v>Shyam Metalics</v>
      </c>
      <c r="C3201">
        <v>19.976241000000002</v>
      </c>
      <c r="D3201">
        <v>498.91012573242188</v>
      </c>
      <c r="E3201">
        <v>210.83807373046875</v>
      </c>
      <c r="F3201">
        <v>0.42259699106216431</v>
      </c>
      <c r="G3201">
        <v>821.4000244140625</v>
      </c>
      <c r="H3201">
        <v>5.000000074505806E-2</v>
      </c>
      <c r="I3201">
        <v>22834.380859375</v>
      </c>
      <c r="J3201">
        <v>990</v>
      </c>
    </row>
    <row r="3202" spans="1:10" x14ac:dyDescent="0.25">
      <c r="A3202">
        <v>18341</v>
      </c>
      <c r="B3202" t="str">
        <v>Sona BLW Precis.</v>
      </c>
      <c r="C3202">
        <v>9.4151930000000004</v>
      </c>
      <c r="D3202">
        <v>573.53436279296875</v>
      </c>
      <c r="E3202">
        <v>94.479324340820313</v>
      </c>
      <c r="F3202">
        <v>0.16473199427127838</v>
      </c>
      <c r="G3202">
        <v>479.63751220703125</v>
      </c>
      <c r="H3202">
        <v>0.14000000059604645</v>
      </c>
      <c r="I3202">
        <v>29736.76953125</v>
      </c>
      <c r="J3202">
        <v>990</v>
      </c>
    </row>
    <row r="3203" spans="1:10" x14ac:dyDescent="0.25">
      <c r="A3203">
        <v>75599</v>
      </c>
      <c r="B3203" t="str">
        <v>Alivus Life</v>
      </c>
      <c r="C3203">
        <v>7.1069060000000004</v>
      </c>
      <c r="D3203">
        <v>696.0074462890625</v>
      </c>
      <c r="E3203">
        <v>244.50607299804688</v>
      </c>
      <c r="F3203">
        <v>0.3512980043888092</v>
      </c>
      <c r="G3203">
        <v>997.3499755859375</v>
      </c>
      <c r="H3203">
        <v>9.9999997764825821E-3</v>
      </c>
      <c r="I3203">
        <v>12291.73046875</v>
      </c>
      <c r="J3203">
        <v>960</v>
      </c>
    </row>
    <row r="3204" spans="1:10" x14ac:dyDescent="0.25">
      <c r="A3204">
        <v>66797</v>
      </c>
      <c r="B3204" t="str">
        <v>Clean Science</v>
      </c>
      <c r="C3204">
        <v>-4.0137289999999997</v>
      </c>
      <c r="D3204">
        <v>1574.567626953125</v>
      </c>
      <c r="E3204">
        <v>300.71551513671875</v>
      </c>
      <c r="F3204">
        <v>0.19098299741744995</v>
      </c>
      <c r="G3204">
        <v>1431.75</v>
      </c>
      <c r="H3204">
        <v>0</v>
      </c>
      <c r="I3204">
        <v>15104.830078125</v>
      </c>
      <c r="J3204">
        <v>973</v>
      </c>
    </row>
    <row r="3205" spans="1:10" x14ac:dyDescent="0.25">
      <c r="A3205">
        <v>68117</v>
      </c>
      <c r="B3205" t="str">
        <v>Eternal Ltd</v>
      </c>
      <c r="C3205">
        <v>18.500218</v>
      </c>
      <c r="D3205">
        <v>137.6480712890625</v>
      </c>
      <c r="E3205">
        <v>73.950729370117188</v>
      </c>
      <c r="F3205">
        <v>0.53724497556686401</v>
      </c>
      <c r="G3205">
        <v>250</v>
      </c>
      <c r="H3205">
        <v>9.9999997764825821E-3</v>
      </c>
      <c r="I3205">
        <v>240631.484375</v>
      </c>
      <c r="J3205">
        <v>970</v>
      </c>
    </row>
    <row r="3206" spans="1:10" x14ac:dyDescent="0.25">
      <c r="A3206">
        <v>22423</v>
      </c>
      <c r="B3206" t="str">
        <v>Money Masters</v>
      </c>
      <c r="C3206">
        <v>26.267683000000002</v>
      </c>
      <c r="D3206">
        <v>8.3028535842895508</v>
      </c>
      <c r="E3206">
        <v>5.5724058151245117</v>
      </c>
      <c r="F3206">
        <v>0.67114400863647461</v>
      </c>
      <c r="G3206">
        <v>1.3500000238418579</v>
      </c>
      <c r="H3206">
        <v>0.81999999284744263</v>
      </c>
      <c r="I3206">
        <v>13.449999809265137</v>
      </c>
      <c r="J3206">
        <v>466</v>
      </c>
    </row>
    <row r="3207" spans="1:10" x14ac:dyDescent="0.25">
      <c r="A3207">
        <v>4552</v>
      </c>
      <c r="B3207" t="str">
        <v>PVP Ventures</v>
      </c>
      <c r="C3207">
        <v>26.538053000000001</v>
      </c>
      <c r="D3207">
        <v>15.607914924621582</v>
      </c>
      <c r="E3207">
        <v>9.9762411117553711</v>
      </c>
      <c r="F3207">
        <v>0.63917797803878784</v>
      </c>
      <c r="G3207">
        <v>23.462499618530273</v>
      </c>
      <c r="H3207">
        <v>0.18999999761581421</v>
      </c>
      <c r="I3207">
        <v>597.6300048828125</v>
      </c>
      <c r="J3207">
        <v>971</v>
      </c>
    </row>
    <row r="3208" spans="1:10" x14ac:dyDescent="0.25">
      <c r="A3208">
        <v>30245</v>
      </c>
      <c r="B3208" t="str">
        <v>Rolex Rings</v>
      </c>
      <c r="C3208">
        <v>5.5150110000000003</v>
      </c>
      <c r="D3208">
        <v>1826.663330078125</v>
      </c>
      <c r="E3208">
        <v>441.86541748046875</v>
      </c>
      <c r="F3208">
        <v>0.24189800024032593</v>
      </c>
      <c r="G3208">
        <v>1478.512451171875</v>
      </c>
      <c r="H3208">
        <v>5.9999998658895493E-2</v>
      </c>
      <c r="I3208">
        <v>3989.409912109375</v>
      </c>
      <c r="J3208">
        <v>959</v>
      </c>
    </row>
    <row r="3209" spans="1:10" x14ac:dyDescent="0.25">
      <c r="A3209">
        <v>4206</v>
      </c>
      <c r="B3209" t="str">
        <v>Sharanam Infra</v>
      </c>
      <c r="C3209">
        <v>-18.350683</v>
      </c>
      <c r="D3209">
        <v>0.83089900016784668</v>
      </c>
      <c r="E3209">
        <v>0.22334000468254089</v>
      </c>
      <c r="F3209">
        <v>0.26879400014877319</v>
      </c>
      <c r="G3209">
        <v>0.41999998688697815</v>
      </c>
      <c r="H3209">
        <v>5.9999998658895493E-2</v>
      </c>
      <c r="I3209">
        <v>24.360000610351563</v>
      </c>
      <c r="J3209">
        <v>937</v>
      </c>
    </row>
    <row r="3210" spans="1:10" x14ac:dyDescent="0.25">
      <c r="A3210">
        <v>75545</v>
      </c>
      <c r="B3210" t="str">
        <v>Tatva Chintan</v>
      </c>
      <c r="C3210">
        <v>-22.568480999999998</v>
      </c>
      <c r="D3210">
        <v>1682.064208984375</v>
      </c>
      <c r="E3210">
        <v>617.07440185546875</v>
      </c>
      <c r="F3210">
        <v>0.36685499548912048</v>
      </c>
      <c r="G3210">
        <v>912.23748779296875</v>
      </c>
      <c r="H3210">
        <v>0.15000000596046448</v>
      </c>
      <c r="I3210">
        <v>2107.0400390625</v>
      </c>
      <c r="J3210">
        <v>966</v>
      </c>
    </row>
    <row r="3211" spans="1:10" x14ac:dyDescent="0.25">
      <c r="A3211">
        <v>19915</v>
      </c>
      <c r="B3211" t="str">
        <v>Velox Shipping</v>
      </c>
      <c r="C3211">
        <v>31.261562999999999</v>
      </c>
      <c r="D3211">
        <v>13.524544715881348</v>
      </c>
      <c r="E3211">
        <v>2.1577370166778564</v>
      </c>
      <c r="F3211">
        <v>0.15954199433326721</v>
      </c>
      <c r="G3211">
        <v>17.010000228881836</v>
      </c>
      <c r="H3211">
        <v>2.9999999329447746E-2</v>
      </c>
      <c r="I3211">
        <v>13.560000419616699</v>
      </c>
      <c r="J3211">
        <v>11</v>
      </c>
    </row>
    <row r="3212" spans="1:10" x14ac:dyDescent="0.25">
      <c r="A3212">
        <v>608</v>
      </c>
      <c r="B3212" t="str">
        <v>Western Ministil</v>
      </c>
      <c r="C3212">
        <v>4.5140840000000004</v>
      </c>
      <c r="D3212">
        <v>0.41999998688697815</v>
      </c>
      <c r="E3212">
        <v>1.9999999552965164E-2</v>
      </c>
      <c r="F3212">
        <v>4.761900007724762E-2</v>
      </c>
      <c r="G3212">
        <v>0.43999999761581421</v>
      </c>
      <c r="H3212">
        <v>0</v>
      </c>
      <c r="I3212">
        <v>9.0000003576278687E-2</v>
      </c>
      <c r="J3212">
        <v>3</v>
      </c>
    </row>
    <row r="3213" spans="1:10" x14ac:dyDescent="0.25">
      <c r="A3213">
        <v>68389</v>
      </c>
      <c r="B3213" t="str">
        <v>Bazel Internatio</v>
      </c>
      <c r="C3213">
        <v>46.354554999999998</v>
      </c>
      <c r="D3213">
        <v>48.733139038085938</v>
      </c>
      <c r="E3213">
        <v>20.342809677124023</v>
      </c>
      <c r="F3213">
        <v>0.4174329936504364</v>
      </c>
      <c r="G3213">
        <v>62.330001831054688</v>
      </c>
      <c r="H3213">
        <v>1.9999999552965164E-2</v>
      </c>
      <c r="I3213">
        <v>15.920000076293945</v>
      </c>
      <c r="J3213">
        <v>765</v>
      </c>
    </row>
    <row r="3214" spans="1:10" x14ac:dyDescent="0.25">
      <c r="A3214">
        <v>65036</v>
      </c>
      <c r="B3214" t="str">
        <v>Cartrade Tech</v>
      </c>
      <c r="C3214">
        <v>1.9862629999999999</v>
      </c>
      <c r="D3214">
        <v>848.1812744140625</v>
      </c>
      <c r="E3214">
        <v>381.66009521484375</v>
      </c>
      <c r="F3214">
        <v>0.44997501373291016</v>
      </c>
      <c r="G3214">
        <v>1668.637451171875</v>
      </c>
      <c r="H3214">
        <v>0</v>
      </c>
      <c r="I3214">
        <v>7854.4599609375</v>
      </c>
      <c r="J3214">
        <v>951</v>
      </c>
    </row>
    <row r="3215" spans="1:10" x14ac:dyDescent="0.25">
      <c r="A3215">
        <v>2038</v>
      </c>
      <c r="B3215" t="str">
        <v>Chemplast Sanmar</v>
      </c>
      <c r="C3215">
        <v>-5.6610529999999999</v>
      </c>
      <c r="D3215">
        <v>485.47299194335938</v>
      </c>
      <c r="E3215">
        <v>70.912788391113281</v>
      </c>
      <c r="F3215">
        <v>0.1460690051317215</v>
      </c>
      <c r="G3215">
        <v>426.20001220703125</v>
      </c>
      <c r="H3215">
        <v>0.15999999642372131</v>
      </c>
      <c r="I3215">
        <v>6692.77978515625</v>
      </c>
      <c r="J3215">
        <v>949</v>
      </c>
    </row>
    <row r="3216" spans="1:10" x14ac:dyDescent="0.25">
      <c r="A3216">
        <v>30111</v>
      </c>
      <c r="B3216" t="str">
        <v>Epigral</v>
      </c>
      <c r="C3216">
        <v>40.612340000000003</v>
      </c>
      <c r="D3216">
        <v>1282.3563232421875</v>
      </c>
      <c r="E3216">
        <v>416.02359008789063</v>
      </c>
      <c r="F3216">
        <v>0.3244209885597229</v>
      </c>
      <c r="G3216">
        <v>1749.637451171875</v>
      </c>
      <c r="H3216">
        <v>0.4699999988079071</v>
      </c>
      <c r="I3216">
        <v>7396.7998046875</v>
      </c>
      <c r="J3216">
        <v>952</v>
      </c>
    </row>
    <row r="3217" spans="1:10" x14ac:dyDescent="0.25">
      <c r="A3217">
        <v>72749</v>
      </c>
      <c r="B3217" t="str">
        <v>Exxaro Tiles</v>
      </c>
      <c r="C3217">
        <v>-8.9225279999999998</v>
      </c>
      <c r="D3217">
        <v>11.174607276916504</v>
      </c>
      <c r="E3217">
        <v>2.1480100154876709</v>
      </c>
      <c r="F3217">
        <v>0.192221999168396</v>
      </c>
      <c r="G3217">
        <v>9.1274995803833008</v>
      </c>
      <c r="H3217">
        <v>0.34999999403953552</v>
      </c>
      <c r="I3217">
        <v>395.95999145507813</v>
      </c>
      <c r="J3217">
        <v>954</v>
      </c>
    </row>
    <row r="3218" spans="1:10" x14ac:dyDescent="0.25">
      <c r="A3218">
        <v>72320</v>
      </c>
      <c r="B3218" t="str">
        <v>Krsnaa Diagnost.</v>
      </c>
      <c r="C3218">
        <v>-10.069456000000001</v>
      </c>
      <c r="D3218">
        <v>641.3463134765625</v>
      </c>
      <c r="E3218">
        <v>140.5843505859375</v>
      </c>
      <c r="F3218">
        <v>0.21920199692249298</v>
      </c>
      <c r="G3218">
        <v>688.4625244140625</v>
      </c>
      <c r="H3218">
        <v>0.11999999731779099</v>
      </c>
      <c r="I3218">
        <v>2249.139892578125</v>
      </c>
      <c r="J3218">
        <v>954</v>
      </c>
    </row>
    <row r="3219" spans="1:10" x14ac:dyDescent="0.25">
      <c r="A3219">
        <v>75660</v>
      </c>
      <c r="B3219" t="str">
        <v>Meghmani Organi.</v>
      </c>
      <c r="C3219">
        <v>-0.88973999999999998</v>
      </c>
      <c r="D3219">
        <v>96.296073913574219</v>
      </c>
      <c r="E3219">
        <v>17.903951644897461</v>
      </c>
      <c r="F3219">
        <v>0.18592600524425507</v>
      </c>
      <c r="G3219">
        <v>88.05999755859375</v>
      </c>
      <c r="H3219">
        <v>0.37000000476837158</v>
      </c>
      <c r="I3219">
        <v>2210.5</v>
      </c>
      <c r="J3219">
        <v>952</v>
      </c>
    </row>
    <row r="3220" spans="1:10" x14ac:dyDescent="0.25">
      <c r="A3220">
        <v>20793</v>
      </c>
      <c r="B3220" t="str">
        <v>Nuvoco Vistas</v>
      </c>
      <c r="C3220">
        <v>-10.064519000000001</v>
      </c>
      <c r="D3220">
        <v>369.82974243164063</v>
      </c>
      <c r="E3220">
        <v>62.799121856689453</v>
      </c>
      <c r="F3220">
        <v>0.16980500519275665</v>
      </c>
      <c r="G3220">
        <v>342.42498779296875</v>
      </c>
      <c r="H3220">
        <v>0.36000001430511475</v>
      </c>
      <c r="I3220">
        <v>12096.8798828125</v>
      </c>
      <c r="J3220">
        <v>950</v>
      </c>
    </row>
    <row r="3221" spans="1:10" x14ac:dyDescent="0.25">
      <c r="A3221">
        <v>2098</v>
      </c>
      <c r="B3221" t="str">
        <v>TPI India</v>
      </c>
      <c r="C3221">
        <v>48.313609999999997</v>
      </c>
      <c r="D3221">
        <v>17.888589859008789</v>
      </c>
      <c r="E3221">
        <v>4.1123208999633789</v>
      </c>
      <c r="F3221">
        <v>0.22988499701023102</v>
      </c>
      <c r="G3221">
        <v>16.472499847412109</v>
      </c>
      <c r="H3221">
        <v>0</v>
      </c>
      <c r="I3221">
        <v>70.069999694824219</v>
      </c>
      <c r="J3221">
        <v>342</v>
      </c>
    </row>
    <row r="3222" spans="1:10" x14ac:dyDescent="0.25">
      <c r="A3222">
        <v>36133</v>
      </c>
      <c r="B3222" t="str">
        <v>Windlas Biotech</v>
      </c>
      <c r="C3222">
        <v>19.975377000000002</v>
      </c>
      <c r="D3222">
        <v>483.05401611328125</v>
      </c>
      <c r="E3222">
        <v>284.28579711914063</v>
      </c>
      <c r="F3222">
        <v>0.58851802349090576</v>
      </c>
      <c r="G3222">
        <v>901.0250244140625</v>
      </c>
      <c r="H3222">
        <v>9.9999997764825821E-3</v>
      </c>
      <c r="I3222">
        <v>1841.1099853515625</v>
      </c>
      <c r="J3222">
        <v>954</v>
      </c>
    </row>
    <row r="3223" spans="1:10" x14ac:dyDescent="0.25">
      <c r="A3223">
        <v>4804</v>
      </c>
      <c r="B3223" t="str">
        <v>Aadi Industries</v>
      </c>
      <c r="C3223">
        <v>36.890604000000003</v>
      </c>
      <c r="D3223">
        <v>5.6042518615722656</v>
      </c>
      <c r="E3223">
        <v>2.2715160846710205</v>
      </c>
      <c r="F3223">
        <v>0.40531998872756958</v>
      </c>
      <c r="G3223">
        <v>4.945000171661377</v>
      </c>
      <c r="H3223">
        <v>0</v>
      </c>
      <c r="I3223">
        <v>4.869999885559082</v>
      </c>
      <c r="J3223">
        <v>932</v>
      </c>
    </row>
    <row r="3224" spans="1:10" x14ac:dyDescent="0.25">
      <c r="A3224">
        <v>73056</v>
      </c>
      <c r="B3224" t="str">
        <v>Acutaas Chemical</v>
      </c>
      <c r="C3224">
        <v>23.869668000000001</v>
      </c>
      <c r="D3224">
        <v>650.0535888671875</v>
      </c>
      <c r="E3224">
        <v>227.17051696777344</v>
      </c>
      <c r="F3224">
        <v>0.34946399927139282</v>
      </c>
      <c r="G3224">
        <v>1091.237548828125</v>
      </c>
      <c r="H3224">
        <v>0.15999999642372131</v>
      </c>
      <c r="I3224">
        <v>8921.669921875</v>
      </c>
      <c r="J3224">
        <v>935</v>
      </c>
    </row>
    <row r="3225" spans="1:10" x14ac:dyDescent="0.25">
      <c r="A3225">
        <v>6813</v>
      </c>
      <c r="B3225" t="str">
        <v>CES</v>
      </c>
      <c r="C3225">
        <v>42.904366000000003</v>
      </c>
      <c r="D3225">
        <v>0.36230799555778503</v>
      </c>
      <c r="E3225">
        <v>4.2847000062465668E-2</v>
      </c>
      <c r="F3225">
        <v>0.11826200038194656</v>
      </c>
      <c r="G3225">
        <v>0.43999999761581421</v>
      </c>
      <c r="H3225">
        <v>0</v>
      </c>
      <c r="I3225">
        <v>1.6000000238418579</v>
      </c>
      <c r="J3225">
        <v>13</v>
      </c>
    </row>
    <row r="3226" spans="1:10" x14ac:dyDescent="0.25">
      <c r="A3226">
        <v>75911</v>
      </c>
      <c r="B3226" t="str">
        <v>Markolines Pavem</v>
      </c>
      <c r="C3226">
        <v>26.527248</v>
      </c>
      <c r="D3226">
        <v>138.82177734375</v>
      </c>
      <c r="E3226">
        <v>43.759571075439453</v>
      </c>
      <c r="F3226">
        <v>0.31522101163864136</v>
      </c>
      <c r="G3226">
        <v>166.32499694824219</v>
      </c>
      <c r="H3226">
        <v>0.47999998927116394</v>
      </c>
      <c r="I3226">
        <v>363.73001098632813</v>
      </c>
      <c r="J3226">
        <v>914</v>
      </c>
    </row>
    <row r="3227" spans="1:10" x14ac:dyDescent="0.25">
      <c r="A3227">
        <v>75439</v>
      </c>
      <c r="B3227" t="str">
        <v>Paras Defence</v>
      </c>
      <c r="C3227">
        <v>34.553541000000003</v>
      </c>
      <c r="D3227">
        <v>804.86993408203125</v>
      </c>
      <c r="E3227">
        <v>267.275390625</v>
      </c>
      <c r="F3227">
        <v>0.33207300305366516</v>
      </c>
      <c r="G3227">
        <v>1654.512451171875</v>
      </c>
      <c r="H3227">
        <v>5.000000074505806E-2</v>
      </c>
      <c r="I3227">
        <v>6579.75</v>
      </c>
      <c r="J3227">
        <v>922</v>
      </c>
    </row>
    <row r="3228" spans="1:10" x14ac:dyDescent="0.25">
      <c r="A3228">
        <v>24418</v>
      </c>
      <c r="B3228" t="str">
        <v>Regis Industries</v>
      </c>
      <c r="C3228">
        <v>59.937666</v>
      </c>
      <c r="D3228">
        <v>9.4862308502197266</v>
      </c>
      <c r="E3228">
        <v>4.5009889602661133</v>
      </c>
      <c r="F3228">
        <v>0.47447600960731506</v>
      </c>
      <c r="G3228">
        <v>10.899999618530273</v>
      </c>
      <c r="H3228">
        <v>7.0000000298023224E-2</v>
      </c>
      <c r="I3228">
        <v>186.00999450683594</v>
      </c>
      <c r="J3228">
        <v>652</v>
      </c>
    </row>
    <row r="3229" spans="1:10" x14ac:dyDescent="0.25">
      <c r="A3229">
        <v>7917</v>
      </c>
      <c r="B3229" t="str">
        <v>SRU Steels</v>
      </c>
      <c r="C3229">
        <v>-17.021847999999999</v>
      </c>
      <c r="D3229">
        <v>11.292156219482422</v>
      </c>
      <c r="E3229">
        <v>5.1344399452209473</v>
      </c>
      <c r="F3229">
        <v>0.45469099283218384</v>
      </c>
      <c r="G3229">
        <v>5.75</v>
      </c>
      <c r="H3229">
        <v>0</v>
      </c>
      <c r="I3229">
        <v>34.819999694824219</v>
      </c>
      <c r="J3229">
        <v>596</v>
      </c>
    </row>
    <row r="3230" spans="1:10" x14ac:dyDescent="0.25">
      <c r="A3230">
        <v>39378</v>
      </c>
      <c r="B3230" t="str">
        <v>Sansera Enginee.</v>
      </c>
      <c r="C3230">
        <v>12.8993</v>
      </c>
      <c r="D3230">
        <v>967.4599609375</v>
      </c>
      <c r="E3230">
        <v>281.21722412109375</v>
      </c>
      <c r="F3230">
        <v>0.29067599773406982</v>
      </c>
      <c r="G3230">
        <v>1315.4124755859375</v>
      </c>
      <c r="H3230">
        <v>0.54000002145767212</v>
      </c>
      <c r="I3230">
        <v>8049.4599609375</v>
      </c>
      <c r="J3230">
        <v>927</v>
      </c>
    </row>
    <row r="3231" spans="1:10" x14ac:dyDescent="0.25">
      <c r="A3231">
        <v>6601</v>
      </c>
      <c r="B3231" t="str">
        <v>Systematix Sec.</v>
      </c>
      <c r="C3231">
        <v>24.564741000000001</v>
      </c>
      <c r="D3231">
        <v>7.8533320426940918</v>
      </c>
      <c r="E3231">
        <v>1.6882719993591309</v>
      </c>
      <c r="F3231">
        <v>0.21497499942779541</v>
      </c>
      <c r="G3231">
        <v>13.069999694824219</v>
      </c>
      <c r="H3231">
        <v>9.9999997764825821E-3</v>
      </c>
      <c r="I3231">
        <v>6.2699999809265137</v>
      </c>
      <c r="J3231">
        <v>775</v>
      </c>
    </row>
    <row r="3232" spans="1:10" x14ac:dyDescent="0.25">
      <c r="A3232">
        <v>75683</v>
      </c>
      <c r="B3232" t="str">
        <v>Vijaya Diagnost.</v>
      </c>
      <c r="C3232">
        <v>12.817909</v>
      </c>
      <c r="D3232">
        <v>625.8895263671875</v>
      </c>
      <c r="E3232">
        <v>239.24937438964844</v>
      </c>
      <c r="F3232">
        <v>0.38225498795509338</v>
      </c>
      <c r="G3232">
        <v>943.375</v>
      </c>
      <c r="H3232">
        <v>0.41999998688697815</v>
      </c>
      <c r="I3232">
        <v>9621.7802734375</v>
      </c>
      <c r="J3232">
        <v>935</v>
      </c>
    </row>
    <row r="3233" spans="1:10" x14ac:dyDescent="0.25">
      <c r="A3233">
        <v>20665</v>
      </c>
      <c r="B3233" t="str">
        <v>Aditya AMC</v>
      </c>
      <c r="C3233">
        <v>1.412488</v>
      </c>
      <c r="D3233">
        <v>532.03460693359375</v>
      </c>
      <c r="E3233">
        <v>135.41488647460938</v>
      </c>
      <c r="F3233">
        <v>0.25452300906181335</v>
      </c>
      <c r="G3233">
        <v>744.9625244140625</v>
      </c>
      <c r="H3233">
        <v>1.9999999552965164E-2</v>
      </c>
      <c r="I3233">
        <v>21233.970703125</v>
      </c>
      <c r="J3233">
        <v>916</v>
      </c>
    </row>
    <row r="3234" spans="1:10" x14ac:dyDescent="0.25">
      <c r="A3234">
        <v>5801</v>
      </c>
      <c r="B3234" t="str">
        <v>India Radiators</v>
      </c>
      <c r="C3234">
        <v>44.365769</v>
      </c>
      <c r="D3234">
        <v>5.8812122344970703</v>
      </c>
      <c r="E3234">
        <v>2.57517409324646</v>
      </c>
      <c r="F3234">
        <v>0.43786400556564331</v>
      </c>
      <c r="G3234">
        <v>10.770000457763672</v>
      </c>
      <c r="H3234">
        <v>0</v>
      </c>
      <c r="I3234">
        <v>0.97000002861022949</v>
      </c>
      <c r="J3234">
        <v>33</v>
      </c>
    </row>
    <row r="3235" spans="1:10" x14ac:dyDescent="0.25">
      <c r="A3235">
        <v>75913</v>
      </c>
      <c r="B3235" t="str">
        <v>Samor Reality</v>
      </c>
      <c r="C3235">
        <v>29.002389999999998</v>
      </c>
      <c r="D3235">
        <v>70.738800048828125</v>
      </c>
      <c r="E3235">
        <v>34.960399627685547</v>
      </c>
      <c r="F3235">
        <v>0.49421799182891846</v>
      </c>
      <c r="G3235">
        <v>70.834999084472656</v>
      </c>
      <c r="H3235">
        <v>0.43999999761581421</v>
      </c>
      <c r="I3235">
        <v>154.25</v>
      </c>
      <c r="J3235">
        <v>579</v>
      </c>
    </row>
    <row r="3236" spans="1:10" x14ac:dyDescent="0.25">
      <c r="A3236">
        <v>26546</v>
      </c>
      <c r="B3236" t="str">
        <v>Shree Hanuman Sg</v>
      </c>
      <c r="C3236">
        <v>28.089137999999998</v>
      </c>
      <c r="D3236">
        <v>6.5815567970275879</v>
      </c>
      <c r="E3236">
        <v>1.8612120151519775</v>
      </c>
      <c r="F3236">
        <v>0.28279200196266174</v>
      </c>
      <c r="G3236">
        <v>5.7049999237060547</v>
      </c>
      <c r="H3236">
        <v>0</v>
      </c>
      <c r="I3236">
        <v>10.359999656677246</v>
      </c>
      <c r="J3236">
        <v>904</v>
      </c>
    </row>
    <row r="3237" spans="1:10" x14ac:dyDescent="0.25">
      <c r="A3237">
        <v>75803</v>
      </c>
      <c r="B3237" t="str">
        <v>FSN E-Commerce</v>
      </c>
      <c r="C3237">
        <v>-16.038450999999998</v>
      </c>
      <c r="D3237">
        <v>192.58714294433594</v>
      </c>
      <c r="E3237">
        <v>57.234241485595703</v>
      </c>
      <c r="F3237">
        <v>0.2971859872341156</v>
      </c>
      <c r="G3237">
        <v>194.96249389648438</v>
      </c>
      <c r="H3237">
        <v>5.000000074505806E-2</v>
      </c>
      <c r="I3237">
        <v>55406.609375</v>
      </c>
      <c r="J3237">
        <v>896</v>
      </c>
    </row>
    <row r="3238" spans="1:10" x14ac:dyDescent="0.25">
      <c r="A3238">
        <v>75802</v>
      </c>
      <c r="B3238" t="str">
        <v>Fino Payments</v>
      </c>
      <c r="C3238">
        <v>-17.442118000000001</v>
      </c>
      <c r="D3238">
        <v>290.0474853515625</v>
      </c>
      <c r="E3238">
        <v>62.223663330078125</v>
      </c>
      <c r="F3238">
        <v>0.21452899277210236</v>
      </c>
      <c r="G3238">
        <v>287.48748779296875</v>
      </c>
      <c r="H3238">
        <v>0</v>
      </c>
      <c r="I3238">
        <v>2347.179931640625</v>
      </c>
      <c r="J3238">
        <v>894</v>
      </c>
    </row>
    <row r="3239" spans="1:10" x14ac:dyDescent="0.25">
      <c r="A3239">
        <v>28363</v>
      </c>
      <c r="B3239" t="str">
        <v>GREENETH.RES&amp;PRO</v>
      </c>
      <c r="C3239">
        <v>501.24771800000002</v>
      </c>
      <c r="D3239">
        <v>0.22666700184345245</v>
      </c>
      <c r="E3239">
        <v>1.5274999663233757E-2</v>
      </c>
      <c r="F3239">
        <v>6.7391000688076019E-2</v>
      </c>
      <c r="G3239">
        <v>0.23999999463558197</v>
      </c>
      <c r="H3239">
        <v>0</v>
      </c>
      <c r="I3239">
        <v>6.9699997901916504</v>
      </c>
      <c r="J3239">
        <v>3</v>
      </c>
    </row>
    <row r="3240" spans="1:10" x14ac:dyDescent="0.25">
      <c r="A3240">
        <v>75816</v>
      </c>
      <c r="B3240" t="str">
        <v>Go Fashion (I)</v>
      </c>
      <c r="C3240">
        <v>-10.745431999999999</v>
      </c>
      <c r="D3240">
        <v>1088.5880126953125</v>
      </c>
      <c r="E3240">
        <v>154.95046997070313</v>
      </c>
      <c r="F3240">
        <v>0.1423410028219223</v>
      </c>
      <c r="G3240">
        <v>857.6875</v>
      </c>
      <c r="H3240">
        <v>0.72000002861022949</v>
      </c>
      <c r="I3240">
        <v>4616.14990234375</v>
      </c>
      <c r="J3240">
        <v>883</v>
      </c>
    </row>
    <row r="3241" spans="1:10" x14ac:dyDescent="0.25">
      <c r="A3241">
        <v>39858</v>
      </c>
      <c r="B3241" t="str">
        <v>Latent View</v>
      </c>
      <c r="C3241">
        <v>-6.2475759999999996</v>
      </c>
      <c r="D3241">
        <v>430.68441772460938</v>
      </c>
      <c r="E3241">
        <v>67.974967956542969</v>
      </c>
      <c r="F3241">
        <v>0.15782999992370605</v>
      </c>
      <c r="G3241">
        <v>405.0625</v>
      </c>
      <c r="H3241">
        <v>1.9999999552965164E-2</v>
      </c>
      <c r="I3241">
        <v>8280.5400390625</v>
      </c>
      <c r="J3241">
        <v>888</v>
      </c>
    </row>
    <row r="3242" spans="1:10" x14ac:dyDescent="0.25">
      <c r="A3242">
        <v>27367</v>
      </c>
      <c r="B3242" t="str">
        <v>Mahaalaxmi Texp.</v>
      </c>
      <c r="C3242">
        <v>299.21656999999999</v>
      </c>
      <c r="D3242">
        <v>0.54666697978973389</v>
      </c>
      <c r="E3242">
        <v>2.5165999308228493E-2</v>
      </c>
      <c r="F3242">
        <v>4.6036001294851303E-2</v>
      </c>
      <c r="G3242">
        <v>0.56999999284744263</v>
      </c>
      <c r="H3242">
        <v>0</v>
      </c>
      <c r="I3242">
        <v>0.9100000262260437</v>
      </c>
      <c r="J3242">
        <v>3</v>
      </c>
    </row>
    <row r="3243" spans="1:10" x14ac:dyDescent="0.25">
      <c r="A3243">
        <v>76036</v>
      </c>
      <c r="B3243" t="str">
        <v>National High</v>
      </c>
      <c r="C3243">
        <v>7.6222110000000001</v>
      </c>
      <c r="D3243">
        <v>127.85756683349609</v>
      </c>
      <c r="E3243">
        <v>8.7996120452880859</v>
      </c>
      <c r="F3243">
        <v>6.8824000656604767E-2</v>
      </c>
      <c r="G3243">
        <v>133.5</v>
      </c>
      <c r="H3243">
        <v>0.62000000476837158</v>
      </c>
      <c r="I3243">
        <v>25856.9609375</v>
      </c>
      <c r="J3243">
        <v>40</v>
      </c>
    </row>
    <row r="3244" spans="1:10" x14ac:dyDescent="0.25">
      <c r="A3244">
        <v>40147</v>
      </c>
      <c r="B3244" t="str">
        <v>One 97</v>
      </c>
      <c r="C3244">
        <v>-18.849537000000002</v>
      </c>
      <c r="D3244">
        <v>722.86376953125</v>
      </c>
      <c r="E3244">
        <v>233.18717956542969</v>
      </c>
      <c r="F3244">
        <v>0.3225879967212677</v>
      </c>
      <c r="G3244">
        <v>880.67498779296875</v>
      </c>
      <c r="H3244">
        <v>1.9999999552965164E-2</v>
      </c>
      <c r="I3244">
        <v>55368.16015625</v>
      </c>
      <c r="J3244">
        <v>890</v>
      </c>
    </row>
    <row r="3245" spans="1:10" x14ac:dyDescent="0.25">
      <c r="A3245">
        <v>41343</v>
      </c>
      <c r="B3245" t="str">
        <v>PB Fintech.</v>
      </c>
      <c r="C3245">
        <v>13.16657</v>
      </c>
      <c r="D3245">
        <v>1008.3214111328125</v>
      </c>
      <c r="E3245">
        <v>485.61016845703125</v>
      </c>
      <c r="F3245">
        <v>0.4816029965877533</v>
      </c>
      <c r="G3245">
        <v>1891.1876220703125</v>
      </c>
      <c r="H3245">
        <v>0</v>
      </c>
      <c r="I3245">
        <v>85610.1484375</v>
      </c>
      <c r="J3245">
        <v>893</v>
      </c>
    </row>
    <row r="3246" spans="1:10" x14ac:dyDescent="0.25">
      <c r="A3246">
        <v>68304</v>
      </c>
      <c r="B3246" t="str">
        <v>SJS Enterprises</v>
      </c>
      <c r="C3246">
        <v>24.748747999999999</v>
      </c>
      <c r="D3246">
        <v>653.9488525390625</v>
      </c>
      <c r="E3246">
        <v>249.4248046875</v>
      </c>
      <c r="F3246">
        <v>0.38141301274299622</v>
      </c>
      <c r="G3246">
        <v>1249.175048828125</v>
      </c>
      <c r="H3246">
        <v>7.0000000298023224E-2</v>
      </c>
      <c r="I3246">
        <v>3870.429931640625</v>
      </c>
      <c r="J3246">
        <v>893</v>
      </c>
    </row>
    <row r="3247" spans="1:10" x14ac:dyDescent="0.25">
      <c r="A3247">
        <v>72573</v>
      </c>
      <c r="B3247" t="str">
        <v>Sapphire Foods</v>
      </c>
      <c r="C3247">
        <v>7.3230890000000004</v>
      </c>
      <c r="D3247">
        <v>281.11459350585938</v>
      </c>
      <c r="E3247">
        <v>35.048458099365234</v>
      </c>
      <c r="F3247">
        <v>0.12467700242996216</v>
      </c>
      <c r="G3247">
        <v>328.96249389648438</v>
      </c>
      <c r="H3247">
        <v>0.85000002384185791</v>
      </c>
      <c r="I3247">
        <v>10435.2998046875</v>
      </c>
      <c r="J3247">
        <v>890</v>
      </c>
    </row>
    <row r="3248" spans="1:10" x14ac:dyDescent="0.25">
      <c r="A3248">
        <v>75163</v>
      </c>
      <c r="B3248" t="str">
        <v>Sigachi Indust.</v>
      </c>
      <c r="C3248">
        <v>-2.6327880000000001</v>
      </c>
      <c r="D3248">
        <v>42.135551452636719</v>
      </c>
      <c r="E3248">
        <v>15.628749847412109</v>
      </c>
      <c r="F3248">
        <v>0.37091600894927979</v>
      </c>
      <c r="G3248">
        <v>53.494998931884766</v>
      </c>
      <c r="H3248">
        <v>0.30000001192092896</v>
      </c>
      <c r="I3248">
        <v>1777.27001953125</v>
      </c>
      <c r="J3248">
        <v>893</v>
      </c>
    </row>
    <row r="3249" spans="1:10" x14ac:dyDescent="0.25">
      <c r="A3249">
        <v>65252</v>
      </c>
      <c r="B3249" t="str">
        <v>Sri Amarna. Fin.</v>
      </c>
      <c r="C3249">
        <v>5.7995229999999998</v>
      </c>
      <c r="D3249">
        <v>7.4650001525878906</v>
      </c>
      <c r="E3249">
        <v>0.2782529890537262</v>
      </c>
      <c r="F3249">
        <v>3.727399930357933E-2</v>
      </c>
      <c r="G3249">
        <v>7.7699999809265137</v>
      </c>
      <c r="H3249">
        <v>0</v>
      </c>
      <c r="I3249">
        <v>7.75</v>
      </c>
      <c r="J3249">
        <v>3</v>
      </c>
    </row>
    <row r="3250" spans="1:10" x14ac:dyDescent="0.25">
      <c r="A3250">
        <v>34495</v>
      </c>
      <c r="B3250" t="str">
        <v>Tarsons Products</v>
      </c>
      <c r="C3250">
        <v>-19.397383000000001</v>
      </c>
      <c r="D3250">
        <v>555.71002197265625</v>
      </c>
      <c r="E3250">
        <v>138.9271240234375</v>
      </c>
      <c r="F3250">
        <v>0.24999900162220001</v>
      </c>
      <c r="G3250">
        <v>370.72500610351563</v>
      </c>
      <c r="H3250">
        <v>0.31000000238418579</v>
      </c>
      <c r="I3250">
        <v>1958.7900390625</v>
      </c>
      <c r="J3250">
        <v>885</v>
      </c>
    </row>
    <row r="3251" spans="1:10" x14ac:dyDescent="0.25">
      <c r="A3251">
        <v>67729</v>
      </c>
      <c r="B3251" t="str">
        <v>Anand Rathi Wea.</v>
      </c>
      <c r="C3251">
        <v>59.505488999999997</v>
      </c>
      <c r="D3251">
        <v>1065.8499755859375</v>
      </c>
      <c r="E3251">
        <v>732.5223388671875</v>
      </c>
      <c r="F3251">
        <v>0.68726599216461182</v>
      </c>
      <c r="G3251">
        <v>2082.375</v>
      </c>
      <c r="H3251">
        <v>9.0000003576278687E-2</v>
      </c>
      <c r="I3251">
        <v>16977.720703125</v>
      </c>
      <c r="J3251">
        <v>873</v>
      </c>
    </row>
    <row r="3252" spans="1:10" x14ac:dyDescent="0.25">
      <c r="A3252">
        <v>75882</v>
      </c>
      <c r="B3252" t="str">
        <v>C.E. Info System</v>
      </c>
      <c r="C3252">
        <v>5.0786119999999997</v>
      </c>
      <c r="D3252">
        <v>1634.8662109375</v>
      </c>
      <c r="E3252">
        <v>371.1556396484375</v>
      </c>
      <c r="F3252">
        <v>0.22702500224113464</v>
      </c>
      <c r="G3252">
        <v>1743.3123779296875</v>
      </c>
      <c r="H3252">
        <v>1.9999999552965164E-2</v>
      </c>
      <c r="I3252">
        <v>9462.2900390625</v>
      </c>
      <c r="J3252">
        <v>868</v>
      </c>
    </row>
    <row r="3253" spans="1:10" x14ac:dyDescent="0.25">
      <c r="A3253">
        <v>39972</v>
      </c>
      <c r="B3253" t="str">
        <v>Data Pattern</v>
      </c>
      <c r="C3253">
        <v>39.338403</v>
      </c>
      <c r="D3253">
        <v>1808.8294677734375</v>
      </c>
      <c r="E3253">
        <v>752.406982421875</v>
      </c>
      <c r="F3253">
        <v>0.41596299409866333</v>
      </c>
      <c r="G3253">
        <v>2988.89990234375</v>
      </c>
      <c r="H3253">
        <v>0</v>
      </c>
      <c r="I3253">
        <v>16417.30078125</v>
      </c>
      <c r="J3253">
        <v>865</v>
      </c>
    </row>
    <row r="3254" spans="1:10" x14ac:dyDescent="0.25">
      <c r="A3254">
        <v>75764</v>
      </c>
      <c r="B3254" t="str">
        <v>HP Adhesives</v>
      </c>
      <c r="C3254">
        <v>-7.5305920000000004</v>
      </c>
      <c r="D3254">
        <v>84.566719055175781</v>
      </c>
      <c r="E3254">
        <v>24.393064498901367</v>
      </c>
      <c r="F3254">
        <v>0.28844800591468811</v>
      </c>
      <c r="G3254">
        <v>50.185001373291016</v>
      </c>
      <c r="H3254">
        <v>3.9999999105930328E-2</v>
      </c>
      <c r="I3254">
        <v>453.76998901367188</v>
      </c>
      <c r="J3254">
        <v>864</v>
      </c>
    </row>
    <row r="3255" spans="1:10" x14ac:dyDescent="0.25">
      <c r="A3255">
        <v>23653</v>
      </c>
      <c r="B3255" t="str">
        <v>Hi-Tech Pipes</v>
      </c>
      <c r="C3255">
        <v>15.619616000000001</v>
      </c>
      <c r="D3255">
        <v>100.80073547363281</v>
      </c>
      <c r="E3255">
        <v>41.324466705322266</v>
      </c>
      <c r="F3255">
        <v>0.409961998462677</v>
      </c>
      <c r="G3255">
        <v>98.267501831054688</v>
      </c>
      <c r="H3255">
        <v>0.54000002145767212</v>
      </c>
      <c r="I3255">
        <v>1971.1600341796875</v>
      </c>
      <c r="J3255">
        <v>871</v>
      </c>
    </row>
    <row r="3256" spans="1:10" x14ac:dyDescent="0.25">
      <c r="A3256">
        <v>68972</v>
      </c>
      <c r="B3256" t="str">
        <v>Jet Freight</v>
      </c>
      <c r="C3256">
        <v>-11.151693</v>
      </c>
      <c r="D3256">
        <v>16.592607498168945</v>
      </c>
      <c r="E3256">
        <v>5.6245579719543457</v>
      </c>
      <c r="F3256">
        <v>0.33897998929023743</v>
      </c>
      <c r="G3256">
        <v>13.890000343322754</v>
      </c>
      <c r="H3256">
        <v>0.93999999761581421</v>
      </c>
      <c r="I3256">
        <v>62.650001525878906</v>
      </c>
      <c r="J3256">
        <v>868</v>
      </c>
    </row>
    <row r="3257" spans="1:10" x14ac:dyDescent="0.25">
      <c r="A3257">
        <v>2135</v>
      </c>
      <c r="B3257" t="str">
        <v>Master Chemicals</v>
      </c>
      <c r="C3257">
        <v>0</v>
      </c>
      <c r="D3257">
        <v>29.600000381469727</v>
      </c>
      <c r="E3257">
        <v>0</v>
      </c>
      <c r="F3257">
        <v>0</v>
      </c>
      <c r="G3257">
        <v>29.600000381469727</v>
      </c>
      <c r="H3257">
        <v>0</v>
      </c>
      <c r="I3257">
        <v>0.74000000953674316</v>
      </c>
      <c r="J3257">
        <v>1</v>
      </c>
    </row>
    <row r="3258" spans="1:10" x14ac:dyDescent="0.25">
      <c r="A3258">
        <v>34531</v>
      </c>
      <c r="B3258" t="str">
        <v>Medplus Health</v>
      </c>
      <c r="C3258">
        <v>-5.7505170000000003</v>
      </c>
      <c r="D3258">
        <v>770.41021728515625</v>
      </c>
      <c r="E3258">
        <v>125.9609375</v>
      </c>
      <c r="F3258">
        <v>0.16349899768829346</v>
      </c>
      <c r="G3258">
        <v>876.8499755859375</v>
      </c>
      <c r="H3258">
        <v>7.9999998211860657E-2</v>
      </c>
      <c r="I3258">
        <v>10361.2998046875</v>
      </c>
      <c r="J3258">
        <v>866</v>
      </c>
    </row>
    <row r="3259" spans="1:10" x14ac:dyDescent="0.25">
      <c r="A3259">
        <v>17628</v>
      </c>
      <c r="B3259" t="str">
        <v>Metro Brands</v>
      </c>
      <c r="C3259">
        <v>27.361402999999999</v>
      </c>
      <c r="D3259">
        <v>983.98406982421875</v>
      </c>
      <c r="E3259">
        <v>254.29722595214844</v>
      </c>
      <c r="F3259">
        <v>0.25843599438667297</v>
      </c>
      <c r="G3259">
        <v>1175.050048828125</v>
      </c>
      <c r="H3259">
        <v>0.61000001430511475</v>
      </c>
      <c r="I3259">
        <v>31478.689453125</v>
      </c>
      <c r="J3259">
        <v>867</v>
      </c>
    </row>
    <row r="3260" spans="1:10" x14ac:dyDescent="0.25">
      <c r="A3260">
        <v>3368</v>
      </c>
      <c r="B3260" t="str">
        <v>Panjon</v>
      </c>
      <c r="C3260">
        <v>15.39978</v>
      </c>
      <c r="D3260">
        <v>18.232688903808594</v>
      </c>
      <c r="E3260">
        <v>4.3256897926330566</v>
      </c>
      <c r="F3260">
        <v>0.23724900186061859</v>
      </c>
      <c r="G3260">
        <v>19.764999389648438</v>
      </c>
      <c r="H3260">
        <v>7.9999998211860657E-2</v>
      </c>
      <c r="I3260">
        <v>33.470001220703125</v>
      </c>
      <c r="J3260">
        <v>870</v>
      </c>
    </row>
    <row r="3261" spans="1:10" x14ac:dyDescent="0.25">
      <c r="A3261">
        <v>75833</v>
      </c>
      <c r="B3261" t="str">
        <v>Rategain Travel</v>
      </c>
      <c r="C3261">
        <v>5.5934200000000001</v>
      </c>
      <c r="D3261">
        <v>515.2421875</v>
      </c>
      <c r="E3261">
        <v>188.823486328125</v>
      </c>
      <c r="F3261">
        <v>0.36647498607635498</v>
      </c>
      <c r="G3261">
        <v>431.83749389648438</v>
      </c>
      <c r="H3261">
        <v>9.9999997764825821E-3</v>
      </c>
      <c r="I3261">
        <v>5084.56982421875</v>
      </c>
      <c r="J3261">
        <v>870</v>
      </c>
    </row>
    <row r="3262" spans="1:10" x14ac:dyDescent="0.25">
      <c r="A3262">
        <v>5636</v>
      </c>
      <c r="B3262" t="str">
        <v>Shamrock Indl.</v>
      </c>
      <c r="C3262">
        <v>33.017076000000003</v>
      </c>
      <c r="D3262">
        <v>7.8056559562683105</v>
      </c>
      <c r="E3262">
        <v>3.1924080848693848</v>
      </c>
      <c r="F3262">
        <v>0.40898600220680237</v>
      </c>
      <c r="G3262">
        <v>15.979999542236328</v>
      </c>
      <c r="H3262">
        <v>0</v>
      </c>
      <c r="I3262">
        <v>8.6700000762939453</v>
      </c>
      <c r="J3262">
        <v>757</v>
      </c>
    </row>
    <row r="3263" spans="1:10" x14ac:dyDescent="0.25">
      <c r="A3263">
        <v>66145</v>
      </c>
      <c r="B3263" t="str">
        <v>Shriram Properti</v>
      </c>
      <c r="C3263">
        <v>0.13611899999999999</v>
      </c>
      <c r="D3263">
        <v>90.649444580078125</v>
      </c>
      <c r="E3263">
        <v>21.604982376098633</v>
      </c>
      <c r="F3263">
        <v>0.2383359968662262</v>
      </c>
      <c r="G3263">
        <v>98.342498779296875</v>
      </c>
      <c r="H3263">
        <v>0.18999999761581421</v>
      </c>
      <c r="I3263">
        <v>1643.56005859375</v>
      </c>
      <c r="J3263">
        <v>869</v>
      </c>
    </row>
    <row r="3264" spans="1:10" x14ac:dyDescent="0.25">
      <c r="A3264">
        <v>33760</v>
      </c>
      <c r="B3264" t="str">
        <v>Star Health Insu</v>
      </c>
      <c r="C3264">
        <v>-19.814464000000001</v>
      </c>
      <c r="D3264">
        <v>583.997314453125</v>
      </c>
      <c r="E3264">
        <v>104.4437255859375</v>
      </c>
      <c r="F3264">
        <v>0.17884300649166107</v>
      </c>
      <c r="G3264">
        <v>429.96249389648438</v>
      </c>
      <c r="H3264">
        <v>7.9999998211860657E-2</v>
      </c>
      <c r="I3264">
        <v>25140.48046875</v>
      </c>
      <c r="J3264">
        <v>875</v>
      </c>
    </row>
    <row r="3265" spans="1:10" x14ac:dyDescent="0.25">
      <c r="A3265">
        <v>35139</v>
      </c>
      <c r="B3265" t="str">
        <v>Tega Inds.</v>
      </c>
      <c r="C3265">
        <v>20.697445999999999</v>
      </c>
      <c r="D3265">
        <v>1035.1563720703125</v>
      </c>
      <c r="E3265">
        <v>479.734619140625</v>
      </c>
      <c r="F3265">
        <v>0.46344199776649475</v>
      </c>
      <c r="G3265">
        <v>1504.33740234375</v>
      </c>
      <c r="H3265">
        <v>0.12999999523162842</v>
      </c>
      <c r="I3265">
        <v>9934.080078125</v>
      </c>
      <c r="J3265">
        <v>874</v>
      </c>
    </row>
    <row r="3266" spans="1:10" x14ac:dyDescent="0.25">
      <c r="A3266">
        <v>44662</v>
      </c>
      <c r="B3266" t="str">
        <v>CMS Info Systems</v>
      </c>
      <c r="C3266">
        <v>21.295109</v>
      </c>
      <c r="D3266">
        <v>374.65936279296875</v>
      </c>
      <c r="E3266">
        <v>99.385269165039063</v>
      </c>
      <c r="F3266">
        <v>0.2652679979801178</v>
      </c>
      <c r="G3266">
        <v>478.21249389648438</v>
      </c>
      <c r="H3266">
        <v>0</v>
      </c>
      <c r="I3266">
        <v>7827.080078125</v>
      </c>
      <c r="J3266">
        <v>860</v>
      </c>
    </row>
    <row r="3267" spans="1:10" x14ac:dyDescent="0.25">
      <c r="A3267">
        <v>6087</v>
      </c>
      <c r="B3267" t="str">
        <v>GHV Infra</v>
      </c>
      <c r="C3267">
        <v>134.788917</v>
      </c>
      <c r="D3267">
        <v>256.34750366210938</v>
      </c>
      <c r="E3267">
        <v>230.38917541503906</v>
      </c>
      <c r="F3267">
        <v>0.89873802661895752</v>
      </c>
      <c r="G3267">
        <v>879.0999755859375</v>
      </c>
      <c r="H3267">
        <v>0</v>
      </c>
      <c r="I3267">
        <v>1267.219970703125</v>
      </c>
      <c r="J3267">
        <v>168</v>
      </c>
    </row>
    <row r="3268" spans="1:10" x14ac:dyDescent="0.25">
      <c r="A3268">
        <v>4997</v>
      </c>
      <c r="B3268" t="str">
        <v>Prabhhans Inds</v>
      </c>
      <c r="C3268">
        <v>68.037673999999996</v>
      </c>
      <c r="D3268">
        <v>74.01483154296875</v>
      </c>
      <c r="E3268">
        <v>24.755773544311523</v>
      </c>
      <c r="F3268">
        <v>0.3344700038433075</v>
      </c>
      <c r="G3268">
        <v>114.80000305175781</v>
      </c>
      <c r="H3268">
        <v>0.37999999523162842</v>
      </c>
      <c r="I3268">
        <v>70.449996948242188</v>
      </c>
      <c r="J3268">
        <v>620</v>
      </c>
    </row>
    <row r="3269" spans="1:10" x14ac:dyDescent="0.25">
      <c r="A3269">
        <v>1717</v>
      </c>
      <c r="B3269" t="str">
        <v>SPV Global</v>
      </c>
      <c r="C3269">
        <v>24.974699000000001</v>
      </c>
      <c r="D3269">
        <v>12.452500343322754</v>
      </c>
      <c r="E3269">
        <v>1.4508249759674072</v>
      </c>
      <c r="F3269">
        <v>0.11650899797677994</v>
      </c>
      <c r="G3269">
        <v>13.770000457763672</v>
      </c>
      <c r="H3269">
        <v>0</v>
      </c>
      <c r="I3269">
        <v>2.7000000476837158</v>
      </c>
      <c r="J3269">
        <v>4</v>
      </c>
    </row>
    <row r="3270" spans="1:10" x14ac:dyDescent="0.25">
      <c r="A3270">
        <v>75656</v>
      </c>
      <c r="B3270" t="str">
        <v>Supriya Lifesci.</v>
      </c>
      <c r="C3270">
        <v>14.470102000000001</v>
      </c>
      <c r="D3270">
        <v>405.75442504882813</v>
      </c>
      <c r="E3270">
        <v>169.22499084472656</v>
      </c>
      <c r="F3270">
        <v>0.41706299781799316</v>
      </c>
      <c r="G3270">
        <v>665.5625</v>
      </c>
      <c r="H3270">
        <v>1.9999999552965164E-2</v>
      </c>
      <c r="I3270">
        <v>5280.06982421875</v>
      </c>
      <c r="J3270">
        <v>863</v>
      </c>
    </row>
    <row r="3271" spans="1:10" x14ac:dyDescent="0.25">
      <c r="A3271">
        <v>73291</v>
      </c>
      <c r="B3271" t="str">
        <v>Wonder Electric.</v>
      </c>
      <c r="C3271">
        <v>85.294883999999996</v>
      </c>
      <c r="D3271">
        <v>68.010208129882813</v>
      </c>
      <c r="E3271">
        <v>61.516582489013672</v>
      </c>
      <c r="F3271">
        <v>0.90451997518539429</v>
      </c>
      <c r="G3271">
        <v>173.01249694824219</v>
      </c>
      <c r="H3271">
        <v>0.61000001430511475</v>
      </c>
      <c r="I3271">
        <v>2305.610107421875</v>
      </c>
      <c r="J3271">
        <v>830</v>
      </c>
    </row>
    <row r="3272" spans="1:10" x14ac:dyDescent="0.25">
      <c r="A3272">
        <v>20696</v>
      </c>
      <c r="B3272" t="str">
        <v>AWL Agri Busine.</v>
      </c>
      <c r="C3272">
        <v>1.916366</v>
      </c>
      <c r="D3272">
        <v>422.11419677734375</v>
      </c>
      <c r="E3272">
        <v>142.96946716308594</v>
      </c>
      <c r="F3272">
        <v>0.33869901299476624</v>
      </c>
      <c r="G3272">
        <v>259.25</v>
      </c>
      <c r="H3272">
        <v>0.23999999463558197</v>
      </c>
      <c r="I3272">
        <v>33356.25</v>
      </c>
      <c r="J3272">
        <v>834</v>
      </c>
    </row>
    <row r="3273" spans="1:10" x14ac:dyDescent="0.25">
      <c r="A3273">
        <v>14445</v>
      </c>
      <c r="B3273" t="str">
        <v>Aris Interna.</v>
      </c>
      <c r="C3273">
        <v>109.499943</v>
      </c>
      <c r="D3273">
        <v>216.88633728027344</v>
      </c>
      <c r="E3273">
        <v>151.04005432128906</v>
      </c>
      <c r="F3273">
        <v>0.69640201330184937</v>
      </c>
      <c r="G3273">
        <v>487.5</v>
      </c>
      <c r="H3273">
        <v>0.31999999284744263</v>
      </c>
      <c r="I3273">
        <v>71.660003662109375</v>
      </c>
      <c r="J3273">
        <v>109</v>
      </c>
    </row>
    <row r="3274" spans="1:10" x14ac:dyDescent="0.25">
      <c r="A3274">
        <v>70312</v>
      </c>
      <c r="B3274" t="str">
        <v>Dev Information</v>
      </c>
      <c r="C3274">
        <v>-7.3032450000000004</v>
      </c>
      <c r="D3274">
        <v>120.14490509033203</v>
      </c>
      <c r="E3274">
        <v>25.182161331176758</v>
      </c>
      <c r="F3274">
        <v>0.20959800481796265</v>
      </c>
      <c r="G3274">
        <v>106.4375</v>
      </c>
      <c r="H3274">
        <v>0.18999999761581421</v>
      </c>
      <c r="I3274">
        <v>235.92999267578125</v>
      </c>
      <c r="J3274">
        <v>829</v>
      </c>
    </row>
    <row r="3275" spans="1:10" x14ac:dyDescent="0.25">
      <c r="A3275">
        <v>5243</v>
      </c>
      <c r="B3275" t="str">
        <v>Integ. Thermopl.</v>
      </c>
      <c r="C3275">
        <v>21.171754</v>
      </c>
      <c r="D3275">
        <v>9.1110563278198242</v>
      </c>
      <c r="E3275">
        <v>1.6190799474716187</v>
      </c>
      <c r="F3275">
        <v>0.17770500481128693</v>
      </c>
      <c r="G3275">
        <v>10.210000038146973</v>
      </c>
      <c r="H3275">
        <v>0</v>
      </c>
      <c r="I3275">
        <v>6.4200000762939453</v>
      </c>
      <c r="J3275">
        <v>45</v>
      </c>
    </row>
    <row r="3276" spans="1:10" x14ac:dyDescent="0.25">
      <c r="A3276">
        <v>24817</v>
      </c>
      <c r="B3276" t="str">
        <v>Magnanimous Trad</v>
      </c>
      <c r="C3276">
        <v>25.255801000000002</v>
      </c>
      <c r="D3276">
        <v>4.2092862129211426</v>
      </c>
      <c r="E3276">
        <v>0.84107500314712524</v>
      </c>
      <c r="F3276">
        <v>0.19981400668621063</v>
      </c>
      <c r="G3276">
        <v>5.6399998664855957</v>
      </c>
      <c r="H3276">
        <v>0</v>
      </c>
      <c r="I3276">
        <v>0.54000002145767212</v>
      </c>
      <c r="J3276">
        <v>14</v>
      </c>
    </row>
    <row r="3277" spans="1:10" x14ac:dyDescent="0.25">
      <c r="A3277">
        <v>71811</v>
      </c>
      <c r="B3277" t="str">
        <v>Vedant Fashions</v>
      </c>
      <c r="C3277">
        <v>-4.7247960000000004</v>
      </c>
      <c r="D3277">
        <v>1147.3148193359375</v>
      </c>
      <c r="E3277">
        <v>191.0328369140625</v>
      </c>
      <c r="F3277">
        <v>0.16650399565696716</v>
      </c>
      <c r="G3277">
        <v>807.2249755859375</v>
      </c>
      <c r="H3277">
        <v>0.25</v>
      </c>
      <c r="I3277">
        <v>19409.23046875</v>
      </c>
      <c r="J3277">
        <v>828</v>
      </c>
    </row>
    <row r="3278" spans="1:10" x14ac:dyDescent="0.25">
      <c r="A3278">
        <v>1994</v>
      </c>
      <c r="B3278" t="str">
        <v>Anand Proj.</v>
      </c>
      <c r="C3278">
        <v>12.032418</v>
      </c>
      <c r="D3278">
        <v>21.754999160766602</v>
      </c>
      <c r="E3278">
        <v>1.9752440452575684</v>
      </c>
      <c r="F3278">
        <v>9.079500287771225E-2</v>
      </c>
      <c r="G3278">
        <v>24.479999542236328</v>
      </c>
      <c r="H3278">
        <v>0.23999999463558197</v>
      </c>
      <c r="I3278">
        <v>2.2799999713897705</v>
      </c>
      <c r="J3278">
        <v>6</v>
      </c>
    </row>
    <row r="3279" spans="1:10" x14ac:dyDescent="0.25">
      <c r="A3279">
        <v>19918</v>
      </c>
      <c r="B3279" t="str">
        <v>Antariksh Indus.</v>
      </c>
      <c r="C3279">
        <v>107.384468</v>
      </c>
      <c r="D3279">
        <v>1.2799999713897705</v>
      </c>
      <c r="E3279">
        <v>5.9999998658895493E-2</v>
      </c>
      <c r="F3279">
        <v>4.6875E-2</v>
      </c>
      <c r="G3279">
        <v>1.3400000333786011</v>
      </c>
      <c r="H3279">
        <v>0</v>
      </c>
      <c r="I3279">
        <v>2.9999999329447746E-2</v>
      </c>
      <c r="J3279">
        <v>3</v>
      </c>
    </row>
    <row r="3280" spans="1:10" x14ac:dyDescent="0.25">
      <c r="A3280">
        <v>24636</v>
      </c>
      <c r="B3280" t="str">
        <v>Asia Capital</v>
      </c>
      <c r="C3280">
        <v>1.591898</v>
      </c>
      <c r="D3280">
        <v>16.959999084472656</v>
      </c>
      <c r="E3280">
        <v>0.57982897758483887</v>
      </c>
      <c r="F3280">
        <v>3.4187998622655869E-2</v>
      </c>
      <c r="G3280">
        <v>17.370000839233398</v>
      </c>
      <c r="H3280">
        <v>0.23000000417232513</v>
      </c>
      <c r="I3280">
        <v>5.369999885559082</v>
      </c>
      <c r="J3280">
        <v>2</v>
      </c>
    </row>
    <row r="3281" spans="1:10" x14ac:dyDescent="0.25">
      <c r="A3281">
        <v>4503</v>
      </c>
      <c r="B3281" t="str">
        <v>Omega Interactiv</v>
      </c>
      <c r="C3281">
        <v>68.450702000000007</v>
      </c>
      <c r="D3281">
        <v>192.04588317871094</v>
      </c>
      <c r="E3281">
        <v>95.167999267578125</v>
      </c>
      <c r="F3281">
        <v>0.49554800987243652</v>
      </c>
      <c r="G3281">
        <v>129.57499694824219</v>
      </c>
      <c r="H3281">
        <v>0.92000001668930054</v>
      </c>
      <c r="I3281">
        <v>6.4000000953674316</v>
      </c>
      <c r="J3281">
        <v>484</v>
      </c>
    </row>
    <row r="3282" spans="1:10" x14ac:dyDescent="0.25">
      <c r="A3282">
        <v>1650</v>
      </c>
      <c r="B3282" t="str">
        <v>Ridhi Synthetics</v>
      </c>
      <c r="C3282">
        <v>268.87321400000002</v>
      </c>
      <c r="D3282">
        <v>3.8350000381469727</v>
      </c>
      <c r="E3282">
        <v>0.23245100677013397</v>
      </c>
      <c r="F3282">
        <v>6.0612998902797699E-2</v>
      </c>
      <c r="G3282">
        <v>4.1100001335144043</v>
      </c>
      <c r="H3282">
        <v>0</v>
      </c>
      <c r="I3282">
        <v>0.49000000953674316</v>
      </c>
      <c r="J3282">
        <v>4</v>
      </c>
    </row>
    <row r="3283" spans="1:10" x14ac:dyDescent="0.25">
      <c r="A3283">
        <v>7740</v>
      </c>
      <c r="B3283" t="str">
        <v>Sharpline Broadc</v>
      </c>
      <c r="C3283">
        <v>14.485329999999999</v>
      </c>
      <c r="D3283">
        <v>10.121418952941895</v>
      </c>
      <c r="E3283">
        <v>6.5435338020324707</v>
      </c>
      <c r="F3283">
        <v>0.6465039849281311</v>
      </c>
      <c r="G3283">
        <v>11.145000457763672</v>
      </c>
      <c r="H3283">
        <v>0.92000001668930054</v>
      </c>
      <c r="I3283">
        <v>18.520000457763672</v>
      </c>
      <c r="J3283">
        <v>777</v>
      </c>
    </row>
    <row r="3284" spans="1:10" x14ac:dyDescent="0.25">
      <c r="A3284">
        <v>72475</v>
      </c>
      <c r="B3284" t="str">
        <v>Softtech Enginee</v>
      </c>
      <c r="C3284">
        <v>29.610890000000001</v>
      </c>
      <c r="D3284">
        <v>252.35362243652344</v>
      </c>
      <c r="E3284">
        <v>109.13631439208984</v>
      </c>
      <c r="F3284">
        <v>0.43247398734092712</v>
      </c>
      <c r="G3284">
        <v>343.875</v>
      </c>
      <c r="H3284">
        <v>0.36000001430511475</v>
      </c>
      <c r="I3284">
        <v>480.27999877929688</v>
      </c>
      <c r="J3284">
        <v>728</v>
      </c>
    </row>
    <row r="3285" spans="1:10" x14ac:dyDescent="0.25">
      <c r="A3285">
        <v>1444</v>
      </c>
      <c r="B3285" t="str">
        <v>Swastik Safe Dep</v>
      </c>
      <c r="C3285">
        <v>50.611553000000001</v>
      </c>
      <c r="D3285">
        <v>7.4317779541015625</v>
      </c>
      <c r="E3285">
        <v>2.5470409393310547</v>
      </c>
      <c r="F3285">
        <v>0.34272301197052002</v>
      </c>
      <c r="G3285">
        <v>11.729999542236328</v>
      </c>
      <c r="H3285">
        <v>0</v>
      </c>
      <c r="I3285">
        <v>0.2800000011920929</v>
      </c>
      <c r="J3285">
        <v>45</v>
      </c>
    </row>
    <row r="3286" spans="1:10" x14ac:dyDescent="0.25">
      <c r="A3286">
        <v>3252</v>
      </c>
      <c r="B3286" t="str">
        <v>TMT (I)</v>
      </c>
      <c r="C3286">
        <v>31.781731000000001</v>
      </c>
      <c r="D3286">
        <v>3.6637039184570313</v>
      </c>
      <c r="E3286">
        <v>1.1095149517059326</v>
      </c>
      <c r="F3286">
        <v>0.30283999443054199</v>
      </c>
      <c r="G3286">
        <v>5.4800000190734863</v>
      </c>
      <c r="H3286">
        <v>0</v>
      </c>
      <c r="I3286">
        <v>2.7100000381469727</v>
      </c>
      <c r="J3286">
        <v>27</v>
      </c>
    </row>
    <row r="3287" spans="1:10" x14ac:dyDescent="0.25">
      <c r="A3287">
        <v>3035</v>
      </c>
      <c r="B3287" t="str">
        <v>U P Hotels</v>
      </c>
      <c r="C3287">
        <v>46.608899000000001</v>
      </c>
      <c r="D3287">
        <v>1060.0498046875</v>
      </c>
      <c r="E3287">
        <v>497.927734375</v>
      </c>
      <c r="F3287">
        <v>0.4697209894657135</v>
      </c>
      <c r="G3287">
        <v>1864.25</v>
      </c>
      <c r="H3287">
        <v>0</v>
      </c>
      <c r="I3287">
        <v>1026.5400390625</v>
      </c>
      <c r="J3287">
        <v>765</v>
      </c>
    </row>
    <row r="3288" spans="1:10" x14ac:dyDescent="0.25">
      <c r="A3288">
        <v>2351</v>
      </c>
      <c r="B3288" t="str">
        <v>Varun Mercan.</v>
      </c>
      <c r="C3288">
        <v>382.24606599999998</v>
      </c>
      <c r="D3288">
        <v>0.99000000953674316</v>
      </c>
      <c r="E3288">
        <v>3.9999999105930328E-2</v>
      </c>
      <c r="F3288">
        <v>4.0403999388217926E-2</v>
      </c>
      <c r="G3288">
        <v>1.0299999713897705</v>
      </c>
      <c r="H3288">
        <v>0</v>
      </c>
      <c r="I3288">
        <v>0.20999999344348907</v>
      </c>
      <c r="J3288">
        <v>3</v>
      </c>
    </row>
    <row r="3289" spans="1:10" x14ac:dyDescent="0.25">
      <c r="A3289">
        <v>7039</v>
      </c>
      <c r="B3289" t="str">
        <v>Viksit Engg.</v>
      </c>
      <c r="C3289">
        <v>481.61001299999998</v>
      </c>
      <c r="D3289">
        <v>4.1500000953674316</v>
      </c>
      <c r="E3289">
        <v>0.13228799402713776</v>
      </c>
      <c r="F3289">
        <v>3.1876999884843826E-2</v>
      </c>
      <c r="G3289">
        <v>4.25</v>
      </c>
      <c r="H3289">
        <v>0</v>
      </c>
      <c r="I3289">
        <v>0.10999999940395355</v>
      </c>
      <c r="J3289">
        <v>3</v>
      </c>
    </row>
    <row r="3290" spans="1:10" x14ac:dyDescent="0.25">
      <c r="A3290">
        <v>2546</v>
      </c>
      <c r="B3290" t="str">
        <v>Apollo Ingredie.</v>
      </c>
      <c r="C3290">
        <v>21.319731999999998</v>
      </c>
      <c r="D3290">
        <v>8.6900005340576172</v>
      </c>
      <c r="E3290">
        <v>0.66434198617935181</v>
      </c>
      <c r="F3290">
        <v>7.6448999345302582E-2</v>
      </c>
      <c r="G3290">
        <v>9.5500001907348633</v>
      </c>
      <c r="H3290">
        <v>0</v>
      </c>
      <c r="I3290">
        <v>0.37999999523162842</v>
      </c>
      <c r="J3290">
        <v>5</v>
      </c>
    </row>
    <row r="3291" spans="1:10" x14ac:dyDescent="0.25">
      <c r="A3291">
        <v>72507</v>
      </c>
      <c r="B3291" t="str">
        <v>Avro India</v>
      </c>
      <c r="C3291">
        <v>23.851868</v>
      </c>
      <c r="D3291">
        <v>134.57713317871094</v>
      </c>
      <c r="E3291">
        <v>27.891679763793945</v>
      </c>
      <c r="F3291">
        <v>0.20725399255752563</v>
      </c>
      <c r="G3291">
        <v>156.875</v>
      </c>
      <c r="H3291">
        <v>0.6600000262260437</v>
      </c>
      <c r="I3291">
        <v>214.11000061035156</v>
      </c>
      <c r="J3291">
        <v>791</v>
      </c>
    </row>
    <row r="3292" spans="1:10" x14ac:dyDescent="0.25">
      <c r="A3292">
        <v>43058</v>
      </c>
      <c r="B3292" t="str">
        <v>Eureka Forbes</v>
      </c>
      <c r="C3292">
        <v>6.6014710000000001</v>
      </c>
      <c r="D3292">
        <v>486.92892456054688</v>
      </c>
      <c r="E3292">
        <v>71.183975219726563</v>
      </c>
      <c r="F3292">
        <v>0.14619000256061554</v>
      </c>
      <c r="G3292">
        <v>597.6875</v>
      </c>
      <c r="H3292">
        <v>1.9999999552965164E-2</v>
      </c>
      <c r="I3292">
        <v>11431.349609375</v>
      </c>
      <c r="J3292">
        <v>809</v>
      </c>
    </row>
    <row r="3293" spans="1:10" x14ac:dyDescent="0.25">
      <c r="A3293">
        <v>67008</v>
      </c>
      <c r="B3293" t="str">
        <v>Gateway Distri</v>
      </c>
      <c r="C3293">
        <v>-4.9430959999999997</v>
      </c>
      <c r="D3293">
        <v>81.342239379882813</v>
      </c>
      <c r="E3293">
        <v>16.46142578125</v>
      </c>
      <c r="F3293">
        <v>0.2023719996213913</v>
      </c>
      <c r="G3293">
        <v>62.424999237060547</v>
      </c>
      <c r="H3293">
        <v>0.27000001072883606</v>
      </c>
      <c r="I3293">
        <v>3079.800048828125</v>
      </c>
      <c r="J3293">
        <v>806</v>
      </c>
    </row>
    <row r="3294" spans="1:10" x14ac:dyDescent="0.25">
      <c r="A3294">
        <v>2432</v>
      </c>
      <c r="B3294" t="str">
        <v>Indoworth Hold.</v>
      </c>
      <c r="C3294">
        <v>0</v>
      </c>
      <c r="D3294">
        <v>10.050000190734863</v>
      </c>
      <c r="E3294">
        <v>0</v>
      </c>
      <c r="F3294">
        <v>0</v>
      </c>
      <c r="G3294">
        <v>10.050000190734863</v>
      </c>
      <c r="H3294">
        <v>0</v>
      </c>
      <c r="I3294">
        <v>1.25</v>
      </c>
      <c r="J3294">
        <v>1</v>
      </c>
    </row>
    <row r="3295" spans="1:10" x14ac:dyDescent="0.25">
      <c r="A3295">
        <v>76359</v>
      </c>
      <c r="B3295" t="str">
        <v>Motherson Wiring</v>
      </c>
      <c r="C3295">
        <v>7.7804190000000002</v>
      </c>
      <c r="D3295">
        <v>59.613231658935547</v>
      </c>
      <c r="E3295">
        <v>7.6026501655578613</v>
      </c>
      <c r="F3295">
        <v>0.12753300368785858</v>
      </c>
      <c r="G3295">
        <v>59.724998474121094</v>
      </c>
      <c r="H3295">
        <v>0.20999999344348907</v>
      </c>
      <c r="I3295">
        <v>26155.26953125</v>
      </c>
      <c r="J3295">
        <v>802</v>
      </c>
    </row>
    <row r="3296" spans="1:10" x14ac:dyDescent="0.25">
      <c r="A3296">
        <v>1699</v>
      </c>
      <c r="B3296" t="str">
        <v>Nibe Ordnance</v>
      </c>
      <c r="C3296">
        <v>-30.601215</v>
      </c>
      <c r="D3296">
        <v>8.1662082672119141</v>
      </c>
      <c r="E3296">
        <v>8.4081459045410156</v>
      </c>
      <c r="F3296">
        <v>1.0296269655227661</v>
      </c>
      <c r="G3296">
        <v>6.2100000381469727</v>
      </c>
      <c r="H3296">
        <v>0</v>
      </c>
      <c r="I3296">
        <v>0.94999998807907104</v>
      </c>
      <c r="J3296">
        <v>58</v>
      </c>
    </row>
    <row r="3297" spans="1:10" x14ac:dyDescent="0.25">
      <c r="A3297">
        <v>69748</v>
      </c>
      <c r="B3297" t="str">
        <v>Rita Finance and</v>
      </c>
      <c r="C3297">
        <v>25.908007999999999</v>
      </c>
      <c r="D3297">
        <v>21.982105255126953</v>
      </c>
      <c r="E3297">
        <v>3.558150053024292</v>
      </c>
      <c r="F3297">
        <v>0.16186599433422089</v>
      </c>
      <c r="G3297">
        <v>22.360000610351563</v>
      </c>
      <c r="H3297">
        <v>0</v>
      </c>
      <c r="I3297">
        <v>23.469999313354492</v>
      </c>
      <c r="J3297">
        <v>764</v>
      </c>
    </row>
    <row r="3298" spans="1:10" x14ac:dyDescent="0.25">
      <c r="A3298">
        <v>1789</v>
      </c>
      <c r="B3298" t="str">
        <v>Shri Gang Indus</v>
      </c>
      <c r="C3298">
        <v>128.40736000000001</v>
      </c>
      <c r="D3298">
        <v>99.393699645996094</v>
      </c>
      <c r="E3298">
        <v>42.536994934082031</v>
      </c>
      <c r="F3298">
        <v>0.42796498537063599</v>
      </c>
      <c r="G3298">
        <v>100.3125</v>
      </c>
      <c r="H3298">
        <v>0</v>
      </c>
      <c r="I3298">
        <v>178.8699951171875</v>
      </c>
      <c r="J3298">
        <v>769</v>
      </c>
    </row>
    <row r="3299" spans="1:10" x14ac:dyDescent="0.25">
      <c r="A3299">
        <v>76024</v>
      </c>
      <c r="B3299" t="str">
        <v>Uma Exports</v>
      </c>
      <c r="C3299">
        <v>-9.5225380000000008</v>
      </c>
      <c r="D3299">
        <v>69.588150024414063</v>
      </c>
      <c r="E3299">
        <v>24.778081893920898</v>
      </c>
      <c r="F3299">
        <v>0.35606798529624939</v>
      </c>
      <c r="G3299">
        <v>59.472499847412109</v>
      </c>
      <c r="H3299">
        <v>0.68000000715255737</v>
      </c>
      <c r="I3299">
        <v>198.77000427246094</v>
      </c>
      <c r="J3299">
        <v>790</v>
      </c>
    </row>
    <row r="3300" spans="1:10" x14ac:dyDescent="0.25">
      <c r="A3300">
        <v>76196</v>
      </c>
      <c r="B3300" t="str">
        <v>Veranda Learning</v>
      </c>
      <c r="C3300">
        <v>7.9724370000000002</v>
      </c>
      <c r="D3300">
        <v>236.54000854492188</v>
      </c>
      <c r="E3300">
        <v>48.560798645019531</v>
      </c>
      <c r="F3300">
        <v>0.20529599487781525</v>
      </c>
      <c r="G3300">
        <v>203.125</v>
      </c>
      <c r="H3300">
        <v>0.18000000715255737</v>
      </c>
      <c r="I3300">
        <v>1486.0699462890625</v>
      </c>
      <c r="J3300">
        <v>792</v>
      </c>
    </row>
    <row r="3301" spans="1:10" x14ac:dyDescent="0.25">
      <c r="A3301">
        <v>76331</v>
      </c>
      <c r="B3301" t="str">
        <v>Campus Activewe.</v>
      </c>
      <c r="C3301">
        <v>-8.9596560000000007</v>
      </c>
      <c r="D3301">
        <v>327.03591918945313</v>
      </c>
      <c r="E3301">
        <v>82.8526611328125</v>
      </c>
      <c r="F3301">
        <v>0.25334399938583374</v>
      </c>
      <c r="G3301">
        <v>280.46249389648438</v>
      </c>
      <c r="H3301">
        <v>0.43000000715255737</v>
      </c>
      <c r="I3301">
        <v>8461.1298828125</v>
      </c>
      <c r="J3301">
        <v>775</v>
      </c>
    </row>
    <row r="3302" spans="1:10" x14ac:dyDescent="0.25">
      <c r="A3302">
        <v>72390</v>
      </c>
      <c r="B3302" t="str">
        <v>Hariom Pipe</v>
      </c>
      <c r="C3302">
        <v>18.521758999999999</v>
      </c>
      <c r="D3302">
        <v>484.1917724609375</v>
      </c>
      <c r="E3302">
        <v>162.35765075683594</v>
      </c>
      <c r="F3302">
        <v>0.3353169858455658</v>
      </c>
      <c r="G3302">
        <v>390.75</v>
      </c>
      <c r="H3302">
        <v>0.79000002145767212</v>
      </c>
      <c r="I3302">
        <v>1193.6300048828125</v>
      </c>
      <c r="J3302">
        <v>790</v>
      </c>
    </row>
    <row r="3303" spans="1:10" x14ac:dyDescent="0.25">
      <c r="A3303">
        <v>1805</v>
      </c>
      <c r="B3303" t="str">
        <v>Mediaone Global</v>
      </c>
      <c r="C3303">
        <v>32.243761999999997</v>
      </c>
      <c r="D3303">
        <v>34.295524597167969</v>
      </c>
      <c r="E3303">
        <v>12.42252254486084</v>
      </c>
      <c r="F3303">
        <v>0.36221998929977417</v>
      </c>
      <c r="G3303">
        <v>22.137500762939453</v>
      </c>
      <c r="H3303">
        <v>0</v>
      </c>
      <c r="I3303">
        <v>33.060001373291016</v>
      </c>
      <c r="J3303">
        <v>661</v>
      </c>
    </row>
    <row r="3304" spans="1:10" x14ac:dyDescent="0.25">
      <c r="A3304">
        <v>35969</v>
      </c>
      <c r="B3304" t="str">
        <v>Rainbow Child.</v>
      </c>
      <c r="C3304">
        <v>37.525945999999998</v>
      </c>
      <c r="D3304">
        <v>1064.201171875</v>
      </c>
      <c r="E3304">
        <v>328.81549072265625</v>
      </c>
      <c r="F3304">
        <v>0.30897900462150574</v>
      </c>
      <c r="G3304">
        <v>1449.2125244140625</v>
      </c>
      <c r="H3304">
        <v>0.52999997138977051</v>
      </c>
      <c r="I3304">
        <v>14627</v>
      </c>
      <c r="J3304">
        <v>774</v>
      </c>
    </row>
    <row r="3305" spans="1:10" x14ac:dyDescent="0.25">
      <c r="A3305">
        <v>6619</v>
      </c>
      <c r="B3305" t="str">
        <v>Rose Merc.</v>
      </c>
      <c r="C3305">
        <v>89.826142000000004</v>
      </c>
      <c r="D3305">
        <v>80.228363037109375</v>
      </c>
      <c r="E3305">
        <v>51.609992980957031</v>
      </c>
      <c r="F3305">
        <v>0.64328902959823608</v>
      </c>
      <c r="G3305">
        <v>45.979999542236328</v>
      </c>
      <c r="H3305">
        <v>9.9999997764825821E-3</v>
      </c>
      <c r="I3305">
        <v>22.489999771118164</v>
      </c>
      <c r="J3305">
        <v>615</v>
      </c>
    </row>
    <row r="3306" spans="1:10" x14ac:dyDescent="0.25">
      <c r="A3306">
        <v>76355</v>
      </c>
      <c r="B3306" t="str">
        <v>Aether Industri.</v>
      </c>
      <c r="C3306">
        <v>0.89944800000000003</v>
      </c>
      <c r="D3306">
        <v>887.442626953125</v>
      </c>
      <c r="E3306">
        <v>75.000228881835938</v>
      </c>
      <c r="F3306">
        <v>8.4513001143932343E-2</v>
      </c>
      <c r="G3306">
        <v>760.42498779296875</v>
      </c>
      <c r="H3306">
        <v>5.000000074505806E-2</v>
      </c>
      <c r="I3306">
        <v>10070.23046875</v>
      </c>
      <c r="J3306">
        <v>756</v>
      </c>
    </row>
    <row r="3307" spans="1:10" x14ac:dyDescent="0.25">
      <c r="A3307">
        <v>58</v>
      </c>
      <c r="B3307" t="str">
        <v>Baroda Rayon</v>
      </c>
      <c r="C3307">
        <v>135.87441000000001</v>
      </c>
      <c r="D3307">
        <v>181.89251708984375</v>
      </c>
      <c r="E3307">
        <v>71.464073181152344</v>
      </c>
      <c r="F3307">
        <v>0.39289200305938721</v>
      </c>
      <c r="G3307">
        <v>161.42500305175781</v>
      </c>
      <c r="H3307">
        <v>0.72000002861022949</v>
      </c>
      <c r="I3307">
        <v>373.23001098632813</v>
      </c>
      <c r="J3307">
        <v>753</v>
      </c>
    </row>
    <row r="3308" spans="1:10" x14ac:dyDescent="0.25">
      <c r="A3308">
        <v>68151</v>
      </c>
      <c r="B3308" t="str">
        <v>Delhivery</v>
      </c>
      <c r="C3308">
        <v>-11.611890000000001</v>
      </c>
      <c r="D3308">
        <v>401.02191162109375</v>
      </c>
      <c r="E3308">
        <v>82.950210571289063</v>
      </c>
      <c r="F3308">
        <v>0.20684699714183807</v>
      </c>
      <c r="G3308">
        <v>360.67498779296875</v>
      </c>
      <c r="H3308">
        <v>0.10999999940395355</v>
      </c>
      <c r="I3308">
        <v>26485.599609375</v>
      </c>
      <c r="J3308">
        <v>764</v>
      </c>
    </row>
    <row r="3309" spans="1:10" x14ac:dyDescent="0.25">
      <c r="A3309">
        <v>29971</v>
      </c>
      <c r="B3309" t="str">
        <v>Ethos Ltd</v>
      </c>
      <c r="C3309">
        <v>43.500557000000001</v>
      </c>
      <c r="D3309">
        <v>1892.2181396484375</v>
      </c>
      <c r="E3309">
        <v>796.10479736328125</v>
      </c>
      <c r="F3309">
        <v>0.42072600126266479</v>
      </c>
      <c r="G3309">
        <v>2774</v>
      </c>
      <c r="H3309">
        <v>0.18000000715255737</v>
      </c>
      <c r="I3309">
        <v>7282.91015625</v>
      </c>
      <c r="J3309">
        <v>760</v>
      </c>
    </row>
    <row r="3310" spans="1:10" x14ac:dyDescent="0.25">
      <c r="A3310">
        <v>2504</v>
      </c>
      <c r="B3310" t="str">
        <v>Guj. Inject(Ker)</v>
      </c>
      <c r="C3310">
        <v>83.556541999999993</v>
      </c>
      <c r="D3310">
        <v>13.585904121398926</v>
      </c>
      <c r="E3310">
        <v>7.2005062103271484</v>
      </c>
      <c r="F3310">
        <v>0.52999800443649292</v>
      </c>
      <c r="G3310">
        <v>24.219999313354492</v>
      </c>
      <c r="H3310">
        <v>7.9999998211860657E-2</v>
      </c>
      <c r="I3310">
        <v>35.479999542236328</v>
      </c>
      <c r="J3310">
        <v>509</v>
      </c>
    </row>
    <row r="3311" spans="1:10" x14ac:dyDescent="0.25">
      <c r="A3311">
        <v>42732</v>
      </c>
      <c r="B3311" t="str">
        <v>Prudent Corp.</v>
      </c>
      <c r="C3311">
        <v>51.425137999999997</v>
      </c>
      <c r="D3311">
        <v>1483.3226318359375</v>
      </c>
      <c r="E3311">
        <v>750.847412109375</v>
      </c>
      <c r="F3311">
        <v>0.50619298219680786</v>
      </c>
      <c r="G3311">
        <v>2698.824951171875</v>
      </c>
      <c r="H3311">
        <v>3.9999999105930328E-2</v>
      </c>
      <c r="I3311">
        <v>11304.849609375</v>
      </c>
      <c r="J3311">
        <v>766</v>
      </c>
    </row>
    <row r="3312" spans="1:10" x14ac:dyDescent="0.25">
      <c r="A3312">
        <v>2435</v>
      </c>
      <c r="B3312" t="str">
        <v>Rishabh Sp. Yarn</v>
      </c>
      <c r="C3312">
        <v>74.777429999999995</v>
      </c>
      <c r="D3312">
        <v>55.634506225585938</v>
      </c>
      <c r="E3312">
        <v>23.035739898681641</v>
      </c>
      <c r="F3312">
        <v>0.4140549898147583</v>
      </c>
      <c r="G3312">
        <v>78.519996643066406</v>
      </c>
      <c r="H3312">
        <v>0.61000001430511475</v>
      </c>
      <c r="I3312">
        <v>27.959999084472656</v>
      </c>
      <c r="J3312">
        <v>162</v>
      </c>
    </row>
    <row r="3313" spans="1:10" x14ac:dyDescent="0.25">
      <c r="A3313">
        <v>71656</v>
      </c>
      <c r="B3313" t="str">
        <v>Silver Touch</v>
      </c>
      <c r="C3313">
        <v>36.992238999999998</v>
      </c>
      <c r="D3313">
        <v>553.55523681640625</v>
      </c>
      <c r="E3313">
        <v>181.3070068359375</v>
      </c>
      <c r="F3313">
        <v>0.32753199338912964</v>
      </c>
      <c r="G3313">
        <v>804.0625</v>
      </c>
      <c r="H3313">
        <v>0.10999999940395355</v>
      </c>
      <c r="I3313">
        <v>979.6099853515625</v>
      </c>
      <c r="J3313">
        <v>768</v>
      </c>
    </row>
    <row r="3314" spans="1:10" x14ac:dyDescent="0.25">
      <c r="A3314">
        <v>76845</v>
      </c>
      <c r="B3314" t="str">
        <v>Tierra Agrotech</v>
      </c>
      <c r="C3314">
        <v>-56.014322999999997</v>
      </c>
      <c r="D3314">
        <v>96.316368103027344</v>
      </c>
      <c r="E3314">
        <v>37.961414337158203</v>
      </c>
      <c r="F3314">
        <v>0.39413300156593323</v>
      </c>
      <c r="G3314">
        <v>38.529998779296875</v>
      </c>
      <c r="H3314">
        <v>0.81000000238418579</v>
      </c>
      <c r="I3314">
        <v>245.32000732421875</v>
      </c>
      <c r="J3314">
        <v>760</v>
      </c>
    </row>
    <row r="3315" spans="1:10" x14ac:dyDescent="0.25">
      <c r="A3315">
        <v>76332</v>
      </c>
      <c r="B3315" t="str">
        <v>Venus Pipes</v>
      </c>
      <c r="C3315">
        <v>47.178593999999997</v>
      </c>
      <c r="D3315">
        <v>1285.4041748046875</v>
      </c>
      <c r="E3315">
        <v>561.0167236328125</v>
      </c>
      <c r="F3315">
        <v>0.43645200133323669</v>
      </c>
      <c r="G3315">
        <v>1354.1875</v>
      </c>
      <c r="H3315">
        <v>0.33000001311302185</v>
      </c>
      <c r="I3315">
        <v>2745.6298828125</v>
      </c>
      <c r="J3315">
        <v>764</v>
      </c>
    </row>
    <row r="3316" spans="1:10" x14ac:dyDescent="0.25">
      <c r="A3316">
        <v>40572</v>
      </c>
      <c r="B3316" t="str">
        <v>eMudhra</v>
      </c>
      <c r="C3316">
        <v>34.318232000000002</v>
      </c>
      <c r="D3316">
        <v>559.32928466796875</v>
      </c>
      <c r="E3316">
        <v>239.16258239746094</v>
      </c>
      <c r="F3316">
        <v>0.42758798599243164</v>
      </c>
      <c r="G3316">
        <v>727.4375</v>
      </c>
      <c r="H3316">
        <v>0</v>
      </c>
      <c r="I3316">
        <v>5982.31982421875</v>
      </c>
      <c r="J3316">
        <v>758</v>
      </c>
    </row>
    <row r="3317" spans="1:10" x14ac:dyDescent="0.25">
      <c r="A3317">
        <v>2321</v>
      </c>
      <c r="B3317" t="str">
        <v>Sagar Systech</v>
      </c>
      <c r="C3317">
        <v>0</v>
      </c>
      <c r="D3317">
        <v>61.75</v>
      </c>
      <c r="E3317">
        <v>0</v>
      </c>
      <c r="F3317">
        <v>0</v>
      </c>
      <c r="G3317">
        <v>61.75</v>
      </c>
      <c r="H3317">
        <v>0.10999999940395355</v>
      </c>
      <c r="I3317">
        <v>1.9800000190734863</v>
      </c>
      <c r="J3317">
        <v>1</v>
      </c>
    </row>
    <row r="3318" spans="1:10" x14ac:dyDescent="0.25">
      <c r="A3318">
        <v>1530</v>
      </c>
      <c r="B3318" t="str">
        <v>Saianand Commer.</v>
      </c>
      <c r="C3318">
        <v>-7.0979229999999998</v>
      </c>
      <c r="D3318">
        <v>0.54204601049423218</v>
      </c>
      <c r="E3318">
        <v>0.14203199744224548</v>
      </c>
      <c r="F3318">
        <v>0.26203000545501709</v>
      </c>
      <c r="G3318">
        <v>0.36250001192092896</v>
      </c>
      <c r="H3318">
        <v>0</v>
      </c>
      <c r="I3318">
        <v>8.1800003051757813</v>
      </c>
      <c r="J3318">
        <v>749</v>
      </c>
    </row>
    <row r="3319" spans="1:10" x14ac:dyDescent="0.25">
      <c r="A3319">
        <v>69034</v>
      </c>
      <c r="B3319" t="str">
        <v>We Win Ltd</v>
      </c>
      <c r="C3319">
        <v>2.2034899999999999</v>
      </c>
      <c r="D3319">
        <v>61.279350280761719</v>
      </c>
      <c r="E3319">
        <v>17.878677368164063</v>
      </c>
      <c r="F3319">
        <v>0.29175698757171631</v>
      </c>
      <c r="G3319">
        <v>48.724998474121094</v>
      </c>
      <c r="H3319">
        <v>0.40999999642372131</v>
      </c>
      <c r="I3319">
        <v>48.349998474121094</v>
      </c>
      <c r="J3319">
        <v>724</v>
      </c>
    </row>
    <row r="3320" spans="1:10" x14ac:dyDescent="0.25">
      <c r="A3320">
        <v>1257</v>
      </c>
      <c r="B3320" t="str">
        <v>Apt Packaging</v>
      </c>
      <c r="C3320">
        <v>26.011903</v>
      </c>
      <c r="D3320">
        <v>45.044868469238281</v>
      </c>
      <c r="E3320">
        <v>13.223831176757813</v>
      </c>
      <c r="F3320">
        <v>0.29357001185417175</v>
      </c>
      <c r="G3320">
        <v>61.75</v>
      </c>
      <c r="H3320">
        <v>0</v>
      </c>
      <c r="I3320">
        <v>32.5</v>
      </c>
      <c r="J3320">
        <v>565</v>
      </c>
    </row>
    <row r="3321" spans="1:10" x14ac:dyDescent="0.25">
      <c r="A3321">
        <v>13251</v>
      </c>
      <c r="B3321" t="str">
        <v>Gradiente Info.</v>
      </c>
      <c r="C3321">
        <v>116.345416</v>
      </c>
      <c r="D3321">
        <v>6.7534818649291992</v>
      </c>
      <c r="E3321">
        <v>1.4707399606704712</v>
      </c>
      <c r="F3321">
        <v>0.21777500212192535</v>
      </c>
      <c r="G3321">
        <v>4.880000114440918</v>
      </c>
      <c r="H3321">
        <v>0.52999997138977051</v>
      </c>
      <c r="I3321">
        <v>10.989999771118164</v>
      </c>
      <c r="J3321">
        <v>257</v>
      </c>
    </row>
    <row r="3322" spans="1:10" x14ac:dyDescent="0.25">
      <c r="A3322">
        <v>4670</v>
      </c>
      <c r="B3322" t="str">
        <v>Press. Senstive</v>
      </c>
      <c r="C3322">
        <v>33.180005999999999</v>
      </c>
      <c r="D3322">
        <v>7.270359992980957</v>
      </c>
      <c r="E3322">
        <v>2.8089001178741455</v>
      </c>
      <c r="F3322">
        <v>0.38635000586509705</v>
      </c>
      <c r="G3322">
        <v>3.1449999809265137</v>
      </c>
      <c r="H3322">
        <v>0</v>
      </c>
      <c r="I3322">
        <v>46.880001068115234</v>
      </c>
      <c r="J3322">
        <v>730</v>
      </c>
    </row>
    <row r="3323" spans="1:10" x14ac:dyDescent="0.25">
      <c r="A3323">
        <v>1639</v>
      </c>
      <c r="B3323" t="str">
        <v>Rolcon Engg. Co.</v>
      </c>
      <c r="C3323">
        <v>69.831148999999996</v>
      </c>
      <c r="D3323">
        <v>564.988525390625</v>
      </c>
      <c r="E3323">
        <v>282.78665161132813</v>
      </c>
      <c r="F3323">
        <v>0.50051802396774292</v>
      </c>
      <c r="G3323">
        <v>823.20001220703125</v>
      </c>
      <c r="H3323">
        <v>2.9999999329447746E-2</v>
      </c>
      <c r="I3323">
        <v>65.69000244140625</v>
      </c>
      <c r="J3323">
        <v>444</v>
      </c>
    </row>
    <row r="3324" spans="1:10" x14ac:dyDescent="0.25">
      <c r="A3324">
        <v>75251</v>
      </c>
      <c r="B3324" t="str">
        <v>DDev Plastiks</v>
      </c>
      <c r="C3324">
        <v>75.377887000000001</v>
      </c>
      <c r="D3324">
        <v>203.90983581542969</v>
      </c>
      <c r="E3324">
        <v>99.533485412597656</v>
      </c>
      <c r="F3324">
        <v>0.48812499642372131</v>
      </c>
      <c r="G3324">
        <v>273.3125</v>
      </c>
      <c r="H3324">
        <v>0.10999999940395355</v>
      </c>
      <c r="I3324">
        <v>2795.93994140625</v>
      </c>
      <c r="J3324">
        <v>719</v>
      </c>
    </row>
    <row r="3325" spans="1:10" x14ac:dyDescent="0.25">
      <c r="A3325">
        <v>7441</v>
      </c>
      <c r="B3325" t="str">
        <v>Kashyap TeleMed.</v>
      </c>
      <c r="C3325">
        <v>72.469324999999998</v>
      </c>
      <c r="D3325">
        <v>2.63850998878479</v>
      </c>
      <c r="E3325">
        <v>1.6250159740447998</v>
      </c>
      <c r="F3325">
        <v>0.61588400602340698</v>
      </c>
      <c r="G3325">
        <v>6.882500171661377</v>
      </c>
      <c r="H3325">
        <v>0</v>
      </c>
      <c r="I3325">
        <v>31.639999389648438</v>
      </c>
      <c r="J3325">
        <v>584</v>
      </c>
    </row>
    <row r="3326" spans="1:10" x14ac:dyDescent="0.25">
      <c r="A3326">
        <v>75760</v>
      </c>
      <c r="B3326" t="str">
        <v>Dhampur Bio</v>
      </c>
      <c r="C3326">
        <v>-27.13034</v>
      </c>
      <c r="D3326">
        <v>140.36784362792969</v>
      </c>
      <c r="E3326">
        <v>33.943828582763672</v>
      </c>
      <c r="F3326">
        <v>0.24182100594043732</v>
      </c>
      <c r="G3326">
        <v>77.400001525878906</v>
      </c>
      <c r="H3326">
        <v>0.93000000715255737</v>
      </c>
      <c r="I3326">
        <v>513.84002685546875</v>
      </c>
      <c r="J3326">
        <v>690</v>
      </c>
    </row>
    <row r="3327" spans="1:10" x14ac:dyDescent="0.25">
      <c r="A3327">
        <v>76420</v>
      </c>
      <c r="B3327" t="str">
        <v>Dreamfolks Servi</v>
      </c>
      <c r="C3327">
        <v>-23.943148999999998</v>
      </c>
      <c r="D3327">
        <v>449.18731689453125</v>
      </c>
      <c r="E3327">
        <v>108.59929656982422</v>
      </c>
      <c r="F3327">
        <v>0.2417680025100708</v>
      </c>
      <c r="G3327">
        <v>246.88749694824219</v>
      </c>
      <c r="H3327">
        <v>2.9999999329447746E-2</v>
      </c>
      <c r="I3327">
        <v>1253.43994140625</v>
      </c>
      <c r="J3327">
        <v>692</v>
      </c>
    </row>
    <row r="3328" spans="1:10" x14ac:dyDescent="0.25">
      <c r="A3328">
        <v>3735</v>
      </c>
      <c r="B3328" t="str">
        <v>Integra Switch</v>
      </c>
      <c r="C3328">
        <v>142.698081</v>
      </c>
      <c r="D3328">
        <v>122.70716094970703</v>
      </c>
      <c r="E3328">
        <v>67.851425170898438</v>
      </c>
      <c r="F3328">
        <v>0.55295401811599731</v>
      </c>
      <c r="G3328">
        <v>139.14750671386719</v>
      </c>
      <c r="H3328">
        <v>0</v>
      </c>
      <c r="I3328">
        <v>44.409999847412109</v>
      </c>
      <c r="J3328">
        <v>414</v>
      </c>
    </row>
    <row r="3329" spans="1:10" x14ac:dyDescent="0.25">
      <c r="A3329">
        <v>65316</v>
      </c>
      <c r="B3329" t="str">
        <v>Mihika Industrie</v>
      </c>
      <c r="C3329">
        <v>4.5389470000000003</v>
      </c>
      <c r="D3329">
        <v>25.012430191040039</v>
      </c>
      <c r="E3329">
        <v>2.5825810432434082</v>
      </c>
      <c r="F3329">
        <v>0.10325200110673904</v>
      </c>
      <c r="G3329">
        <v>23.25</v>
      </c>
      <c r="H3329">
        <v>0</v>
      </c>
      <c r="I3329">
        <v>21.969999313354492</v>
      </c>
      <c r="J3329">
        <v>623</v>
      </c>
    </row>
    <row r="3330" spans="1:10" x14ac:dyDescent="0.25">
      <c r="A3330">
        <v>65082</v>
      </c>
      <c r="B3330" t="str">
        <v>Rhetan TMT Ltd</v>
      </c>
      <c r="C3330">
        <v>92.358946000000003</v>
      </c>
      <c r="D3330">
        <v>12.428298950195313</v>
      </c>
      <c r="E3330">
        <v>4.9423117637634277</v>
      </c>
      <c r="F3330">
        <v>0.39766600728034973</v>
      </c>
      <c r="G3330">
        <v>18.645000457763672</v>
      </c>
      <c r="H3330">
        <v>0.20000000298023224</v>
      </c>
      <c r="I3330">
        <v>1471.8299560546875</v>
      </c>
      <c r="J3330">
        <v>676</v>
      </c>
    </row>
    <row r="3331" spans="1:10" x14ac:dyDescent="0.25">
      <c r="A3331">
        <v>16052</v>
      </c>
      <c r="B3331" t="str">
        <v>Southern Gas</v>
      </c>
      <c r="C3331">
        <v>-110.690029</v>
      </c>
      <c r="D3331">
        <v>70.826667785644531</v>
      </c>
      <c r="E3331">
        <v>47.764694213867188</v>
      </c>
      <c r="F3331">
        <v>0.67438900470733643</v>
      </c>
      <c r="G3331">
        <v>22.680000305175781</v>
      </c>
      <c r="H3331">
        <v>9.9999997764825821E-3</v>
      </c>
      <c r="I3331">
        <v>5.000000074505806E-2</v>
      </c>
      <c r="J3331">
        <v>3</v>
      </c>
    </row>
    <row r="3332" spans="1:10" x14ac:dyDescent="0.25">
      <c r="A3332">
        <v>76291</v>
      </c>
      <c r="B3332" t="str">
        <v>Syrma SGS Tech.</v>
      </c>
      <c r="C3332">
        <v>21.606462000000001</v>
      </c>
      <c r="D3332">
        <v>448.10546875</v>
      </c>
      <c r="E3332">
        <v>115.15501403808594</v>
      </c>
      <c r="F3332">
        <v>0.25698199868202209</v>
      </c>
      <c r="G3332">
        <v>518.7249755859375</v>
      </c>
      <c r="H3332">
        <v>0.25999999046325684</v>
      </c>
      <c r="I3332">
        <v>9070.16015625</v>
      </c>
      <c r="J3332">
        <v>698</v>
      </c>
    </row>
    <row r="3333" spans="1:10" x14ac:dyDescent="0.25">
      <c r="A3333">
        <v>12426</v>
      </c>
      <c r="B3333" t="str">
        <v>T N Merc. Bank</v>
      </c>
      <c r="C3333">
        <v>-4.5387519999999997</v>
      </c>
      <c r="D3333">
        <v>471.07818603515625</v>
      </c>
      <c r="E3333">
        <v>39.580184936523438</v>
      </c>
      <c r="F3333">
        <v>8.402000367641449E-2</v>
      </c>
      <c r="G3333">
        <v>445.5625</v>
      </c>
      <c r="H3333">
        <v>0</v>
      </c>
      <c r="I3333">
        <v>7023.68017578125</v>
      </c>
      <c r="J3333">
        <v>685</v>
      </c>
    </row>
    <row r="3334" spans="1:10" x14ac:dyDescent="0.25">
      <c r="A3334">
        <v>72772</v>
      </c>
      <c r="B3334" t="str">
        <v>Harsha Engg Intl</v>
      </c>
      <c r="C3334">
        <v>-7.1188399999999996</v>
      </c>
      <c r="D3334">
        <v>433.04119873046875</v>
      </c>
      <c r="E3334">
        <v>56.549102783203125</v>
      </c>
      <c r="F3334">
        <v>0.13058599829673767</v>
      </c>
      <c r="G3334">
        <v>387.9375</v>
      </c>
      <c r="H3334">
        <v>7.9999998211860657E-2</v>
      </c>
      <c r="I3334">
        <v>3495.179931640625</v>
      </c>
      <c r="J3334">
        <v>678</v>
      </c>
    </row>
    <row r="3335" spans="1:10" x14ac:dyDescent="0.25">
      <c r="A3335">
        <v>74805</v>
      </c>
      <c r="B3335" t="str">
        <v>Ksolves India</v>
      </c>
      <c r="C3335">
        <v>17.232185000000001</v>
      </c>
      <c r="D3335">
        <v>450.4210205078125</v>
      </c>
      <c r="E3335">
        <v>138.93177795410156</v>
      </c>
      <c r="F3335">
        <v>0.30844900012016296</v>
      </c>
      <c r="G3335">
        <v>338.48748779296875</v>
      </c>
      <c r="H3335">
        <v>0</v>
      </c>
      <c r="I3335">
        <v>791.27001953125</v>
      </c>
      <c r="J3335">
        <v>679</v>
      </c>
    </row>
    <row r="3336" spans="1:10" x14ac:dyDescent="0.25">
      <c r="A3336">
        <v>3375</v>
      </c>
      <c r="B3336" t="str">
        <v>SBEC Systems</v>
      </c>
      <c r="C3336">
        <v>90.430074000000005</v>
      </c>
      <c r="D3336">
        <v>27.688198089599609</v>
      </c>
      <c r="E3336">
        <v>11.06611442565918</v>
      </c>
      <c r="F3336">
        <v>0.39966899156570435</v>
      </c>
      <c r="G3336">
        <v>32.490001678466797</v>
      </c>
      <c r="H3336">
        <v>0</v>
      </c>
      <c r="I3336">
        <v>32.490001678466797</v>
      </c>
      <c r="J3336">
        <v>674</v>
      </c>
    </row>
    <row r="3337" spans="1:10" x14ac:dyDescent="0.25">
      <c r="A3337">
        <v>77901</v>
      </c>
      <c r="B3337" t="str">
        <v>Tips Films</v>
      </c>
      <c r="C3337">
        <v>23.801984999999998</v>
      </c>
      <c r="D3337">
        <v>552.36895751953125</v>
      </c>
      <c r="E3337">
        <v>102.53546142578125</v>
      </c>
      <c r="F3337">
        <v>0.18562899529933929</v>
      </c>
      <c r="G3337">
        <v>575.4375</v>
      </c>
      <c r="H3337">
        <v>0.10000000149011612</v>
      </c>
      <c r="I3337">
        <v>248.97999572753906</v>
      </c>
      <c r="J3337">
        <v>670</v>
      </c>
    </row>
    <row r="3338" spans="1:10" x14ac:dyDescent="0.25">
      <c r="A3338">
        <v>3640</v>
      </c>
      <c r="B3338" t="str">
        <v>Ambitious Plasto</v>
      </c>
      <c r="C3338">
        <v>45.002665999999998</v>
      </c>
      <c r="D3338">
        <v>8.49761962890625</v>
      </c>
      <c r="E3338">
        <v>3.3888700008392334</v>
      </c>
      <c r="F3338">
        <v>0.3988020122051239</v>
      </c>
      <c r="G3338">
        <v>11.329999923706055</v>
      </c>
      <c r="H3338">
        <v>0</v>
      </c>
      <c r="I3338">
        <v>6.5799999237060547</v>
      </c>
      <c r="J3338">
        <v>441</v>
      </c>
    </row>
    <row r="3339" spans="1:10" x14ac:dyDescent="0.25">
      <c r="A3339">
        <v>74510</v>
      </c>
      <c r="B3339" t="str">
        <v>DC Infotech</v>
      </c>
      <c r="C3339">
        <v>61.680802999999997</v>
      </c>
      <c r="D3339">
        <v>228.60588073730469</v>
      </c>
      <c r="E3339">
        <v>89.765777587890625</v>
      </c>
      <c r="F3339">
        <v>0.39266601204872131</v>
      </c>
      <c r="G3339">
        <v>278.77499389648438</v>
      </c>
      <c r="H3339">
        <v>0.79000002145767212</v>
      </c>
      <c r="I3339">
        <v>396.19000244140625</v>
      </c>
      <c r="J3339">
        <v>649</v>
      </c>
    </row>
    <row r="3340" spans="1:10" x14ac:dyDescent="0.25">
      <c r="A3340">
        <v>20882</v>
      </c>
      <c r="B3340" t="str">
        <v>Groarc Industrie</v>
      </c>
      <c r="C3340">
        <v>12.721434</v>
      </c>
      <c r="D3340">
        <v>10.046568870544434</v>
      </c>
      <c r="E3340">
        <v>2.5422639846801758</v>
      </c>
      <c r="F3340">
        <v>0.25304800271987915</v>
      </c>
      <c r="G3340">
        <v>7.1449999809265137</v>
      </c>
      <c r="H3340">
        <v>0</v>
      </c>
      <c r="I3340">
        <v>14.630000114440918</v>
      </c>
      <c r="J3340">
        <v>663</v>
      </c>
    </row>
    <row r="3341" spans="1:10" x14ac:dyDescent="0.25">
      <c r="A3341">
        <v>72120</v>
      </c>
      <c r="B3341" t="str">
        <v>Narmada Agrobase</v>
      </c>
      <c r="C3341">
        <v>-6.4576029999999998</v>
      </c>
      <c r="D3341">
        <v>16.948032379150391</v>
      </c>
      <c r="E3341">
        <v>1.9572420120239258</v>
      </c>
      <c r="F3341">
        <v>0.11548499763011932</v>
      </c>
      <c r="G3341">
        <v>16.334999084472656</v>
      </c>
      <c r="H3341">
        <v>0.60000002384185791</v>
      </c>
      <c r="I3341">
        <v>62.409999847412109</v>
      </c>
      <c r="J3341">
        <v>652</v>
      </c>
    </row>
    <row r="3342" spans="1:10" x14ac:dyDescent="0.25">
      <c r="A3342">
        <v>76066</v>
      </c>
      <c r="B3342" t="str">
        <v>Piramal Pharma</v>
      </c>
      <c r="C3342">
        <v>7.5417999999999999E-2</v>
      </c>
      <c r="D3342">
        <v>152.0411376953125</v>
      </c>
      <c r="E3342">
        <v>57.610363006591797</v>
      </c>
      <c r="F3342">
        <v>0.37891298532485962</v>
      </c>
      <c r="G3342">
        <v>192.5625</v>
      </c>
      <c r="H3342">
        <v>0.23999999463558197</v>
      </c>
      <c r="I3342">
        <v>25521.560546875</v>
      </c>
      <c r="J3342">
        <v>662</v>
      </c>
    </row>
    <row r="3343" spans="1:10" x14ac:dyDescent="0.25">
      <c r="A3343">
        <v>71649</v>
      </c>
      <c r="B3343" t="str">
        <v>SecUR Credential</v>
      </c>
      <c r="C3343">
        <v>-86.646681000000001</v>
      </c>
      <c r="D3343">
        <v>17.838434219360352</v>
      </c>
      <c r="E3343">
        <v>7.9880399703979492</v>
      </c>
      <c r="F3343">
        <v>0.44779899716377258</v>
      </c>
      <c r="G3343">
        <v>1.6649999618530273</v>
      </c>
      <c r="H3343">
        <v>0.54000002145767212</v>
      </c>
      <c r="I3343">
        <v>6.690000057220459</v>
      </c>
      <c r="J3343">
        <v>547</v>
      </c>
    </row>
    <row r="3344" spans="1:10" x14ac:dyDescent="0.25">
      <c r="A3344">
        <v>75835</v>
      </c>
      <c r="B3344" t="str">
        <v>Tracxn Technolo.</v>
      </c>
      <c r="C3344">
        <v>-16.335415000000001</v>
      </c>
      <c r="D3344">
        <v>81.155990600585938</v>
      </c>
      <c r="E3344">
        <v>14.812405586242676</v>
      </c>
      <c r="F3344">
        <v>0.18251800537109375</v>
      </c>
      <c r="G3344">
        <v>57.502498626708984</v>
      </c>
      <c r="H3344">
        <v>0</v>
      </c>
      <c r="I3344">
        <v>606.15997314453125</v>
      </c>
      <c r="J3344">
        <v>661</v>
      </c>
    </row>
    <row r="3345" spans="1:10" x14ac:dyDescent="0.25">
      <c r="A3345">
        <v>75117</v>
      </c>
      <c r="B3345" t="str">
        <v>AAA Technologies</v>
      </c>
      <c r="C3345">
        <v>2.2987820000000001</v>
      </c>
      <c r="D3345">
        <v>85.598686218261719</v>
      </c>
      <c r="E3345">
        <v>25.536571502685547</v>
      </c>
      <c r="F3345">
        <v>0.29832899570465088</v>
      </c>
      <c r="G3345">
        <v>83.512496948242188</v>
      </c>
      <c r="H3345">
        <v>0</v>
      </c>
      <c r="I3345">
        <v>106.52999877929688</v>
      </c>
      <c r="J3345">
        <v>636</v>
      </c>
    </row>
    <row r="3346" spans="1:10" x14ac:dyDescent="0.25">
      <c r="A3346">
        <v>68317</v>
      </c>
      <c r="B3346" t="str">
        <v>Archean Chemical</v>
      </c>
      <c r="C3346">
        <v>11.784050000000001</v>
      </c>
      <c r="D3346">
        <v>616.40771484375</v>
      </c>
      <c r="E3346">
        <v>70.240425109863281</v>
      </c>
      <c r="F3346">
        <v>0.11395099759101868</v>
      </c>
      <c r="G3346">
        <v>615.04998779296875</v>
      </c>
      <c r="H3346">
        <v>3.9999999105930328E-2</v>
      </c>
      <c r="I3346">
        <v>7516.1298828125</v>
      </c>
      <c r="J3346">
        <v>641</v>
      </c>
    </row>
    <row r="3347" spans="1:10" x14ac:dyDescent="0.25">
      <c r="A3347">
        <v>4049</v>
      </c>
      <c r="B3347" t="str">
        <v>Bandaram Pharma</v>
      </c>
      <c r="C3347">
        <v>70.221708000000007</v>
      </c>
      <c r="D3347">
        <v>38.050941467285156</v>
      </c>
      <c r="E3347">
        <v>9.8698816299438477</v>
      </c>
      <c r="F3347">
        <v>0.25938600301742554</v>
      </c>
      <c r="G3347">
        <v>41.402500152587891</v>
      </c>
      <c r="H3347">
        <v>0.28999999165534973</v>
      </c>
      <c r="I3347">
        <v>47.930000305175781</v>
      </c>
      <c r="J3347">
        <v>381</v>
      </c>
    </row>
    <row r="3348" spans="1:10" x14ac:dyDescent="0.25">
      <c r="A3348">
        <v>25811</v>
      </c>
      <c r="B3348" t="str">
        <v>Bikaji Foods</v>
      </c>
      <c r="C3348">
        <v>31.691241999999999</v>
      </c>
      <c r="D3348">
        <v>580.71807861328125</v>
      </c>
      <c r="E3348">
        <v>164.82380676269531</v>
      </c>
      <c r="F3348">
        <v>0.28382799029350281</v>
      </c>
      <c r="G3348">
        <v>710.1875</v>
      </c>
      <c r="H3348">
        <v>0.12999999523162842</v>
      </c>
      <c r="I3348">
        <v>17773.2890625</v>
      </c>
      <c r="J3348">
        <v>644</v>
      </c>
    </row>
    <row r="3349" spans="1:10" x14ac:dyDescent="0.25">
      <c r="A3349">
        <v>76686</v>
      </c>
      <c r="B3349" t="str">
        <v>DCX Systems</v>
      </c>
      <c r="C3349">
        <v>-0.20159099999999999</v>
      </c>
      <c r="D3349">
        <v>290.69033813476563</v>
      </c>
      <c r="E3349">
        <v>63.153682708740234</v>
      </c>
      <c r="F3349">
        <v>0.21725399792194366</v>
      </c>
      <c r="G3349">
        <v>298.6875</v>
      </c>
      <c r="H3349">
        <v>0.46000000834465027</v>
      </c>
      <c r="I3349">
        <v>3301.489990234375</v>
      </c>
      <c r="J3349">
        <v>647</v>
      </c>
    </row>
    <row r="3350" spans="1:10" x14ac:dyDescent="0.25">
      <c r="A3350">
        <v>34649</v>
      </c>
      <c r="B3350" t="str">
        <v>Global Health</v>
      </c>
      <c r="C3350">
        <v>42.866399000000001</v>
      </c>
      <c r="D3350">
        <v>943.05889892578125</v>
      </c>
      <c r="E3350">
        <v>310.11630249023438</v>
      </c>
      <c r="F3350">
        <v>0.32884100079536438</v>
      </c>
      <c r="G3350">
        <v>1171.9375</v>
      </c>
      <c r="H3350">
        <v>0.10000000149011612</v>
      </c>
      <c r="I3350">
        <v>31236.7109375</v>
      </c>
      <c r="J3350">
        <v>644</v>
      </c>
    </row>
    <row r="3351" spans="1:10" x14ac:dyDescent="0.25">
      <c r="A3351">
        <v>74529</v>
      </c>
      <c r="B3351" t="str">
        <v>Hindprakash Indu</v>
      </c>
      <c r="C3351">
        <v>7.7862470000000004</v>
      </c>
      <c r="D3351">
        <v>127.47926330566406</v>
      </c>
      <c r="E3351">
        <v>25.634336471557617</v>
      </c>
      <c r="F3351">
        <v>0.20108599960803986</v>
      </c>
      <c r="G3351">
        <v>136.53750610351563</v>
      </c>
      <c r="H3351">
        <v>0.4699999988079071</v>
      </c>
      <c r="I3351">
        <v>150.91000366210938</v>
      </c>
      <c r="J3351">
        <v>604</v>
      </c>
    </row>
    <row r="3352" spans="1:10" x14ac:dyDescent="0.25">
      <c r="A3352">
        <v>65878</v>
      </c>
      <c r="B3352" t="str">
        <v>InfoBeans Tech.</v>
      </c>
      <c r="C3352">
        <v>-13.229436</v>
      </c>
      <c r="D3352">
        <v>434.984375</v>
      </c>
      <c r="E3352">
        <v>58.369808197021484</v>
      </c>
      <c r="F3352">
        <v>0.13418799638748169</v>
      </c>
      <c r="G3352">
        <v>376.58749389648438</v>
      </c>
      <c r="H3352">
        <v>2.9999999329447746E-2</v>
      </c>
      <c r="I3352">
        <v>907.780029296875</v>
      </c>
      <c r="J3352">
        <v>648</v>
      </c>
    </row>
    <row r="3353" spans="1:10" x14ac:dyDescent="0.25">
      <c r="A3353">
        <v>66400</v>
      </c>
      <c r="B3353" t="str">
        <v>Inox Green</v>
      </c>
      <c r="C3353">
        <v>38.317028999999998</v>
      </c>
      <c r="D3353">
        <v>112.87772369384766</v>
      </c>
      <c r="E3353">
        <v>52.258159637451172</v>
      </c>
      <c r="F3353">
        <v>0.46296301484107971</v>
      </c>
      <c r="G3353">
        <v>155.27499389648438</v>
      </c>
      <c r="H3353">
        <v>0.18999999761581421</v>
      </c>
      <c r="I3353">
        <v>5552.9599609375</v>
      </c>
      <c r="J3353">
        <v>639</v>
      </c>
    </row>
    <row r="3354" spans="1:10" x14ac:dyDescent="0.25">
      <c r="A3354">
        <v>76723</v>
      </c>
      <c r="B3354" t="str">
        <v>Kaynes Tech</v>
      </c>
      <c r="C3354">
        <v>87.859682000000006</v>
      </c>
      <c r="D3354">
        <v>3236.032958984375</v>
      </c>
      <c r="E3354">
        <v>1869.0194091796875</v>
      </c>
      <c r="F3354">
        <v>0.57756501436233521</v>
      </c>
      <c r="G3354">
        <v>5671.0126953125</v>
      </c>
      <c r="H3354">
        <v>0.12999999523162842</v>
      </c>
      <c r="I3354">
        <v>35930.7890625</v>
      </c>
      <c r="J3354">
        <v>640</v>
      </c>
    </row>
    <row r="3355" spans="1:10" x14ac:dyDescent="0.25">
      <c r="A3355">
        <v>42751</v>
      </c>
      <c r="B3355" t="str">
        <v>Keystone Realtor</v>
      </c>
      <c r="C3355">
        <v>-1.5405340000000001</v>
      </c>
      <c r="D3355">
        <v>600.04095458984375</v>
      </c>
      <c r="E3355">
        <v>88.035026550292969</v>
      </c>
      <c r="F3355">
        <v>0.14671500027179718</v>
      </c>
      <c r="G3355">
        <v>537.25</v>
      </c>
      <c r="H3355">
        <v>0.37999999523162842</v>
      </c>
      <c r="I3355">
        <v>6683.35986328125</v>
      </c>
      <c r="J3355">
        <v>638</v>
      </c>
    </row>
    <row r="3356" spans="1:10" x14ac:dyDescent="0.25">
      <c r="A3356">
        <v>7044</v>
      </c>
      <c r="B3356" t="str">
        <v>S.V. Trad &amp; Agen</v>
      </c>
      <c r="C3356">
        <v>1.867048</v>
      </c>
      <c r="D3356">
        <v>7.5300002098083496</v>
      </c>
      <c r="E3356">
        <v>0.25455901026725769</v>
      </c>
      <c r="F3356">
        <v>3.3805999904870987E-2</v>
      </c>
      <c r="G3356">
        <v>7.7100000381469727</v>
      </c>
      <c r="H3356">
        <v>0</v>
      </c>
      <c r="I3356">
        <v>13.180000305175781</v>
      </c>
      <c r="J3356">
        <v>2</v>
      </c>
    </row>
    <row r="3357" spans="1:10" x14ac:dyDescent="0.25">
      <c r="A3357">
        <v>6667</v>
      </c>
      <c r="B3357" t="str">
        <v>Softrak Venture</v>
      </c>
      <c r="C3357">
        <v>187.73479900000001</v>
      </c>
      <c r="D3357">
        <v>1.5204540491104126</v>
      </c>
      <c r="E3357">
        <v>1.1504579782485962</v>
      </c>
      <c r="F3357">
        <v>0.75665402412414551</v>
      </c>
      <c r="G3357">
        <v>2.1700000762939453</v>
      </c>
      <c r="H3357">
        <v>9.9999997764825821E-3</v>
      </c>
      <c r="I3357">
        <v>97.819999694824219</v>
      </c>
      <c r="J3357">
        <v>633</v>
      </c>
    </row>
    <row r="3358" spans="1:10" x14ac:dyDescent="0.25">
      <c r="A3358">
        <v>73227</v>
      </c>
      <c r="B3358" t="str">
        <v>Vinny Overseas</v>
      </c>
      <c r="C3358">
        <v>-21.114135999999998</v>
      </c>
      <c r="D3358">
        <v>3.2388839721679688</v>
      </c>
      <c r="E3358">
        <v>1.8103300333023071</v>
      </c>
      <c r="F3358">
        <v>0.55893599987030029</v>
      </c>
      <c r="G3358">
        <v>1.4500000476837158</v>
      </c>
      <c r="H3358">
        <v>0.56000000238418579</v>
      </c>
      <c r="I3358">
        <v>68.389999389648438</v>
      </c>
      <c r="J3358">
        <v>636</v>
      </c>
    </row>
    <row r="3359" spans="1:10" x14ac:dyDescent="0.25">
      <c r="A3359">
        <v>76008</v>
      </c>
      <c r="B3359" t="str">
        <v>Abans Financial</v>
      </c>
      <c r="C3359">
        <v>-2.0368870000000001</v>
      </c>
      <c r="D3359">
        <v>313.420654296875</v>
      </c>
      <c r="E3359">
        <v>101.90676116943359</v>
      </c>
      <c r="F3359">
        <v>0.32514399290084839</v>
      </c>
      <c r="G3359">
        <v>231.42500305175781</v>
      </c>
      <c r="H3359">
        <v>0</v>
      </c>
      <c r="I3359">
        <v>1162.239990234375</v>
      </c>
      <c r="J3359">
        <v>616</v>
      </c>
    </row>
    <row r="3360" spans="1:10" x14ac:dyDescent="0.25">
      <c r="A3360">
        <v>13339</v>
      </c>
      <c r="B3360" t="str">
        <v>Banganga Paper</v>
      </c>
      <c r="C3360">
        <v>98.069742000000005</v>
      </c>
      <c r="D3360">
        <v>60.439922332763672</v>
      </c>
      <c r="E3360">
        <v>26.964733123779297</v>
      </c>
      <c r="F3360">
        <v>0.44614100456237793</v>
      </c>
      <c r="G3360">
        <v>71.242500305175781</v>
      </c>
      <c r="H3360">
        <v>0</v>
      </c>
      <c r="I3360">
        <v>866.42999267578125</v>
      </c>
      <c r="J3360">
        <v>213</v>
      </c>
    </row>
    <row r="3361" spans="1:10" x14ac:dyDescent="0.25">
      <c r="A3361">
        <v>2360</v>
      </c>
      <c r="B3361" t="str">
        <v>Bombay Talkies</v>
      </c>
      <c r="C3361">
        <v>44.969140000000003</v>
      </c>
      <c r="D3361">
        <v>5.1236882209777832</v>
      </c>
      <c r="E3361">
        <v>1.2379089593887329</v>
      </c>
      <c r="F3361">
        <v>0.2416049987077713</v>
      </c>
      <c r="G3361">
        <v>7.25</v>
      </c>
      <c r="H3361">
        <v>0</v>
      </c>
      <c r="I3361">
        <v>39.150001525878906</v>
      </c>
      <c r="J3361">
        <v>337</v>
      </c>
    </row>
    <row r="3362" spans="1:10" x14ac:dyDescent="0.25">
      <c r="A3362">
        <v>76442</v>
      </c>
      <c r="B3362" t="str">
        <v>Dharmaj Crop</v>
      </c>
      <c r="C3362">
        <v>3.1225589999999999</v>
      </c>
      <c r="D3362">
        <v>237.17314147949219</v>
      </c>
      <c r="E3362">
        <v>54.052719116210938</v>
      </c>
      <c r="F3362">
        <v>0.22790400683879852</v>
      </c>
      <c r="G3362">
        <v>290.89999389648438</v>
      </c>
      <c r="H3362">
        <v>0.23999999463558197</v>
      </c>
      <c r="I3362">
        <v>975.72998046875</v>
      </c>
      <c r="J3362">
        <v>628</v>
      </c>
    </row>
    <row r="3363" spans="1:10" x14ac:dyDescent="0.25">
      <c r="A3363">
        <v>1414</v>
      </c>
      <c r="B3363" t="str">
        <v>Frontier Capital</v>
      </c>
      <c r="C3363">
        <v>72.616834999999995</v>
      </c>
      <c r="D3363">
        <v>15.822827339172363</v>
      </c>
      <c r="E3363">
        <v>9.045252799987793</v>
      </c>
      <c r="F3363">
        <v>0.57165801525115967</v>
      </c>
      <c r="G3363">
        <v>20.927499771118164</v>
      </c>
      <c r="H3363">
        <v>2.9999999329447746E-2</v>
      </c>
      <c r="I3363">
        <v>34.209999084472656</v>
      </c>
      <c r="J3363">
        <v>551</v>
      </c>
    </row>
    <row r="3364" spans="1:10" x14ac:dyDescent="0.25">
      <c r="A3364">
        <v>4389</v>
      </c>
      <c r="B3364" t="str">
        <v>Hybrid Financial</v>
      </c>
      <c r="C3364">
        <v>13.099527</v>
      </c>
      <c r="D3364">
        <v>11.370182037353516</v>
      </c>
      <c r="E3364">
        <v>3.099484920501709</v>
      </c>
      <c r="F3364">
        <v>0.27259799838066101</v>
      </c>
      <c r="G3364">
        <v>17.479999542236328</v>
      </c>
      <c r="H3364">
        <v>0</v>
      </c>
      <c r="I3364">
        <v>51.450000762939453</v>
      </c>
      <c r="J3364">
        <v>620</v>
      </c>
    </row>
    <row r="3365" spans="1:10" x14ac:dyDescent="0.25">
      <c r="A3365">
        <v>65133</v>
      </c>
      <c r="B3365" t="str">
        <v>Landmark Cars</v>
      </c>
      <c r="C3365">
        <v>4.0182479999999998</v>
      </c>
      <c r="D3365">
        <v>644.92120361328125</v>
      </c>
      <c r="E3365">
        <v>118.48865509033203</v>
      </c>
      <c r="F3365">
        <v>0.1837259978055954</v>
      </c>
      <c r="G3365">
        <v>513.3125</v>
      </c>
      <c r="H3365">
        <v>0.15999999642372131</v>
      </c>
      <c r="I3365">
        <v>2119.02001953125</v>
      </c>
      <c r="J3365">
        <v>617</v>
      </c>
    </row>
    <row r="3366" spans="1:10" x14ac:dyDescent="0.25">
      <c r="A3366">
        <v>19992</v>
      </c>
      <c r="B3366" t="str">
        <v>Megh Mayur Infra</v>
      </c>
      <c r="C3366">
        <v>0</v>
      </c>
      <c r="D3366">
        <v>0.12999999523162842</v>
      </c>
      <c r="E3366">
        <v>0</v>
      </c>
      <c r="F3366">
        <v>0</v>
      </c>
      <c r="G3366">
        <v>0.12999999523162842</v>
      </c>
      <c r="H3366">
        <v>0.18999999761581421</v>
      </c>
      <c r="I3366">
        <v>7.9999998211860657E-2</v>
      </c>
      <c r="J3366">
        <v>1</v>
      </c>
    </row>
    <row r="3367" spans="1:10" x14ac:dyDescent="0.25">
      <c r="A3367">
        <v>4664</v>
      </c>
      <c r="B3367" t="str">
        <v>Paras Petrofils</v>
      </c>
      <c r="C3367">
        <v>16.439340000000001</v>
      </c>
      <c r="D3367">
        <v>2.3750729560852051</v>
      </c>
      <c r="E3367">
        <v>1.0567049980163574</v>
      </c>
      <c r="F3367">
        <v>0.44491499662399292</v>
      </c>
      <c r="G3367">
        <v>2.622499942779541</v>
      </c>
      <c r="H3367">
        <v>0</v>
      </c>
      <c r="I3367">
        <v>87.230003356933594</v>
      </c>
      <c r="J3367">
        <v>617</v>
      </c>
    </row>
    <row r="3368" spans="1:10" x14ac:dyDescent="0.25">
      <c r="A3368">
        <v>71829</v>
      </c>
      <c r="B3368" t="str">
        <v>Sarveshwar Foods</v>
      </c>
      <c r="C3368">
        <v>38.464283000000002</v>
      </c>
      <c r="D3368">
        <v>6.5509557723999023</v>
      </c>
      <c r="E3368">
        <v>2.9749279022216797</v>
      </c>
      <c r="F3368">
        <v>0.45412099361419678</v>
      </c>
      <c r="G3368">
        <v>7.070000171661377</v>
      </c>
      <c r="H3368">
        <v>0.76999998092651367</v>
      </c>
      <c r="I3368">
        <v>685.16998291015625</v>
      </c>
      <c r="J3368">
        <v>628</v>
      </c>
    </row>
    <row r="3369" spans="1:10" x14ac:dyDescent="0.25">
      <c r="A3369">
        <v>72355</v>
      </c>
      <c r="B3369" t="str">
        <v>Sirca Paints</v>
      </c>
      <c r="C3369">
        <v>2.4594279999999999</v>
      </c>
      <c r="D3369">
        <v>338.32476806640625</v>
      </c>
      <c r="E3369">
        <v>39.144252777099609</v>
      </c>
      <c r="F3369">
        <v>0.11569999903440475</v>
      </c>
      <c r="G3369">
        <v>378.875</v>
      </c>
      <c r="H3369">
        <v>0</v>
      </c>
      <c r="I3369">
        <v>2057.800048828125</v>
      </c>
      <c r="J3369">
        <v>626</v>
      </c>
    </row>
    <row r="3370" spans="1:10" x14ac:dyDescent="0.25">
      <c r="A3370">
        <v>3680</v>
      </c>
      <c r="B3370" t="str">
        <v>Sterling Powerg.</v>
      </c>
      <c r="C3370">
        <v>28.980146999999999</v>
      </c>
      <c r="D3370">
        <v>33.742404937744141</v>
      </c>
      <c r="E3370">
        <v>21.927223205566406</v>
      </c>
      <c r="F3370">
        <v>0.6498420238494873</v>
      </c>
      <c r="G3370">
        <v>37.462501525878906</v>
      </c>
      <c r="H3370">
        <v>0</v>
      </c>
      <c r="I3370">
        <v>19.809999465942383</v>
      </c>
      <c r="J3370">
        <v>618</v>
      </c>
    </row>
    <row r="3371" spans="1:10" x14ac:dyDescent="0.25">
      <c r="A3371">
        <v>72935</v>
      </c>
      <c r="B3371" t="str">
        <v>Sula Vineyards</v>
      </c>
      <c r="C3371">
        <v>-5.819674</v>
      </c>
      <c r="D3371">
        <v>438.94879150390625</v>
      </c>
      <c r="E3371">
        <v>91.142662048339844</v>
      </c>
      <c r="F3371">
        <v>0.20763799548149109</v>
      </c>
      <c r="G3371">
        <v>298.28750610351563</v>
      </c>
      <c r="H3371">
        <v>0.49000000953674316</v>
      </c>
      <c r="I3371">
        <v>2498.1298828125</v>
      </c>
      <c r="J3371">
        <v>618</v>
      </c>
    </row>
    <row r="3372" spans="1:10" x14ac:dyDescent="0.25">
      <c r="A3372">
        <v>45939</v>
      </c>
      <c r="B3372" t="str">
        <v>Uniparts India</v>
      </c>
      <c r="C3372">
        <v>-15.537782</v>
      </c>
      <c r="D3372">
        <v>503.62704467773438</v>
      </c>
      <c r="E3372">
        <v>91.002456665039063</v>
      </c>
      <c r="F3372">
        <v>0.18069399893283844</v>
      </c>
      <c r="G3372">
        <v>373.36248779296875</v>
      </c>
      <c r="H3372">
        <v>7.0000000298023224E-2</v>
      </c>
      <c r="I3372">
        <v>1682.81005859375</v>
      </c>
      <c r="J3372">
        <v>626</v>
      </c>
    </row>
    <row r="3373" spans="1:10" x14ac:dyDescent="0.25">
      <c r="A3373">
        <v>75322</v>
      </c>
      <c r="B3373" t="str">
        <v>Aveer Foods</v>
      </c>
      <c r="C3373">
        <v>53.265335</v>
      </c>
      <c r="D3373">
        <v>523.075927734375</v>
      </c>
      <c r="E3373">
        <v>115.6226806640625</v>
      </c>
      <c r="F3373">
        <v>0.22104400396347046</v>
      </c>
      <c r="G3373">
        <v>778.625</v>
      </c>
      <c r="H3373">
        <v>0.38999998569488525</v>
      </c>
      <c r="I3373">
        <v>305.16000366210938</v>
      </c>
      <c r="J3373">
        <v>590</v>
      </c>
    </row>
    <row r="3374" spans="1:10" x14ac:dyDescent="0.25">
      <c r="A3374">
        <v>14861</v>
      </c>
      <c r="B3374" t="str">
        <v>Bisil Plast</v>
      </c>
      <c r="C3374">
        <v>110.314339</v>
      </c>
      <c r="D3374">
        <v>0.96328800916671753</v>
      </c>
      <c r="E3374">
        <v>0.24617600440979004</v>
      </c>
      <c r="F3374">
        <v>0.25555801391601563</v>
      </c>
      <c r="G3374">
        <v>1.5349999666213989</v>
      </c>
      <c r="H3374">
        <v>0</v>
      </c>
      <c r="I3374">
        <v>83.75</v>
      </c>
      <c r="J3374">
        <v>536</v>
      </c>
    </row>
    <row r="3375" spans="1:10" x14ac:dyDescent="0.25">
      <c r="A3375">
        <v>2552</v>
      </c>
      <c r="B3375" t="str">
        <v>EL Forge</v>
      </c>
      <c r="C3375">
        <v>50.159081999999998</v>
      </c>
      <c r="D3375">
        <v>17.777168273925781</v>
      </c>
      <c r="E3375">
        <v>8.2200708389282227</v>
      </c>
      <c r="F3375">
        <v>0.46239501237869263</v>
      </c>
      <c r="G3375">
        <v>21.194999694824219</v>
      </c>
      <c r="H3375">
        <v>0</v>
      </c>
      <c r="I3375">
        <v>42.189998626708984</v>
      </c>
      <c r="J3375">
        <v>611</v>
      </c>
    </row>
    <row r="3376" spans="1:10" x14ac:dyDescent="0.25">
      <c r="A3376">
        <v>27925</v>
      </c>
      <c r="B3376" t="str">
        <v>Elin Electronics</v>
      </c>
      <c r="C3376">
        <v>-12.659973000000001</v>
      </c>
      <c r="D3376">
        <v>171.40570068359375</v>
      </c>
      <c r="E3376">
        <v>33.514778137207031</v>
      </c>
      <c r="F3376">
        <v>0.19552899897098541</v>
      </c>
      <c r="G3376">
        <v>171.14999389648438</v>
      </c>
      <c r="H3376">
        <v>7.9999998211860657E-2</v>
      </c>
      <c r="I3376">
        <v>848.17999267578125</v>
      </c>
      <c r="J3376">
        <v>612</v>
      </c>
    </row>
    <row r="3377" spans="1:10" x14ac:dyDescent="0.25">
      <c r="A3377">
        <v>75906</v>
      </c>
      <c r="B3377" t="str">
        <v>Indiabulls Enter</v>
      </c>
      <c r="C3377">
        <v>20.031580999999999</v>
      </c>
      <c r="D3377">
        <v>13.397885322570801</v>
      </c>
      <c r="E3377">
        <v>3.909264087677002</v>
      </c>
      <c r="F3377">
        <v>0.29178199172019958</v>
      </c>
      <c r="G3377">
        <v>24.245000839233398</v>
      </c>
      <c r="H3377">
        <v>0.20999999344348907</v>
      </c>
      <c r="I3377">
        <v>474.22000122070313</v>
      </c>
      <c r="J3377">
        <v>603</v>
      </c>
    </row>
    <row r="3378" spans="1:10" x14ac:dyDescent="0.25">
      <c r="A3378">
        <v>73556</v>
      </c>
      <c r="B3378" t="str">
        <v>KFin Technolog.</v>
      </c>
      <c r="C3378">
        <v>51.626976999999997</v>
      </c>
      <c r="D3378">
        <v>706.41754150390625</v>
      </c>
      <c r="E3378">
        <v>330.50271606445313</v>
      </c>
      <c r="F3378">
        <v>0.4678570032119751</v>
      </c>
      <c r="G3378">
        <v>1212.0999755859375</v>
      </c>
      <c r="H3378">
        <v>0.10000000149011612</v>
      </c>
      <c r="I3378">
        <v>20548.3203125</v>
      </c>
      <c r="J3378">
        <v>613</v>
      </c>
    </row>
    <row r="3379" spans="1:10" x14ac:dyDescent="0.25">
      <c r="A3379">
        <v>7287</v>
      </c>
      <c r="B3379" t="str">
        <v>Newtime Infra.</v>
      </c>
      <c r="C3379">
        <v>-53.193461999999997</v>
      </c>
      <c r="D3379">
        <v>8.5548763275146484</v>
      </c>
      <c r="E3379">
        <v>4.9473738670349121</v>
      </c>
      <c r="F3379">
        <v>0.57831001281738281</v>
      </c>
      <c r="G3379">
        <v>2.7899999618530273</v>
      </c>
      <c r="H3379">
        <v>0</v>
      </c>
      <c r="I3379">
        <v>145.89999389648438</v>
      </c>
      <c r="J3379">
        <v>607</v>
      </c>
    </row>
    <row r="3380" spans="1:10" x14ac:dyDescent="0.25">
      <c r="A3380">
        <v>4259</v>
      </c>
      <c r="B3380" t="str">
        <v>Norben Tea</v>
      </c>
      <c r="C3380">
        <v>60.440071000000003</v>
      </c>
      <c r="D3380">
        <v>16.986928939819336</v>
      </c>
      <c r="E3380">
        <v>10.748230934143066</v>
      </c>
      <c r="F3380">
        <v>0.63273501396179199</v>
      </c>
      <c r="G3380">
        <v>34.742500305175781</v>
      </c>
      <c r="H3380">
        <v>0.67000001668930054</v>
      </c>
      <c r="I3380">
        <v>43.590000152587891</v>
      </c>
      <c r="J3380">
        <v>572</v>
      </c>
    </row>
    <row r="3381" spans="1:10" x14ac:dyDescent="0.25">
      <c r="A3381">
        <v>13377</v>
      </c>
      <c r="B3381" t="str">
        <v>Padmanabh Alloys</v>
      </c>
      <c r="C3381">
        <v>-30.362608999999999</v>
      </c>
      <c r="D3381">
        <v>27.024908065795898</v>
      </c>
      <c r="E3381">
        <v>9.476201057434082</v>
      </c>
      <c r="F3381">
        <v>0.35064700245857239</v>
      </c>
      <c r="G3381">
        <v>20.192499160766602</v>
      </c>
      <c r="H3381">
        <v>0.40999999642372131</v>
      </c>
      <c r="I3381">
        <v>10.829999923706055</v>
      </c>
      <c r="J3381">
        <v>547</v>
      </c>
    </row>
    <row r="3382" spans="1:10" x14ac:dyDescent="0.25">
      <c r="A3382">
        <v>76044</v>
      </c>
      <c r="B3382" t="str">
        <v>Radiant Cash</v>
      </c>
      <c r="C3382">
        <v>-20.572568</v>
      </c>
      <c r="D3382">
        <v>84.508277893066406</v>
      </c>
      <c r="E3382">
        <v>11.90567684173584</v>
      </c>
      <c r="F3382">
        <v>0.14088200032711029</v>
      </c>
      <c r="G3382">
        <v>62.255001068115234</v>
      </c>
      <c r="H3382">
        <v>0.12999999523162842</v>
      </c>
      <c r="I3382">
        <v>662.02001953125</v>
      </c>
      <c r="J3382">
        <v>609</v>
      </c>
    </row>
    <row r="3383" spans="1:10" x14ac:dyDescent="0.25">
      <c r="A3383">
        <v>27883</v>
      </c>
      <c r="B3383" t="str">
        <v>Sah Polymers</v>
      </c>
      <c r="C3383">
        <v>8.5165930000000003</v>
      </c>
      <c r="D3383">
        <v>93.944808959960938</v>
      </c>
      <c r="E3383">
        <v>13.747415542602539</v>
      </c>
      <c r="F3383">
        <v>0.14633500576019287</v>
      </c>
      <c r="G3383">
        <v>107</v>
      </c>
      <c r="H3383">
        <v>0.31000000238418579</v>
      </c>
      <c r="I3383">
        <v>278.60000610351563</v>
      </c>
      <c r="J3383">
        <v>588</v>
      </c>
    </row>
    <row r="3384" spans="1:10" x14ac:dyDescent="0.25">
      <c r="A3384">
        <v>75909</v>
      </c>
      <c r="B3384" t="str">
        <v>Aarti Pharma</v>
      </c>
      <c r="C3384">
        <v>34.784925999999999</v>
      </c>
      <c r="D3384">
        <v>533.739990234375</v>
      </c>
      <c r="E3384">
        <v>154.81471252441406</v>
      </c>
      <c r="F3384">
        <v>0.29005599021911621</v>
      </c>
      <c r="G3384">
        <v>858.75</v>
      </c>
      <c r="H3384">
        <v>0.15999999642372131</v>
      </c>
      <c r="I3384">
        <v>7621.009765625</v>
      </c>
      <c r="J3384">
        <v>592</v>
      </c>
    </row>
    <row r="3385" spans="1:10" x14ac:dyDescent="0.25">
      <c r="A3385">
        <v>75454</v>
      </c>
      <c r="B3385" t="str">
        <v>Kamdhenu Venture</v>
      </c>
      <c r="C3385">
        <v>-18.457875000000001</v>
      </c>
      <c r="D3385">
        <v>27.603151321411133</v>
      </c>
      <c r="E3385">
        <v>11.180471420288086</v>
      </c>
      <c r="F3385">
        <v>0.40504300594329834</v>
      </c>
      <c r="G3385">
        <v>11.060000419616699</v>
      </c>
      <c r="H3385">
        <v>1.9999999552965164E-2</v>
      </c>
      <c r="I3385">
        <v>341.07998657226563</v>
      </c>
      <c r="J3385">
        <v>595</v>
      </c>
    </row>
    <row r="3386" spans="1:10" x14ac:dyDescent="0.25">
      <c r="A3386">
        <v>4402</v>
      </c>
      <c r="B3386" t="str">
        <v>Tulsyan NEC</v>
      </c>
      <c r="C3386">
        <v>31.916259</v>
      </c>
      <c r="D3386">
        <v>75.250518798828125</v>
      </c>
      <c r="E3386">
        <v>21.554897308349609</v>
      </c>
      <c r="F3386">
        <v>0.28644201159477234</v>
      </c>
      <c r="G3386">
        <v>40.287498474121094</v>
      </c>
      <c r="H3386">
        <v>0.81000000238418579</v>
      </c>
      <c r="I3386">
        <v>66.150001525878906</v>
      </c>
      <c r="J3386">
        <v>572</v>
      </c>
    </row>
    <row r="3387" spans="1:10" x14ac:dyDescent="0.25">
      <c r="A3387">
        <v>5984</v>
      </c>
      <c r="B3387" t="str">
        <v>Associated Cera.</v>
      </c>
      <c r="C3387">
        <v>142.57032100000001</v>
      </c>
      <c r="D3387">
        <v>362.91842651367188</v>
      </c>
      <c r="E3387">
        <v>287.75994873046875</v>
      </c>
      <c r="F3387">
        <v>0.79290497303009033</v>
      </c>
      <c r="G3387">
        <v>231</v>
      </c>
      <c r="H3387">
        <v>0.44999998807907104</v>
      </c>
      <c r="I3387">
        <v>68.510002136230469</v>
      </c>
      <c r="J3387">
        <v>479</v>
      </c>
    </row>
    <row r="3388" spans="1:10" x14ac:dyDescent="0.25">
      <c r="A3388">
        <v>75127</v>
      </c>
      <c r="B3388" t="str">
        <v>Bodhi Tree</v>
      </c>
      <c r="C3388">
        <v>-22.275341999999998</v>
      </c>
      <c r="D3388">
        <v>13.788473129272461</v>
      </c>
      <c r="E3388">
        <v>3.3635358810424805</v>
      </c>
      <c r="F3388">
        <v>0.24393799901008606</v>
      </c>
      <c r="G3388">
        <v>8.7075004577636719</v>
      </c>
      <c r="H3388">
        <v>0.20999999344348907</v>
      </c>
      <c r="I3388">
        <v>153.41999816894531</v>
      </c>
      <c r="J3388">
        <v>573</v>
      </c>
    </row>
    <row r="3389" spans="1:10" x14ac:dyDescent="0.25">
      <c r="A3389">
        <v>833</v>
      </c>
      <c r="B3389" t="str">
        <v>Markobenz Ventur</v>
      </c>
      <c r="C3389">
        <v>40.490279000000001</v>
      </c>
      <c r="D3389">
        <v>19.585359573364258</v>
      </c>
      <c r="E3389">
        <v>15.665535926818848</v>
      </c>
      <c r="F3389">
        <v>0.79986000061035156</v>
      </c>
      <c r="G3389">
        <v>10.765000343322754</v>
      </c>
      <c r="H3389">
        <v>9.9999997764825821E-3</v>
      </c>
      <c r="I3389">
        <v>73.379997253417969</v>
      </c>
      <c r="J3389">
        <v>432</v>
      </c>
    </row>
    <row r="3390" spans="1:10" x14ac:dyDescent="0.25">
      <c r="A3390">
        <v>75761</v>
      </c>
      <c r="B3390" t="str">
        <v>NMDC Steel</v>
      </c>
      <c r="C3390">
        <v>8.5220669999999998</v>
      </c>
      <c r="D3390">
        <v>47.641742706298828</v>
      </c>
      <c r="E3390">
        <v>9.6012306213378906</v>
      </c>
      <c r="F3390">
        <v>0.20152999460697174</v>
      </c>
      <c r="G3390">
        <v>37.369998931884766</v>
      </c>
      <c r="H3390">
        <v>0.31999999284744263</v>
      </c>
      <c r="I3390">
        <v>10857.8896484375</v>
      </c>
      <c r="J3390">
        <v>577</v>
      </c>
    </row>
    <row r="3391" spans="1:10" x14ac:dyDescent="0.25">
      <c r="A3391">
        <v>14064</v>
      </c>
      <c r="B3391" t="str">
        <v>Tejassvi Aaharam</v>
      </c>
      <c r="C3391">
        <v>51.507708999999998</v>
      </c>
      <c r="D3391">
        <v>39.864387512207031</v>
      </c>
      <c r="E3391">
        <v>20.32679557800293</v>
      </c>
      <c r="F3391">
        <v>0.50989902019500732</v>
      </c>
      <c r="G3391">
        <v>24.559999465942383</v>
      </c>
      <c r="H3391">
        <v>0</v>
      </c>
      <c r="I3391">
        <v>17.190000534057617</v>
      </c>
      <c r="J3391">
        <v>459</v>
      </c>
    </row>
    <row r="3392" spans="1:10" x14ac:dyDescent="0.25">
      <c r="A3392">
        <v>70221</v>
      </c>
      <c r="B3392" t="str">
        <v>Airan</v>
      </c>
      <c r="C3392">
        <v>29.196090000000002</v>
      </c>
      <c r="D3392">
        <v>26.934843063354492</v>
      </c>
      <c r="E3392">
        <v>6.5145621299743652</v>
      </c>
      <c r="F3392">
        <v>0.24186399579048157</v>
      </c>
      <c r="G3392">
        <v>29.477500915527344</v>
      </c>
      <c r="H3392">
        <v>9.9999997764825821E-3</v>
      </c>
      <c r="I3392">
        <v>363.92999267578125</v>
      </c>
      <c r="J3392">
        <v>558</v>
      </c>
    </row>
    <row r="3393" spans="1:10" x14ac:dyDescent="0.25">
      <c r="A3393">
        <v>75355</v>
      </c>
      <c r="B3393" t="str">
        <v>Divgi Torq</v>
      </c>
      <c r="C3393">
        <v>1.1365959999999999</v>
      </c>
      <c r="D3393">
        <v>747.6861572265625</v>
      </c>
      <c r="E3393">
        <v>179.48820495605469</v>
      </c>
      <c r="F3393">
        <v>0.24005800485610962</v>
      </c>
      <c r="G3393">
        <v>610.04998779296875</v>
      </c>
      <c r="H3393">
        <v>0</v>
      </c>
      <c r="I3393">
        <v>1823.199951171875</v>
      </c>
      <c r="J3393">
        <v>562</v>
      </c>
    </row>
    <row r="3394" spans="1:10" x14ac:dyDescent="0.25">
      <c r="A3394">
        <v>47802</v>
      </c>
      <c r="B3394" t="str">
        <v>Global Surfaces</v>
      </c>
      <c r="C3394">
        <v>-13.295182</v>
      </c>
      <c r="D3394">
        <v>191.98228454589844</v>
      </c>
      <c r="E3394">
        <v>44.735309600830078</v>
      </c>
      <c r="F3394">
        <v>0.23301799595355988</v>
      </c>
      <c r="G3394">
        <v>122.02500152587891</v>
      </c>
      <c r="H3394">
        <v>0.14000000059604645</v>
      </c>
      <c r="I3394">
        <v>515.78997802734375</v>
      </c>
      <c r="J3394">
        <v>555</v>
      </c>
    </row>
    <row r="3395" spans="1:10" x14ac:dyDescent="0.25">
      <c r="A3395">
        <v>2154</v>
      </c>
      <c r="B3395" t="str">
        <v>Hemadri Cements</v>
      </c>
      <c r="C3395">
        <v>126.07609600000001</v>
      </c>
      <c r="D3395">
        <v>78.539520263671875</v>
      </c>
      <c r="E3395">
        <v>28.114730834960938</v>
      </c>
      <c r="F3395">
        <v>0.35796898603439331</v>
      </c>
      <c r="G3395">
        <v>66.672500610351563</v>
      </c>
      <c r="H3395">
        <v>0.40000000596046448</v>
      </c>
      <c r="I3395">
        <v>44.919998168945313</v>
      </c>
      <c r="J3395">
        <v>525</v>
      </c>
    </row>
    <row r="3396" spans="1:10" x14ac:dyDescent="0.25">
      <c r="A3396">
        <v>7191</v>
      </c>
      <c r="B3396" t="str">
        <v>J A Finance</v>
      </c>
      <c r="C3396">
        <v>77.328846999999996</v>
      </c>
      <c r="D3396">
        <v>48.841903686523438</v>
      </c>
      <c r="E3396">
        <v>33.077442169189453</v>
      </c>
      <c r="F3396">
        <v>0.67723500728607178</v>
      </c>
      <c r="G3396">
        <v>124.44999694824219</v>
      </c>
      <c r="H3396">
        <v>0.38999998569488525</v>
      </c>
      <c r="I3396">
        <v>132.03999328613281</v>
      </c>
      <c r="J3396">
        <v>523</v>
      </c>
    </row>
    <row r="3397" spans="1:10" x14ac:dyDescent="0.25">
      <c r="A3397">
        <v>4161</v>
      </c>
      <c r="B3397" t="str">
        <v>Sanchay Finvest</v>
      </c>
      <c r="C3397">
        <v>128.63086999999999</v>
      </c>
      <c r="D3397">
        <v>33.039443969726563</v>
      </c>
      <c r="E3397">
        <v>13.424650192260742</v>
      </c>
      <c r="F3397">
        <v>0.40632200241088867</v>
      </c>
      <c r="G3397">
        <v>37.049999237060547</v>
      </c>
      <c r="H3397">
        <v>0</v>
      </c>
      <c r="I3397">
        <v>11.670000076293945</v>
      </c>
      <c r="J3397">
        <v>346</v>
      </c>
    </row>
    <row r="3398" spans="1:10" x14ac:dyDescent="0.25">
      <c r="A3398">
        <v>4385</v>
      </c>
      <c r="B3398" t="str">
        <v>Tirth Plastic</v>
      </c>
      <c r="C3398">
        <v>239.11227600000001</v>
      </c>
      <c r="D3398">
        <v>26.487873077392578</v>
      </c>
      <c r="E3398">
        <v>17.321767807006836</v>
      </c>
      <c r="F3398">
        <v>0.65395098924636841</v>
      </c>
      <c r="G3398">
        <v>19.139999389648438</v>
      </c>
      <c r="H3398">
        <v>2.9999999329447746E-2</v>
      </c>
      <c r="I3398">
        <v>8.5200004577636719</v>
      </c>
      <c r="J3398">
        <v>443</v>
      </c>
    </row>
    <row r="3399" spans="1:10" x14ac:dyDescent="0.25">
      <c r="A3399">
        <v>77884</v>
      </c>
      <c r="B3399" t="str">
        <v>Udayshivakumar</v>
      </c>
      <c r="C3399">
        <v>5.4267979999999998</v>
      </c>
      <c r="D3399">
        <v>46.515304565429688</v>
      </c>
      <c r="E3399">
        <v>12.90497875213623</v>
      </c>
      <c r="F3399">
        <v>0.27743500471115112</v>
      </c>
      <c r="G3399">
        <v>38.494998931884766</v>
      </c>
      <c r="H3399">
        <v>0.25999999046325684</v>
      </c>
      <c r="I3399">
        <v>210.36000061035156</v>
      </c>
      <c r="J3399">
        <v>549</v>
      </c>
    </row>
    <row r="3400" spans="1:10" x14ac:dyDescent="0.25">
      <c r="A3400">
        <v>14583</v>
      </c>
      <c r="B3400" t="str">
        <v>Vuenow Infratech</v>
      </c>
      <c r="C3400">
        <v>221.21120400000001</v>
      </c>
      <c r="D3400">
        <v>75.350265502929688</v>
      </c>
      <c r="E3400">
        <v>51.875911712646484</v>
      </c>
      <c r="F3400">
        <v>0.68846398591995239</v>
      </c>
      <c r="G3400">
        <v>102.22499847412109</v>
      </c>
      <c r="H3400">
        <v>0.75999999046325684</v>
      </c>
      <c r="I3400">
        <v>236.82000732421875</v>
      </c>
      <c r="J3400">
        <v>359</v>
      </c>
    </row>
    <row r="3401" spans="1:10" x14ac:dyDescent="0.25">
      <c r="A3401">
        <v>2209</v>
      </c>
      <c r="B3401" t="str">
        <v>White Hall Comm.</v>
      </c>
      <c r="C3401">
        <v>0</v>
      </c>
      <c r="D3401">
        <v>1.9999999552965164E-2</v>
      </c>
      <c r="E3401">
        <v>0</v>
      </c>
      <c r="F3401">
        <v>0</v>
      </c>
      <c r="G3401">
        <v>1.9999999552965164E-2</v>
      </c>
      <c r="H3401">
        <v>0</v>
      </c>
      <c r="I3401">
        <v>0</v>
      </c>
      <c r="J3401">
        <v>1</v>
      </c>
    </row>
    <row r="3402" spans="1:10" x14ac:dyDescent="0.25">
      <c r="A3402">
        <v>77460</v>
      </c>
      <c r="B3402" t="str">
        <v>Avalon Tech</v>
      </c>
      <c r="C3402">
        <v>33.444718999999999</v>
      </c>
      <c r="D3402">
        <v>602.7584228515625</v>
      </c>
      <c r="E3402">
        <v>149.28929138183594</v>
      </c>
      <c r="F3402">
        <v>0.24767699837684631</v>
      </c>
      <c r="G3402">
        <v>830.36260986328125</v>
      </c>
      <c r="H3402">
        <v>0.11999999731779099</v>
      </c>
      <c r="I3402">
        <v>5599.93017578125</v>
      </c>
      <c r="J3402">
        <v>541</v>
      </c>
    </row>
    <row r="3403" spans="1:10" x14ac:dyDescent="0.25">
      <c r="A3403">
        <v>75790</v>
      </c>
      <c r="B3403" t="str">
        <v>BEML Land Assets</v>
      </c>
      <c r="C3403">
        <v>-13.761562</v>
      </c>
      <c r="D3403">
        <v>219.47056579589844</v>
      </c>
      <c r="E3403">
        <v>47.009246826171875</v>
      </c>
      <c r="F3403">
        <v>0.21419399976730347</v>
      </c>
      <c r="G3403">
        <v>211.39999389648438</v>
      </c>
      <c r="H3403">
        <v>0</v>
      </c>
      <c r="I3403">
        <v>875.780029296875</v>
      </c>
      <c r="J3403">
        <v>540</v>
      </c>
    </row>
    <row r="3404" spans="1:10" x14ac:dyDescent="0.25">
      <c r="A3404">
        <v>7413</v>
      </c>
      <c r="B3404" t="str">
        <v>Hind.Appliances</v>
      </c>
      <c r="C3404">
        <v>224.63670099999999</v>
      </c>
      <c r="D3404">
        <v>114.11476135253906</v>
      </c>
      <c r="E3404">
        <v>96.754264831542969</v>
      </c>
      <c r="F3404">
        <v>0.84786802530288696</v>
      </c>
      <c r="G3404">
        <v>104.80000305175781</v>
      </c>
      <c r="H3404">
        <v>0</v>
      </c>
      <c r="I3404">
        <v>105.81999969482422</v>
      </c>
      <c r="J3404">
        <v>357</v>
      </c>
    </row>
    <row r="3405" spans="1:10" x14ac:dyDescent="0.25">
      <c r="A3405">
        <v>3972</v>
      </c>
      <c r="B3405" t="str">
        <v>IIRM Holdings</v>
      </c>
      <c r="C3405">
        <v>124.062628</v>
      </c>
      <c r="D3405">
        <v>88.665298461914063</v>
      </c>
      <c r="E3405">
        <v>40.129905700683594</v>
      </c>
      <c r="F3405">
        <v>0.45260000228881836</v>
      </c>
      <c r="G3405">
        <v>82.214996337890625</v>
      </c>
      <c r="H3405">
        <v>0</v>
      </c>
      <c r="I3405">
        <v>564.91998291015625</v>
      </c>
      <c r="J3405">
        <v>294</v>
      </c>
    </row>
    <row r="3406" spans="1:10" x14ac:dyDescent="0.25">
      <c r="A3406">
        <v>75270</v>
      </c>
      <c r="B3406" t="str">
        <v>Robust Hotels</v>
      </c>
      <c r="C3406">
        <v>50.732616</v>
      </c>
      <c r="D3406">
        <v>170.64149475097656</v>
      </c>
      <c r="E3406">
        <v>52.210853576660156</v>
      </c>
      <c r="F3406">
        <v>0.30596798658370972</v>
      </c>
      <c r="G3406">
        <v>261.375</v>
      </c>
      <c r="H3406">
        <v>0.25999999046325684</v>
      </c>
      <c r="I3406">
        <v>442.67001342773438</v>
      </c>
      <c r="J3406">
        <v>508</v>
      </c>
    </row>
    <row r="3407" spans="1:10" x14ac:dyDescent="0.25">
      <c r="A3407">
        <v>2075</v>
      </c>
      <c r="B3407" t="str">
        <v>TECIL Chemical</v>
      </c>
      <c r="C3407">
        <v>18.708583999999998</v>
      </c>
      <c r="D3407">
        <v>23.754703521728516</v>
      </c>
      <c r="E3407">
        <v>4.3262939453125</v>
      </c>
      <c r="F3407">
        <v>0.18212400376796722</v>
      </c>
      <c r="G3407">
        <v>34.080001831054688</v>
      </c>
      <c r="H3407">
        <v>0</v>
      </c>
      <c r="I3407">
        <v>64.620002746582031</v>
      </c>
      <c r="J3407">
        <v>405</v>
      </c>
    </row>
    <row r="3408" spans="1:10" x14ac:dyDescent="0.25">
      <c r="A3408">
        <v>6805</v>
      </c>
      <c r="B3408" t="str">
        <v>Thakkers Group</v>
      </c>
      <c r="C3408">
        <v>15.827321</v>
      </c>
      <c r="D3408">
        <v>17.684999465942383</v>
      </c>
      <c r="E3408">
        <v>1.8131049871444702</v>
      </c>
      <c r="F3408">
        <v>0.10252200067043304</v>
      </c>
      <c r="G3408">
        <v>20.030000686645508</v>
      </c>
      <c r="H3408">
        <v>0.76999998092651367</v>
      </c>
      <c r="I3408">
        <v>3.1700000762939453</v>
      </c>
      <c r="J3408">
        <v>6</v>
      </c>
    </row>
    <row r="3409" spans="1:10" x14ac:dyDescent="0.25">
      <c r="A3409">
        <v>74690</v>
      </c>
      <c r="B3409" t="str">
        <v>Atal Realtech</v>
      </c>
      <c r="C3409">
        <v>-5.7296440000000004</v>
      </c>
      <c r="D3409">
        <v>14.069589614868164</v>
      </c>
      <c r="E3409">
        <v>5.1350722312927246</v>
      </c>
      <c r="F3409">
        <v>0.36497700214385986</v>
      </c>
      <c r="G3409">
        <v>19.657499313354492</v>
      </c>
      <c r="H3409">
        <v>0.2800000011920929</v>
      </c>
      <c r="I3409">
        <v>214.80999755859375</v>
      </c>
      <c r="J3409">
        <v>524</v>
      </c>
    </row>
    <row r="3410" spans="1:10" x14ac:dyDescent="0.25">
      <c r="A3410">
        <v>38451</v>
      </c>
      <c r="B3410" t="str">
        <v>Mankind Pharma</v>
      </c>
      <c r="C3410">
        <v>26.437418000000001</v>
      </c>
      <c r="D3410">
        <v>2180.206298828125</v>
      </c>
      <c r="E3410">
        <v>356.90249633789063</v>
      </c>
      <c r="F3410">
        <v>0.16370099782943726</v>
      </c>
      <c r="G3410">
        <v>2344.875</v>
      </c>
      <c r="H3410">
        <v>0</v>
      </c>
      <c r="I3410">
        <v>95866.5703125</v>
      </c>
      <c r="J3410">
        <v>527</v>
      </c>
    </row>
    <row r="3411" spans="1:10" x14ac:dyDescent="0.25">
      <c r="A3411">
        <v>79034</v>
      </c>
      <c r="B3411" t="str">
        <v>Nexus Select</v>
      </c>
      <c r="C3411">
        <v>14.557905999999999</v>
      </c>
      <c r="D3411">
        <v>131.28269958496094</v>
      </c>
      <c r="E3411">
        <v>10.441378593444824</v>
      </c>
      <c r="F3411">
        <v>7.9534001648426056E-2</v>
      </c>
      <c r="G3411">
        <v>139.45750427246094</v>
      </c>
      <c r="H3411">
        <v>0.15000000596046448</v>
      </c>
      <c r="I3411">
        <v>21290.30078125</v>
      </c>
      <c r="J3411">
        <v>519</v>
      </c>
    </row>
    <row r="3412" spans="1:10" x14ac:dyDescent="0.25">
      <c r="A3412">
        <v>72387</v>
      </c>
      <c r="B3412" t="str">
        <v>Power &amp; Instrum.</v>
      </c>
      <c r="C3412">
        <v>23.632445000000001</v>
      </c>
      <c r="D3412">
        <v>126.53260803222656</v>
      </c>
      <c r="E3412">
        <v>93.58453369140625</v>
      </c>
      <c r="F3412">
        <v>0.73960798978805542</v>
      </c>
      <c r="G3412">
        <v>144.125</v>
      </c>
      <c r="H3412">
        <v>0.47999998927116394</v>
      </c>
      <c r="I3412">
        <v>249.1300048828125</v>
      </c>
      <c r="J3412">
        <v>518</v>
      </c>
    </row>
    <row r="3413" spans="1:10" x14ac:dyDescent="0.25">
      <c r="A3413">
        <v>969</v>
      </c>
      <c r="B3413" t="str">
        <v>Shiva Suitings</v>
      </c>
      <c r="C3413">
        <v>29.310279000000001</v>
      </c>
      <c r="D3413">
        <v>24.299165725708008</v>
      </c>
      <c r="E3413">
        <v>5.7132258415222168</v>
      </c>
      <c r="F3413">
        <v>0.23511999845504761</v>
      </c>
      <c r="G3413">
        <v>21.950000762939453</v>
      </c>
      <c r="H3413">
        <v>0</v>
      </c>
      <c r="I3413">
        <v>3.4000000953674316</v>
      </c>
      <c r="J3413">
        <v>57</v>
      </c>
    </row>
    <row r="3414" spans="1:10" x14ac:dyDescent="0.25">
      <c r="A3414">
        <v>5268</v>
      </c>
      <c r="B3414" t="str">
        <v>GDL Leasing</v>
      </c>
      <c r="C3414">
        <v>0</v>
      </c>
      <c r="D3414">
        <v>8.3299999237060547</v>
      </c>
      <c r="E3414">
        <v>0</v>
      </c>
      <c r="F3414">
        <v>0</v>
      </c>
      <c r="G3414">
        <v>8.3299999237060547</v>
      </c>
      <c r="H3414">
        <v>0</v>
      </c>
      <c r="I3414">
        <v>2.5099999904632568</v>
      </c>
      <c r="J3414">
        <v>1</v>
      </c>
    </row>
    <row r="3415" spans="1:10" x14ac:dyDescent="0.25">
      <c r="A3415">
        <v>75323</v>
      </c>
      <c r="B3415" t="str">
        <v>GHCL Textiles</v>
      </c>
      <c r="C3415">
        <v>9.9354340000000008</v>
      </c>
      <c r="D3415">
        <v>85.970977783203125</v>
      </c>
      <c r="E3415">
        <v>11.884958267211914</v>
      </c>
      <c r="F3415">
        <v>0.13824400305747986</v>
      </c>
      <c r="G3415">
        <v>90.022499084472656</v>
      </c>
      <c r="H3415">
        <v>5.000000074505806E-2</v>
      </c>
      <c r="I3415">
        <v>856.07000732421875</v>
      </c>
      <c r="J3415">
        <v>503</v>
      </c>
    </row>
    <row r="3416" spans="1:10" x14ac:dyDescent="0.25">
      <c r="A3416">
        <v>77898</v>
      </c>
      <c r="B3416" t="str">
        <v>IKIO Tech</v>
      </c>
      <c r="C3416">
        <v>-30.498660999999998</v>
      </c>
      <c r="D3416">
        <v>297.96478271484375</v>
      </c>
      <c r="E3416">
        <v>58.652530670166016</v>
      </c>
      <c r="F3416">
        <v>0.19684399664402008</v>
      </c>
      <c r="G3416">
        <v>212.89999389648438</v>
      </c>
      <c r="H3416">
        <v>5.9999998658895493E-2</v>
      </c>
      <c r="I3416">
        <v>1627.9200439453125</v>
      </c>
      <c r="J3416">
        <v>499</v>
      </c>
    </row>
    <row r="3417" spans="1:10" x14ac:dyDescent="0.25">
      <c r="A3417">
        <v>70313</v>
      </c>
      <c r="B3417" t="str">
        <v>M K Proteins</v>
      </c>
      <c r="C3417">
        <v>-47.718854</v>
      </c>
      <c r="D3417">
        <v>14.711612701416016</v>
      </c>
      <c r="E3417">
        <v>7.859281063079834</v>
      </c>
      <c r="F3417">
        <v>0.53422302007675171</v>
      </c>
      <c r="G3417">
        <v>7.9549999237060547</v>
      </c>
      <c r="H3417">
        <v>0.5899999737739563</v>
      </c>
      <c r="I3417">
        <v>280.39999389648438</v>
      </c>
      <c r="J3417">
        <v>502</v>
      </c>
    </row>
    <row r="3418" spans="1:10" x14ac:dyDescent="0.25">
      <c r="A3418">
        <v>5822</v>
      </c>
      <c r="B3418" t="str">
        <v>Minal Industries</v>
      </c>
      <c r="C3418">
        <v>94.24973</v>
      </c>
      <c r="D3418">
        <v>4.3978381156921387</v>
      </c>
      <c r="E3418">
        <v>1.0173799991607666</v>
      </c>
      <c r="F3418">
        <v>0.23133599758148193</v>
      </c>
      <c r="G3418">
        <v>4.497499942779541</v>
      </c>
      <c r="H3418">
        <v>0</v>
      </c>
      <c r="I3418">
        <v>81.94000244140625</v>
      </c>
      <c r="J3418">
        <v>496</v>
      </c>
    </row>
    <row r="3419" spans="1:10" x14ac:dyDescent="0.25">
      <c r="A3419">
        <v>1506</v>
      </c>
      <c r="B3419" t="str">
        <v>Shah Constructn</v>
      </c>
      <c r="C3419">
        <v>2.9084699999999999</v>
      </c>
      <c r="D3419">
        <v>59.294998168945313</v>
      </c>
      <c r="E3419">
        <v>2.0435409545898438</v>
      </c>
      <c r="F3419">
        <v>3.4464001655578613E-2</v>
      </c>
      <c r="G3419">
        <v>60.740001678466797</v>
      </c>
      <c r="H3419">
        <v>0</v>
      </c>
      <c r="I3419">
        <v>0.98000001907348633</v>
      </c>
      <c r="J3419">
        <v>2</v>
      </c>
    </row>
    <row r="3420" spans="1:10" x14ac:dyDescent="0.25">
      <c r="A3420">
        <v>74635</v>
      </c>
      <c r="B3420" t="str">
        <v>Sigma Solve</v>
      </c>
      <c r="C3420">
        <v>8.6117059999999999</v>
      </c>
      <c r="D3420">
        <v>388.31930541992188</v>
      </c>
      <c r="E3420">
        <v>64.456527709960938</v>
      </c>
      <c r="F3420">
        <v>0.16598799824714661</v>
      </c>
      <c r="G3420">
        <v>373.26251220703125</v>
      </c>
      <c r="H3420">
        <v>0.30000001192092896</v>
      </c>
      <c r="I3420">
        <v>390.54998779296875</v>
      </c>
      <c r="J3420">
        <v>504</v>
      </c>
    </row>
    <row r="3421" spans="1:10" x14ac:dyDescent="0.25">
      <c r="A3421">
        <v>4917</v>
      </c>
      <c r="B3421" t="str">
        <v>Swojas Foods</v>
      </c>
      <c r="C3421">
        <v>44.966653000000001</v>
      </c>
      <c r="D3421">
        <v>11.418170928955078</v>
      </c>
      <c r="E3421">
        <v>4.26214599609375</v>
      </c>
      <c r="F3421">
        <v>0.37327799201011658</v>
      </c>
      <c r="G3421">
        <v>12.869999885559082</v>
      </c>
      <c r="H3421">
        <v>0</v>
      </c>
      <c r="I3421">
        <v>39.849998474121094</v>
      </c>
      <c r="J3421">
        <v>372</v>
      </c>
    </row>
    <row r="3422" spans="1:10" x14ac:dyDescent="0.25">
      <c r="A3422">
        <v>6424</v>
      </c>
      <c r="B3422" t="str">
        <v>TCC Concept</v>
      </c>
      <c r="C3422">
        <v>225.51706100000001</v>
      </c>
      <c r="D3422">
        <v>416.55886840820313</v>
      </c>
      <c r="E3422">
        <v>202.82075500488281</v>
      </c>
      <c r="F3422">
        <v>0.48689600825309753</v>
      </c>
      <c r="G3422">
        <v>580.07501220703125</v>
      </c>
      <c r="H3422">
        <v>2.9999999329447746E-2</v>
      </c>
      <c r="I3422">
        <v>2030.8399658203125</v>
      </c>
      <c r="J3422">
        <v>473</v>
      </c>
    </row>
    <row r="3423" spans="1:10" x14ac:dyDescent="0.25">
      <c r="A3423">
        <v>30070</v>
      </c>
      <c r="B3423" t="str">
        <v>Cyient DLM</v>
      </c>
      <c r="C3423">
        <v>5.0225119999999999</v>
      </c>
      <c r="D3423">
        <v>629.7799072265625</v>
      </c>
      <c r="E3423">
        <v>113.60152435302734</v>
      </c>
      <c r="F3423">
        <v>0.18038299679756165</v>
      </c>
      <c r="G3423">
        <v>454.39999389648438</v>
      </c>
      <c r="H3423">
        <v>0.20999999344348907</v>
      </c>
      <c r="I3423">
        <v>3542.2099609375</v>
      </c>
      <c r="J3423">
        <v>484</v>
      </c>
    </row>
    <row r="3424" spans="1:10" x14ac:dyDescent="0.25">
      <c r="A3424">
        <v>76650</v>
      </c>
      <c r="B3424" t="str">
        <v>HMA Agro Inds.</v>
      </c>
      <c r="C3424">
        <v>-30.912603000000001</v>
      </c>
      <c r="D3424">
        <v>53.57928466796875</v>
      </c>
      <c r="E3424">
        <v>14.632619857788086</v>
      </c>
      <c r="F3424">
        <v>0.27310198545455933</v>
      </c>
      <c r="G3424">
        <v>32.427501678466797</v>
      </c>
      <c r="H3424">
        <v>0.55000001192092896</v>
      </c>
      <c r="I3424">
        <v>1625</v>
      </c>
      <c r="J3424">
        <v>488</v>
      </c>
    </row>
    <row r="3425" spans="1:10" x14ac:dyDescent="0.25">
      <c r="A3425">
        <v>78688</v>
      </c>
      <c r="B3425" t="str">
        <v>Ideaforge Tech</v>
      </c>
      <c r="C3425">
        <v>-39.372866000000002</v>
      </c>
      <c r="D3425">
        <v>703.82861328125</v>
      </c>
      <c r="E3425">
        <v>193.82887268066406</v>
      </c>
      <c r="F3425">
        <v>0.27539199590682983</v>
      </c>
      <c r="G3425">
        <v>578.125</v>
      </c>
      <c r="H3425">
        <v>0.11999999731779099</v>
      </c>
      <c r="I3425">
        <v>2428.800048828125</v>
      </c>
      <c r="J3425">
        <v>485</v>
      </c>
    </row>
    <row r="3426" spans="1:10" x14ac:dyDescent="0.25">
      <c r="A3426">
        <v>44363</v>
      </c>
      <c r="B3426" t="str">
        <v>Machhar Industri</v>
      </c>
      <c r="C3426">
        <v>154.52697900000001</v>
      </c>
      <c r="D3426">
        <v>309.80844116210938</v>
      </c>
      <c r="E3426">
        <v>119.55870819091797</v>
      </c>
      <c r="F3426">
        <v>0.38591200113296509</v>
      </c>
      <c r="G3426">
        <v>376.16250610351563</v>
      </c>
      <c r="H3426">
        <v>0.11999999731779099</v>
      </c>
      <c r="I3426">
        <v>27.870000839233398</v>
      </c>
      <c r="J3426">
        <v>370</v>
      </c>
    </row>
    <row r="3427" spans="1:10" x14ac:dyDescent="0.25">
      <c r="A3427">
        <v>1325</v>
      </c>
      <c r="B3427" t="str">
        <v>Rathi Steel</v>
      </c>
      <c r="C3427">
        <v>123.406431</v>
      </c>
      <c r="D3427">
        <v>41.517349243164063</v>
      </c>
      <c r="E3427">
        <v>18.47398567199707</v>
      </c>
      <c r="F3427">
        <v>0.44497001171112061</v>
      </c>
      <c r="G3427">
        <v>26.754999160766602</v>
      </c>
      <c r="H3427">
        <v>0.81000000238418579</v>
      </c>
      <c r="I3427">
        <v>227.38999938964844</v>
      </c>
      <c r="J3427">
        <v>488</v>
      </c>
    </row>
    <row r="3428" spans="1:10" x14ac:dyDescent="0.25">
      <c r="A3428">
        <v>3916</v>
      </c>
      <c r="B3428" t="str">
        <v>Satiate Agri</v>
      </c>
      <c r="C3428">
        <v>15.222923</v>
      </c>
      <c r="D3428">
        <v>26.615713119506836</v>
      </c>
      <c r="E3428">
        <v>2.7977359294891357</v>
      </c>
      <c r="F3428">
        <v>0.10511600226163864</v>
      </c>
      <c r="G3428">
        <v>30.659999847412109</v>
      </c>
      <c r="H3428">
        <v>0.27000001072883606</v>
      </c>
      <c r="I3428">
        <v>8.9700002670288086</v>
      </c>
      <c r="J3428">
        <v>7</v>
      </c>
    </row>
    <row r="3429" spans="1:10" x14ac:dyDescent="0.25">
      <c r="A3429">
        <v>2346</v>
      </c>
      <c r="B3429" t="str">
        <v>Teesta Agro Ind.</v>
      </c>
      <c r="C3429">
        <v>83.473331999999999</v>
      </c>
      <c r="D3429">
        <v>99.595375061035156</v>
      </c>
      <c r="E3429">
        <v>16.72991943359375</v>
      </c>
      <c r="F3429">
        <v>0.16797900199890137</v>
      </c>
      <c r="G3429">
        <v>114.76249694824219</v>
      </c>
      <c r="H3429">
        <v>0.18000000715255737</v>
      </c>
      <c r="I3429">
        <v>64.459999084472656</v>
      </c>
      <c r="J3429">
        <v>485</v>
      </c>
    </row>
    <row r="3430" spans="1:10" x14ac:dyDescent="0.25">
      <c r="A3430">
        <v>72173</v>
      </c>
      <c r="B3430" t="str">
        <v>Uravi Defence &amp;</v>
      </c>
      <c r="C3430">
        <v>29.339165000000001</v>
      </c>
      <c r="D3430">
        <v>399.78143310546875</v>
      </c>
      <c r="E3430">
        <v>109.15812683105469</v>
      </c>
      <c r="F3430">
        <v>0.27304500341415405</v>
      </c>
      <c r="G3430">
        <v>496.5</v>
      </c>
      <c r="H3430">
        <v>0.97000002861022949</v>
      </c>
      <c r="I3430">
        <v>546.70001220703125</v>
      </c>
      <c r="J3430">
        <v>479</v>
      </c>
    </row>
    <row r="3431" spans="1:10" x14ac:dyDescent="0.25">
      <c r="A3431">
        <v>22100</v>
      </c>
      <c r="B3431" t="str">
        <v>NIIT Learning</v>
      </c>
      <c r="C3431">
        <v>-2.0675889999999999</v>
      </c>
      <c r="D3431">
        <v>442.36251831054688</v>
      </c>
      <c r="E3431">
        <v>49.107421875</v>
      </c>
      <c r="F3431">
        <v>0.11101199686527252</v>
      </c>
      <c r="G3431">
        <v>351.01251220703125</v>
      </c>
      <c r="H3431">
        <v>2.9999999329447746E-2</v>
      </c>
      <c r="I3431">
        <v>4772.97021484375</v>
      </c>
      <c r="J3431">
        <v>463</v>
      </c>
    </row>
    <row r="3432" spans="1:10" x14ac:dyDescent="0.25">
      <c r="A3432">
        <v>78854</v>
      </c>
      <c r="B3432" t="str">
        <v>Netweb Technol.</v>
      </c>
      <c r="C3432">
        <v>34.996324000000001</v>
      </c>
      <c r="D3432">
        <v>1803.4427490234375</v>
      </c>
      <c r="E3432">
        <v>678.6500244140625</v>
      </c>
      <c r="F3432">
        <v>0.37630799412727356</v>
      </c>
      <c r="G3432">
        <v>1741.8499755859375</v>
      </c>
      <c r="H3432">
        <v>9.0000003576278687E-2</v>
      </c>
      <c r="I3432">
        <v>9762.3095703125</v>
      </c>
      <c r="J3432">
        <v>471</v>
      </c>
    </row>
    <row r="3433" spans="1:10" x14ac:dyDescent="0.25">
      <c r="A3433">
        <v>4990</v>
      </c>
      <c r="B3433" t="str">
        <v>Siddhes. Garment</v>
      </c>
      <c r="C3433">
        <v>95.956529000000003</v>
      </c>
      <c r="D3433">
        <v>16.375974655151367</v>
      </c>
      <c r="E3433">
        <v>4.0457320213317871</v>
      </c>
      <c r="F3433">
        <v>0.24705299735069275</v>
      </c>
      <c r="G3433">
        <v>23.399999618530273</v>
      </c>
      <c r="H3433">
        <v>0</v>
      </c>
      <c r="I3433">
        <v>7.380000114440918</v>
      </c>
      <c r="J3433">
        <v>377</v>
      </c>
    </row>
    <row r="3434" spans="1:10" x14ac:dyDescent="0.25">
      <c r="A3434">
        <v>40292</v>
      </c>
      <c r="B3434" t="str">
        <v>Swati Projects</v>
      </c>
      <c r="C3434">
        <v>47.315837000000002</v>
      </c>
      <c r="D3434">
        <v>94.044281005859375</v>
      </c>
      <c r="E3434">
        <v>65.938095092773438</v>
      </c>
      <c r="F3434">
        <v>0.70113897323608398</v>
      </c>
      <c r="G3434">
        <v>38.419998168945313</v>
      </c>
      <c r="H3434">
        <v>0</v>
      </c>
      <c r="I3434">
        <v>38.799999237060547</v>
      </c>
      <c r="J3434">
        <v>319</v>
      </c>
    </row>
    <row r="3435" spans="1:10" x14ac:dyDescent="0.25">
      <c r="A3435">
        <v>76342</v>
      </c>
      <c r="B3435" t="str">
        <v>TransIndia Real</v>
      </c>
      <c r="C3435">
        <v>-8.5769459999999995</v>
      </c>
      <c r="D3435">
        <v>42.394950866699219</v>
      </c>
      <c r="E3435">
        <v>6.9398188591003418</v>
      </c>
      <c r="F3435">
        <v>0.16369399428367615</v>
      </c>
      <c r="G3435">
        <v>32.799999237060547</v>
      </c>
      <c r="H3435">
        <v>7.9999998211860657E-2</v>
      </c>
      <c r="I3435">
        <v>798.510009765625</v>
      </c>
      <c r="J3435">
        <v>461</v>
      </c>
    </row>
    <row r="3436" spans="1:10" x14ac:dyDescent="0.25">
      <c r="A3436">
        <v>22482</v>
      </c>
      <c r="B3436" t="str">
        <v>Unijolly Invest.</v>
      </c>
      <c r="C3436">
        <v>0</v>
      </c>
      <c r="D3436">
        <v>4.5500001907348633</v>
      </c>
      <c r="E3436">
        <v>0</v>
      </c>
      <c r="F3436">
        <v>0</v>
      </c>
      <c r="G3436">
        <v>4.5500001907348633</v>
      </c>
      <c r="H3436">
        <v>0</v>
      </c>
      <c r="I3436">
        <v>9.0000003576278687E-2</v>
      </c>
      <c r="J3436">
        <v>1</v>
      </c>
    </row>
    <row r="3437" spans="1:10" x14ac:dyDescent="0.25">
      <c r="A3437">
        <v>72071</v>
      </c>
      <c r="B3437" t="str">
        <v>Utkarsh Small F.</v>
      </c>
      <c r="C3437">
        <v>-30.807932000000001</v>
      </c>
      <c r="D3437">
        <v>44.014179229736328</v>
      </c>
      <c r="E3437">
        <v>11.648534774780273</v>
      </c>
      <c r="F3437">
        <v>0.2646540105342865</v>
      </c>
      <c r="G3437">
        <v>23.397499084472656</v>
      </c>
      <c r="H3437">
        <v>0</v>
      </c>
      <c r="I3437">
        <v>2541.409912109375</v>
      </c>
      <c r="J3437">
        <v>475</v>
      </c>
    </row>
    <row r="3438" spans="1:10" x14ac:dyDescent="0.25">
      <c r="A3438">
        <v>76683</v>
      </c>
      <c r="B3438" t="str">
        <v>Yatharth Hospit.</v>
      </c>
      <c r="C3438">
        <v>25.758569999999999</v>
      </c>
      <c r="D3438">
        <v>457.93914794921875</v>
      </c>
      <c r="E3438">
        <v>83.145675659179688</v>
      </c>
      <c r="F3438">
        <v>0.18156500160694122</v>
      </c>
      <c r="G3438">
        <v>512.29998779296875</v>
      </c>
      <c r="H3438">
        <v>0.11999999731779099</v>
      </c>
      <c r="I3438">
        <v>4877.4599609375</v>
      </c>
      <c r="J3438">
        <v>464</v>
      </c>
    </row>
    <row r="3439" spans="1:10" x14ac:dyDescent="0.25">
      <c r="A3439">
        <v>34305</v>
      </c>
      <c r="B3439" t="str">
        <v>Aeroflex</v>
      </c>
      <c r="C3439">
        <v>2.4637410000000002</v>
      </c>
      <c r="D3439">
        <v>169.1583251953125</v>
      </c>
      <c r="E3439">
        <v>26.186183929443359</v>
      </c>
      <c r="F3439">
        <v>0.15480299293994904</v>
      </c>
      <c r="G3439">
        <v>188.17500305175781</v>
      </c>
      <c r="H3439">
        <v>0.10999999940395355</v>
      </c>
      <c r="I3439">
        <v>2523.68994140625</v>
      </c>
      <c r="J3439">
        <v>447</v>
      </c>
    </row>
    <row r="3440" spans="1:10" x14ac:dyDescent="0.25">
      <c r="A3440">
        <v>74947</v>
      </c>
      <c r="B3440" t="str">
        <v>Altius Telecom</v>
      </c>
      <c r="C3440">
        <v>11.027998</v>
      </c>
      <c r="D3440">
        <v>149.281005859375</v>
      </c>
      <c r="E3440">
        <v>9.1929807662963867</v>
      </c>
      <c r="F3440">
        <v>6.1581999063491821E-2</v>
      </c>
      <c r="G3440">
        <v>146</v>
      </c>
      <c r="H3440">
        <v>1.9999999552965164E-2</v>
      </c>
      <c r="I3440">
        <v>44492.0390625</v>
      </c>
      <c r="J3440">
        <v>92</v>
      </c>
    </row>
    <row r="3441" spans="1:10" x14ac:dyDescent="0.25">
      <c r="A3441">
        <v>4466</v>
      </c>
      <c r="B3441" t="str">
        <v>BITS</v>
      </c>
      <c r="C3441">
        <v>249.67365000000001</v>
      </c>
      <c r="D3441">
        <v>9.3604183197021484</v>
      </c>
      <c r="E3441">
        <v>9.0579395294189453</v>
      </c>
      <c r="F3441">
        <v>0.96768498420715332</v>
      </c>
      <c r="G3441">
        <v>10.289999961853027</v>
      </c>
      <c r="H3441">
        <v>0</v>
      </c>
      <c r="I3441">
        <v>115.12000274658203</v>
      </c>
      <c r="J3441">
        <v>448</v>
      </c>
    </row>
    <row r="3442" spans="1:10" x14ac:dyDescent="0.25">
      <c r="A3442">
        <v>72610</v>
      </c>
      <c r="B3442" t="str">
        <v>Concord Biotech</v>
      </c>
      <c r="C3442">
        <v>43.876044</v>
      </c>
      <c r="D3442">
        <v>1618.499755859375</v>
      </c>
      <c r="E3442">
        <v>335.3203125</v>
      </c>
      <c r="F3442">
        <v>0.20717999339103699</v>
      </c>
      <c r="G3442">
        <v>2006.3624267578125</v>
      </c>
      <c r="H3442">
        <v>9.9999997764825821E-3</v>
      </c>
      <c r="I3442">
        <v>20594.220703125</v>
      </c>
      <c r="J3442">
        <v>456</v>
      </c>
    </row>
    <row r="3443" spans="1:10" x14ac:dyDescent="0.25">
      <c r="A3443">
        <v>71403</v>
      </c>
      <c r="B3443" t="str">
        <v>D P Wires</v>
      </c>
      <c r="C3443">
        <v>-49.024106000000003</v>
      </c>
      <c r="D3443">
        <v>429.37860107421875</v>
      </c>
      <c r="E3443">
        <v>125.85643768310547</v>
      </c>
      <c r="F3443">
        <v>0.29311299324035645</v>
      </c>
      <c r="G3443">
        <v>223.47500610351563</v>
      </c>
      <c r="H3443">
        <v>9.9999997764825821E-3</v>
      </c>
      <c r="I3443">
        <v>341.39999389648438</v>
      </c>
      <c r="J3443">
        <v>450</v>
      </c>
    </row>
    <row r="3444" spans="1:10" x14ac:dyDescent="0.25">
      <c r="A3444">
        <v>7033</v>
      </c>
      <c r="B3444" t="str">
        <v>Hem Holdings &amp; T</v>
      </c>
      <c r="C3444">
        <v>200.006316</v>
      </c>
      <c r="D3444">
        <v>13.977080345153809</v>
      </c>
      <c r="E3444">
        <v>9.7695159912109375</v>
      </c>
      <c r="F3444">
        <v>0.69896697998046875</v>
      </c>
      <c r="G3444">
        <v>38.569999694824219</v>
      </c>
      <c r="H3444">
        <v>0</v>
      </c>
      <c r="I3444">
        <v>0.93000000715255737</v>
      </c>
      <c r="J3444">
        <v>113</v>
      </c>
    </row>
    <row r="3445" spans="1:10" x14ac:dyDescent="0.25">
      <c r="A3445">
        <v>20712</v>
      </c>
      <c r="B3445" t="str">
        <v>Jio Financial</v>
      </c>
      <c r="C3445">
        <v>4.9949450000000004</v>
      </c>
      <c r="D3445">
        <v>290.30068969726563</v>
      </c>
      <c r="E3445">
        <v>52.839263916015625</v>
      </c>
      <c r="F3445">
        <v>0.18201600015163422</v>
      </c>
      <c r="G3445">
        <v>286.60000610351563</v>
      </c>
      <c r="H3445">
        <v>1.9999999552965164E-2</v>
      </c>
      <c r="I3445">
        <v>180528.5625</v>
      </c>
      <c r="J3445">
        <v>455</v>
      </c>
    </row>
    <row r="3446" spans="1:10" x14ac:dyDescent="0.25">
      <c r="A3446">
        <v>43768</v>
      </c>
      <c r="B3446" t="str">
        <v>Julien Agro</v>
      </c>
      <c r="C3446">
        <v>10.007496</v>
      </c>
      <c r="D3446">
        <v>12.401129722595215</v>
      </c>
      <c r="E3446">
        <v>2.1667540073394775</v>
      </c>
      <c r="F3446">
        <v>0.17472200095653534</v>
      </c>
      <c r="G3446">
        <v>7.367499828338623</v>
      </c>
      <c r="H3446">
        <v>0</v>
      </c>
      <c r="I3446">
        <v>28.180000305175781</v>
      </c>
      <c r="J3446">
        <v>452</v>
      </c>
    </row>
    <row r="3447" spans="1:10" x14ac:dyDescent="0.25">
      <c r="A3447">
        <v>5084</v>
      </c>
      <c r="B3447" t="str">
        <v>KEN Fin.Serv.</v>
      </c>
      <c r="C3447">
        <v>47.124135000000003</v>
      </c>
      <c r="D3447">
        <v>15.898562431335449</v>
      </c>
      <c r="E3447">
        <v>2.8774509429931641</v>
      </c>
      <c r="F3447">
        <v>0.18098799884319305</v>
      </c>
      <c r="G3447">
        <v>15.895000457763672</v>
      </c>
      <c r="H3447">
        <v>0.31000000238418579</v>
      </c>
      <c r="I3447">
        <v>4.8899998664855957</v>
      </c>
      <c r="J3447">
        <v>379</v>
      </c>
    </row>
    <row r="3448" spans="1:10" x14ac:dyDescent="0.25">
      <c r="A3448">
        <v>39936</v>
      </c>
      <c r="B3448" t="str">
        <v>Pyramid Technopl</v>
      </c>
      <c r="C3448">
        <v>0.30035299999999998</v>
      </c>
      <c r="D3448">
        <v>178.62690734863281</v>
      </c>
      <c r="E3448">
        <v>20.94993782043457</v>
      </c>
      <c r="F3448">
        <v>0.11728300154209137</v>
      </c>
      <c r="G3448">
        <v>182.11250305175781</v>
      </c>
      <c r="H3448">
        <v>0.23000000417232513</v>
      </c>
      <c r="I3448">
        <v>673.9000244140625</v>
      </c>
      <c r="J3448">
        <v>449</v>
      </c>
    </row>
    <row r="3449" spans="1:10" x14ac:dyDescent="0.25">
      <c r="A3449">
        <v>76297</v>
      </c>
      <c r="B3449" t="str">
        <v>Redtape</v>
      </c>
      <c r="C3449">
        <v>2.7761360000000002</v>
      </c>
      <c r="D3449">
        <v>162.12318420410156</v>
      </c>
      <c r="E3449">
        <v>33.211494445800781</v>
      </c>
      <c r="F3449">
        <v>0.20485299825668335</v>
      </c>
      <c r="G3449">
        <v>126.23750305175781</v>
      </c>
      <c r="H3449">
        <v>0.67000001668930054</v>
      </c>
      <c r="I3449">
        <v>6929.43994140625</v>
      </c>
      <c r="J3449">
        <v>460</v>
      </c>
    </row>
    <row r="3450" spans="1:10" x14ac:dyDescent="0.25">
      <c r="A3450">
        <v>28638</v>
      </c>
      <c r="B3450" t="str">
        <v>TVS Supply</v>
      </c>
      <c r="C3450">
        <v>-20.037752000000001</v>
      </c>
      <c r="D3450">
        <v>177.26760864257813</v>
      </c>
      <c r="E3450">
        <v>29.115304946899414</v>
      </c>
      <c r="F3450">
        <v>0.16424499452114105</v>
      </c>
      <c r="G3450">
        <v>139.89999389648438</v>
      </c>
      <c r="H3450">
        <v>0.44999998807907104</v>
      </c>
      <c r="I3450">
        <v>6055.0498046875</v>
      </c>
      <c r="J3450">
        <v>453</v>
      </c>
    </row>
    <row r="3451" spans="1:10" x14ac:dyDescent="0.25">
      <c r="A3451">
        <v>76164</v>
      </c>
      <c r="B3451" t="str">
        <v>VL E-Governance</v>
      </c>
      <c r="C3451">
        <v>29.422716999999999</v>
      </c>
      <c r="D3451">
        <v>80.524017333984375</v>
      </c>
      <c r="E3451">
        <v>45.777130126953125</v>
      </c>
      <c r="F3451">
        <v>0.56849002838134766</v>
      </c>
      <c r="G3451">
        <v>52.540000915527344</v>
      </c>
      <c r="H3451">
        <v>1.9999999552965164E-2</v>
      </c>
      <c r="I3451">
        <v>569.79998779296875</v>
      </c>
      <c r="J3451">
        <v>459</v>
      </c>
    </row>
    <row r="3452" spans="1:10" x14ac:dyDescent="0.25">
      <c r="A3452">
        <v>74997</v>
      </c>
      <c r="B3452" t="str">
        <v>Vishnu Prakash R</v>
      </c>
      <c r="C3452">
        <v>2.9257270000000002</v>
      </c>
      <c r="D3452">
        <v>210.19795227050781</v>
      </c>
      <c r="E3452">
        <v>46.625442504882813</v>
      </c>
      <c r="F3452">
        <v>0.22181700170040131</v>
      </c>
      <c r="G3452">
        <v>162.69999694824219</v>
      </c>
      <c r="H3452">
        <v>0.62000000476837158</v>
      </c>
      <c r="I3452">
        <v>2005.52001953125</v>
      </c>
      <c r="J3452">
        <v>444</v>
      </c>
    </row>
    <row r="3453" spans="1:10" x14ac:dyDescent="0.25">
      <c r="A3453">
        <v>38364</v>
      </c>
      <c r="B3453" t="str">
        <v>ARCL Organics</v>
      </c>
      <c r="C3453">
        <v>205.05604500000001</v>
      </c>
      <c r="D3453">
        <v>194.07218933105469</v>
      </c>
      <c r="E3453">
        <v>87.140243530273438</v>
      </c>
      <c r="F3453">
        <v>0.4490090012550354</v>
      </c>
      <c r="G3453">
        <v>267.75</v>
      </c>
      <c r="H3453">
        <v>0.41999998688697815</v>
      </c>
      <c r="I3453">
        <v>216.32000732421875</v>
      </c>
      <c r="J3453">
        <v>220</v>
      </c>
    </row>
    <row r="3454" spans="1:10" x14ac:dyDescent="0.25">
      <c r="A3454">
        <v>22446</v>
      </c>
      <c r="B3454" t="str">
        <v>Dynamic Archist.</v>
      </c>
      <c r="C3454">
        <v>100.228979</v>
      </c>
      <c r="D3454">
        <v>31.200000762939453</v>
      </c>
      <c r="E3454">
        <v>10.776321411132813</v>
      </c>
      <c r="F3454">
        <v>0.34539499878883362</v>
      </c>
      <c r="G3454">
        <v>49.880001068115234</v>
      </c>
      <c r="H3454">
        <v>0</v>
      </c>
      <c r="I3454">
        <v>24.989999771118164</v>
      </c>
      <c r="J3454">
        <v>42</v>
      </c>
    </row>
    <row r="3455" spans="1:10" x14ac:dyDescent="0.25">
      <c r="A3455">
        <v>78867</v>
      </c>
      <c r="B3455" t="str">
        <v>EMS</v>
      </c>
      <c r="C3455">
        <v>44.382466999999998</v>
      </c>
      <c r="D3455">
        <v>606.20977783203125</v>
      </c>
      <c r="E3455">
        <v>178.07292175292969</v>
      </c>
      <c r="F3455">
        <v>0.29374799132347107</v>
      </c>
      <c r="G3455">
        <v>584.7249755859375</v>
      </c>
      <c r="H3455">
        <v>0</v>
      </c>
      <c r="I3455">
        <v>3211.89990234375</v>
      </c>
      <c r="J3455">
        <v>433</v>
      </c>
    </row>
    <row r="3456" spans="1:10" x14ac:dyDescent="0.25">
      <c r="A3456">
        <v>4569</v>
      </c>
      <c r="B3456" t="str">
        <v>Hindustan Agrig.</v>
      </c>
      <c r="C3456">
        <v>68.659985000000006</v>
      </c>
      <c r="D3456">
        <v>55.426742553710938</v>
      </c>
      <c r="E3456">
        <v>12.86444091796875</v>
      </c>
      <c r="F3456">
        <v>0.23209799826145172</v>
      </c>
      <c r="G3456">
        <v>72.419998168945313</v>
      </c>
      <c r="H3456">
        <v>0</v>
      </c>
      <c r="I3456">
        <v>30.440000534057617</v>
      </c>
      <c r="J3456">
        <v>433</v>
      </c>
    </row>
    <row r="3457" spans="1:10" x14ac:dyDescent="0.25">
      <c r="A3457">
        <v>44993</v>
      </c>
      <c r="B3457" t="str">
        <v>Jupiter Life Lin</v>
      </c>
      <c r="C3457">
        <v>22.513107999999999</v>
      </c>
      <c r="D3457">
        <v>1321.596923828125</v>
      </c>
      <c r="E3457">
        <v>177.82835388183594</v>
      </c>
      <c r="F3457">
        <v>0.13455599546432495</v>
      </c>
      <c r="G3457">
        <v>1506.824951171875</v>
      </c>
      <c r="H3457">
        <v>5.000000074505806E-2</v>
      </c>
      <c r="I3457">
        <v>9954.8896484375</v>
      </c>
      <c r="J3457">
        <v>435</v>
      </c>
    </row>
    <row r="3458" spans="1:10" x14ac:dyDescent="0.25">
      <c r="A3458">
        <v>26648</v>
      </c>
      <c r="B3458" t="str">
        <v>Nuvama Wealth</v>
      </c>
      <c r="C3458">
        <v>60.912652999999999</v>
      </c>
      <c r="D3458">
        <v>5243.8046875</v>
      </c>
      <c r="E3458">
        <v>1425.3533935546875</v>
      </c>
      <c r="F3458">
        <v>0.27181699872016907</v>
      </c>
      <c r="G3458">
        <v>7124.81298828125</v>
      </c>
      <c r="H3458">
        <v>0.2800000011920929</v>
      </c>
      <c r="I3458">
        <v>25065.939453125</v>
      </c>
      <c r="J3458">
        <v>430</v>
      </c>
    </row>
    <row r="3459" spans="1:10" x14ac:dyDescent="0.25">
      <c r="A3459">
        <v>29577</v>
      </c>
      <c r="B3459" t="str">
        <v>R R Kabel</v>
      </c>
      <c r="C3459">
        <v>6.8523620000000003</v>
      </c>
      <c r="D3459">
        <v>1466.88916015625</v>
      </c>
      <c r="E3459">
        <v>242.13690185546875</v>
      </c>
      <c r="F3459">
        <v>0.16506800055503845</v>
      </c>
      <c r="G3459">
        <v>1330.75</v>
      </c>
      <c r="H3459">
        <v>0.28999999165534973</v>
      </c>
      <c r="I3459">
        <v>14992.33984375</v>
      </c>
      <c r="J3459">
        <v>434</v>
      </c>
    </row>
    <row r="3460" spans="1:10" x14ac:dyDescent="0.25">
      <c r="A3460">
        <v>78395</v>
      </c>
      <c r="B3460" t="str">
        <v>Rishabh Instrum.</v>
      </c>
      <c r="C3460">
        <v>-23.188480999999999</v>
      </c>
      <c r="D3460">
        <v>402.7274169921875</v>
      </c>
      <c r="E3460">
        <v>104.60281372070313</v>
      </c>
      <c r="F3460">
        <v>0.25973600149154663</v>
      </c>
      <c r="G3460">
        <v>295.22500610351563</v>
      </c>
      <c r="H3460">
        <v>5.000000074505806E-2</v>
      </c>
      <c r="I3460">
        <v>1103.449951171875</v>
      </c>
      <c r="J3460">
        <v>440</v>
      </c>
    </row>
    <row r="3461" spans="1:10" x14ac:dyDescent="0.25">
      <c r="A3461">
        <v>34768</v>
      </c>
      <c r="B3461" t="str">
        <v>Sai Silks</v>
      </c>
      <c r="C3461">
        <v>-29.912254000000001</v>
      </c>
      <c r="D3461">
        <v>189.56730651855469</v>
      </c>
      <c r="E3461">
        <v>46.324459075927734</v>
      </c>
      <c r="F3461">
        <v>0.24436900019645691</v>
      </c>
      <c r="G3461">
        <v>138.91250610351563</v>
      </c>
      <c r="H3461">
        <v>0.68000000715255737</v>
      </c>
      <c r="I3461">
        <v>2124.1201171875</v>
      </c>
      <c r="J3461">
        <v>429</v>
      </c>
    </row>
    <row r="3462" spans="1:10" x14ac:dyDescent="0.25">
      <c r="A3462">
        <v>74552</v>
      </c>
      <c r="B3462" t="str">
        <v>Samhi Hotels</v>
      </c>
      <c r="C3462">
        <v>27.847950999999998</v>
      </c>
      <c r="D3462">
        <v>184.81452941894531</v>
      </c>
      <c r="E3462">
        <v>20.712589263916016</v>
      </c>
      <c r="F3462">
        <v>0.11207199841737747</v>
      </c>
      <c r="G3462">
        <v>219.16250610351563</v>
      </c>
      <c r="H3462">
        <v>0.36000001430511475</v>
      </c>
      <c r="I3462">
        <v>4754.830078125</v>
      </c>
      <c r="J3462">
        <v>432</v>
      </c>
    </row>
    <row r="3463" spans="1:10" x14ac:dyDescent="0.25">
      <c r="A3463">
        <v>6368</v>
      </c>
      <c r="B3463" t="str">
        <v>Shradha AI Tech</v>
      </c>
      <c r="C3463">
        <v>78.195109000000002</v>
      </c>
      <c r="D3463">
        <v>31.440202713012695</v>
      </c>
      <c r="E3463">
        <v>11.400471687316895</v>
      </c>
      <c r="F3463">
        <v>0.36260798573493958</v>
      </c>
      <c r="G3463">
        <v>36.584999084472656</v>
      </c>
      <c r="H3463">
        <v>0</v>
      </c>
      <c r="I3463">
        <v>223.33000183105469</v>
      </c>
      <c r="J3463">
        <v>440</v>
      </c>
    </row>
    <row r="3464" spans="1:10" x14ac:dyDescent="0.25">
      <c r="A3464">
        <v>68113</v>
      </c>
      <c r="B3464" t="str">
        <v>Yatra Online</v>
      </c>
      <c r="C3464">
        <v>-22.686879000000001</v>
      </c>
      <c r="D3464">
        <v>124.70502471923828</v>
      </c>
      <c r="E3464">
        <v>26.879371643066406</v>
      </c>
      <c r="F3464">
        <v>0.21554400026798248</v>
      </c>
      <c r="G3464">
        <v>88.792503356933594</v>
      </c>
      <c r="H3464">
        <v>0.20999999344348907</v>
      </c>
      <c r="I3464">
        <v>1374.9000244140625</v>
      </c>
      <c r="J3464">
        <v>428</v>
      </c>
    </row>
    <row r="3465" spans="1:10" x14ac:dyDescent="0.25">
      <c r="A3465">
        <v>78337</v>
      </c>
      <c r="B3465" t="str">
        <v>Zaggle Prepaid</v>
      </c>
      <c r="C3465">
        <v>56.62032</v>
      </c>
      <c r="D3465">
        <v>343.63424682617188</v>
      </c>
      <c r="E3465">
        <v>96.529533386230469</v>
      </c>
      <c r="F3465">
        <v>0.28090798854827881</v>
      </c>
      <c r="G3465">
        <v>410.66250610351563</v>
      </c>
      <c r="H3465">
        <v>0.37000000476837158</v>
      </c>
      <c r="I3465">
        <v>5441.240234375</v>
      </c>
      <c r="J3465">
        <v>432</v>
      </c>
    </row>
    <row r="3466" spans="1:10" x14ac:dyDescent="0.25">
      <c r="A3466">
        <v>75779</v>
      </c>
      <c r="B3466" t="str">
        <v>Manoj Vaibhav</v>
      </c>
      <c r="C3466">
        <v>9.1840159999999997</v>
      </c>
      <c r="D3466">
        <v>256.46475219726563</v>
      </c>
      <c r="E3466">
        <v>39.526458740234375</v>
      </c>
      <c r="F3466">
        <v>0.15411999821662903</v>
      </c>
      <c r="G3466">
        <v>251.97500610351563</v>
      </c>
      <c r="H3466">
        <v>0.94999998807907104</v>
      </c>
      <c r="I3466">
        <v>1230.219970703125</v>
      </c>
      <c r="J3466">
        <v>426</v>
      </c>
    </row>
    <row r="3467" spans="1:10" x14ac:dyDescent="0.25">
      <c r="A3467">
        <v>429</v>
      </c>
      <c r="B3467" t="str">
        <v>Panyam Cement</v>
      </c>
      <c r="C3467">
        <v>185.51439099999999</v>
      </c>
      <c r="D3467">
        <v>144.49693298339844</v>
      </c>
      <c r="E3467">
        <v>54.048576354980469</v>
      </c>
      <c r="F3467">
        <v>0.37404701113700867</v>
      </c>
      <c r="G3467">
        <v>157.71249389648438</v>
      </c>
      <c r="H3467">
        <v>0</v>
      </c>
      <c r="I3467">
        <v>130.8699951171875</v>
      </c>
      <c r="J3467">
        <v>422</v>
      </c>
    </row>
    <row r="3468" spans="1:10" x14ac:dyDescent="0.25">
      <c r="A3468">
        <v>76767</v>
      </c>
      <c r="B3468" t="str">
        <v>Plaza Wires</v>
      </c>
      <c r="C3468">
        <v>-18.123325000000001</v>
      </c>
      <c r="D3468">
        <v>84.598602294921875</v>
      </c>
      <c r="E3468">
        <v>18.604082107543945</v>
      </c>
      <c r="F3468">
        <v>0.21990999579429626</v>
      </c>
      <c r="G3468">
        <v>59.060001373291016</v>
      </c>
      <c r="H3468">
        <v>0.4699999988079071</v>
      </c>
      <c r="I3468">
        <v>254.07000732421875</v>
      </c>
      <c r="J3468">
        <v>418</v>
      </c>
    </row>
    <row r="3469" spans="1:10" x14ac:dyDescent="0.25">
      <c r="A3469">
        <v>493</v>
      </c>
      <c r="B3469" t="str">
        <v>Signature Green</v>
      </c>
      <c r="C3469">
        <v>76.837098999999995</v>
      </c>
      <c r="D3469">
        <v>1.7642309665679932</v>
      </c>
      <c r="E3469">
        <v>0.61484402418136597</v>
      </c>
      <c r="F3469">
        <v>0.34850600361824036</v>
      </c>
      <c r="G3469">
        <v>2.9700000286102295</v>
      </c>
      <c r="H3469">
        <v>0.5899999737739563</v>
      </c>
      <c r="I3469">
        <v>1.0700000524520874</v>
      </c>
      <c r="J3469">
        <v>26</v>
      </c>
    </row>
    <row r="3470" spans="1:10" x14ac:dyDescent="0.25">
      <c r="A3470">
        <v>71774</v>
      </c>
      <c r="B3470" t="str">
        <v>South West Pinn.</v>
      </c>
      <c r="C3470">
        <v>4.9937050000000003</v>
      </c>
      <c r="D3470">
        <v>134.206298828125</v>
      </c>
      <c r="E3470">
        <v>23.25140380859375</v>
      </c>
      <c r="F3470">
        <v>0.17325100302696228</v>
      </c>
      <c r="G3470">
        <v>149.21249389648438</v>
      </c>
      <c r="H3470">
        <v>0.64999997615814209</v>
      </c>
      <c r="I3470">
        <v>437.89999389648438</v>
      </c>
      <c r="J3470">
        <v>423</v>
      </c>
    </row>
    <row r="3471" spans="1:10" x14ac:dyDescent="0.25">
      <c r="A3471">
        <v>43355</v>
      </c>
      <c r="B3471" t="str">
        <v>Updater Services</v>
      </c>
      <c r="C3471">
        <v>-9.5258999999999996E-2</v>
      </c>
      <c r="D3471">
        <v>327.13229370117188</v>
      </c>
      <c r="E3471">
        <v>40.140335083007813</v>
      </c>
      <c r="F3471">
        <v>0.12270399928092957</v>
      </c>
      <c r="G3471">
        <v>290.9375</v>
      </c>
      <c r="H3471">
        <v>0.2199999988079071</v>
      </c>
      <c r="I3471">
        <v>1909.8399658203125</v>
      </c>
      <c r="J3471">
        <v>425</v>
      </c>
    </row>
    <row r="3472" spans="1:10" x14ac:dyDescent="0.25">
      <c r="A3472">
        <v>79218</v>
      </c>
      <c r="B3472" t="str">
        <v>Valiant Laborato</v>
      </c>
      <c r="C3472">
        <v>-21.693929000000001</v>
      </c>
      <c r="D3472">
        <v>135.79707336425781</v>
      </c>
      <c r="E3472">
        <v>32.832859039306641</v>
      </c>
      <c r="F3472">
        <v>0.24177899956703186</v>
      </c>
      <c r="G3472">
        <v>112.77500152587891</v>
      </c>
      <c r="H3472">
        <v>0.36000001430511475</v>
      </c>
      <c r="I3472">
        <v>467.29998779296875</v>
      </c>
      <c r="J3472">
        <v>423</v>
      </c>
    </row>
    <row r="3473" spans="1:10" x14ac:dyDescent="0.25">
      <c r="A3473">
        <v>42712</v>
      </c>
      <c r="B3473" t="str">
        <v>ASK Automotive</v>
      </c>
      <c r="C3473">
        <v>25.218699999999998</v>
      </c>
      <c r="D3473">
        <v>381.15911865234375</v>
      </c>
      <c r="E3473">
        <v>69.942695617675781</v>
      </c>
      <c r="F3473">
        <v>0.1835000067949295</v>
      </c>
      <c r="G3473">
        <v>456.76251220703125</v>
      </c>
      <c r="H3473">
        <v>0.15999999642372131</v>
      </c>
      <c r="I3473">
        <v>9042.9296875</v>
      </c>
      <c r="J3473">
        <v>396</v>
      </c>
    </row>
    <row r="3474" spans="1:10" x14ac:dyDescent="0.25">
      <c r="A3474">
        <v>77761</v>
      </c>
      <c r="B3474" t="str">
        <v>Blue Jet Health</v>
      </c>
      <c r="C3474">
        <v>54.875064000000002</v>
      </c>
      <c r="D3474">
        <v>523.54278564453125</v>
      </c>
      <c r="E3474">
        <v>175.07395935058594</v>
      </c>
      <c r="F3474">
        <v>0.33440199494361877</v>
      </c>
      <c r="G3474">
        <v>876.25</v>
      </c>
      <c r="H3474">
        <v>9.9999997764825821E-3</v>
      </c>
      <c r="I3474">
        <v>14857.3095703125</v>
      </c>
      <c r="J3474">
        <v>406</v>
      </c>
    </row>
    <row r="3475" spans="1:10" x14ac:dyDescent="0.25">
      <c r="A3475">
        <v>91835</v>
      </c>
      <c r="B3475" t="str">
        <v>Cello World</v>
      </c>
      <c r="C3475">
        <v>-18.709707000000002</v>
      </c>
      <c r="D3475">
        <v>783.2164306640625</v>
      </c>
      <c r="E3475">
        <v>127.10167694091797</v>
      </c>
      <c r="F3475">
        <v>0.16228200495243073</v>
      </c>
      <c r="G3475">
        <v>593.4625244140625</v>
      </c>
      <c r="H3475">
        <v>0.23000000417232513</v>
      </c>
      <c r="I3475">
        <v>12908.51953125</v>
      </c>
      <c r="J3475">
        <v>403</v>
      </c>
    </row>
    <row r="3476" spans="1:10" x14ac:dyDescent="0.25">
      <c r="A3476">
        <v>71846</v>
      </c>
      <c r="B3476" t="str">
        <v>ESAF Small Fin</v>
      </c>
      <c r="C3476">
        <v>-46.742539999999998</v>
      </c>
      <c r="D3476">
        <v>48.762905120849609</v>
      </c>
      <c r="E3476">
        <v>13.97171688079834</v>
      </c>
      <c r="F3476">
        <v>0.28652301430702209</v>
      </c>
      <c r="G3476">
        <v>31.895000457763672</v>
      </c>
      <c r="H3476">
        <v>0</v>
      </c>
      <c r="I3476">
        <v>1603.489990234375</v>
      </c>
      <c r="J3476">
        <v>399</v>
      </c>
    </row>
    <row r="3477" spans="1:10" x14ac:dyDescent="0.25">
      <c r="A3477">
        <v>77264</v>
      </c>
      <c r="B3477" t="str">
        <v>Honasa Consumer</v>
      </c>
      <c r="C3477">
        <v>-4.8141350000000003</v>
      </c>
      <c r="D3477">
        <v>365.64715576171875</v>
      </c>
      <c r="E3477">
        <v>96.135231018066406</v>
      </c>
      <c r="F3477">
        <v>0.26291799545288086</v>
      </c>
      <c r="G3477">
        <v>305.83749389648438</v>
      </c>
      <c r="H3477">
        <v>0.10000000149011612</v>
      </c>
      <c r="I3477">
        <v>9939.240234375</v>
      </c>
      <c r="J3477">
        <v>402</v>
      </c>
    </row>
    <row r="3478" spans="1:10" x14ac:dyDescent="0.25">
      <c r="A3478">
        <v>75058</v>
      </c>
      <c r="B3478" t="str">
        <v>IRM Energy</v>
      </c>
      <c r="C3478">
        <v>-29.085415000000001</v>
      </c>
      <c r="D3478">
        <v>420.02584838867188</v>
      </c>
      <c r="E3478">
        <v>94.532257080078125</v>
      </c>
      <c r="F3478">
        <v>0.22506299614906311</v>
      </c>
      <c r="G3478">
        <v>286.14999389648438</v>
      </c>
      <c r="H3478">
        <v>0.38999998569488525</v>
      </c>
      <c r="I3478">
        <v>1169.7900390625</v>
      </c>
      <c r="J3478">
        <v>410</v>
      </c>
    </row>
    <row r="3479" spans="1:10" x14ac:dyDescent="0.25">
      <c r="A3479">
        <v>92424</v>
      </c>
      <c r="B3479" t="str">
        <v>Intellig Sup Tru</v>
      </c>
      <c r="C3479">
        <v>10.341302000000001</v>
      </c>
      <c r="D3479">
        <v>109.21875</v>
      </c>
      <c r="E3479">
        <v>5.6968622207641602</v>
      </c>
      <c r="F3479">
        <v>5.2159998565912247E-2</v>
      </c>
      <c r="G3479">
        <v>120</v>
      </c>
      <c r="H3479">
        <v>0.69999998807907104</v>
      </c>
      <c r="I3479">
        <v>3657.60009765625</v>
      </c>
      <c r="J3479">
        <v>8</v>
      </c>
    </row>
    <row r="3480" spans="1:10" x14ac:dyDescent="0.25">
      <c r="A3480">
        <v>92430</v>
      </c>
      <c r="B3480" t="str">
        <v>Max Estates</v>
      </c>
      <c r="C3480">
        <v>36.125923</v>
      </c>
      <c r="D3480">
        <v>437.1580810546875</v>
      </c>
      <c r="E3480">
        <v>123.13668060302734</v>
      </c>
      <c r="F3480">
        <v>0.28167501091957092</v>
      </c>
      <c r="G3480">
        <v>490.86248779296875</v>
      </c>
      <c r="H3480">
        <v>0.17000000178813934</v>
      </c>
      <c r="I3480">
        <v>7842.7900390625</v>
      </c>
      <c r="J3480">
        <v>408</v>
      </c>
    </row>
    <row r="3481" spans="1:10" x14ac:dyDescent="0.25">
      <c r="A3481">
        <v>14537</v>
      </c>
      <c r="B3481" t="str">
        <v>Protean eGov</v>
      </c>
      <c r="C3481">
        <v>5.0296390000000004</v>
      </c>
      <c r="D3481">
        <v>1454.99072265625</v>
      </c>
      <c r="E3481">
        <v>339.34912109375</v>
      </c>
      <c r="F3481">
        <v>0.23323099315166473</v>
      </c>
      <c r="G3481">
        <v>904.88751220703125</v>
      </c>
      <c r="H3481">
        <v>1.9999999552965164E-2</v>
      </c>
      <c r="I3481">
        <v>3604.1298828125</v>
      </c>
      <c r="J3481">
        <v>397</v>
      </c>
    </row>
    <row r="3482" spans="1:10" x14ac:dyDescent="0.25">
      <c r="A3482">
        <v>73283</v>
      </c>
      <c r="B3482" t="str">
        <v>Flair Writing</v>
      </c>
      <c r="C3482">
        <v>-39.771075000000003</v>
      </c>
      <c r="D3482">
        <v>288.76742553710938</v>
      </c>
      <c r="E3482">
        <v>38.857391357421875</v>
      </c>
      <c r="F3482">
        <v>0.13456299901008606</v>
      </c>
      <c r="G3482">
        <v>250.71249389648438</v>
      </c>
      <c r="H3482">
        <v>0.11999999731779099</v>
      </c>
      <c r="I3482">
        <v>2635.93994140625</v>
      </c>
      <c r="J3482">
        <v>385</v>
      </c>
    </row>
    <row r="3483" spans="1:10" x14ac:dyDescent="0.25">
      <c r="A3483">
        <v>38912</v>
      </c>
      <c r="B3483" t="str">
        <v>Gandhar Oil Ref.</v>
      </c>
      <c r="C3483">
        <v>-35.749468999999998</v>
      </c>
      <c r="D3483">
        <v>209.30516052246094</v>
      </c>
      <c r="E3483">
        <v>38.066009521484375</v>
      </c>
      <c r="F3483">
        <v>0.18186800181865692</v>
      </c>
      <c r="G3483">
        <v>172.60000610351563</v>
      </c>
      <c r="H3483">
        <v>5.000000074505806E-2</v>
      </c>
      <c r="I3483">
        <v>1657.5899658203125</v>
      </c>
      <c r="J3483">
        <v>386</v>
      </c>
    </row>
    <row r="3484" spans="1:10" x14ac:dyDescent="0.25">
      <c r="A3484">
        <v>18295</v>
      </c>
      <c r="B3484" t="str">
        <v>Tata Technolog.</v>
      </c>
      <c r="C3484">
        <v>-34.584724000000001</v>
      </c>
      <c r="D3484">
        <v>963.223876953125</v>
      </c>
      <c r="E3484">
        <v>168.12303161621094</v>
      </c>
      <c r="F3484">
        <v>0.17454199492931366</v>
      </c>
      <c r="G3484">
        <v>728.20001220703125</v>
      </c>
      <c r="H3484">
        <v>5.9999998658895493E-2</v>
      </c>
      <c r="I3484">
        <v>29064.119140625</v>
      </c>
      <c r="J3484">
        <v>386</v>
      </c>
    </row>
    <row r="3485" spans="1:10" x14ac:dyDescent="0.25">
      <c r="A3485">
        <v>92237</v>
      </c>
      <c r="B3485" t="str">
        <v>Azad Engineering</v>
      </c>
      <c r="C3485">
        <v>62.075947999999997</v>
      </c>
      <c r="D3485">
        <v>1460.3604736328125</v>
      </c>
      <c r="E3485">
        <v>290.441162109375</v>
      </c>
      <c r="F3485">
        <v>0.19888299703598022</v>
      </c>
      <c r="G3485">
        <v>1634.862548828125</v>
      </c>
      <c r="H3485">
        <v>0.40000000596046448</v>
      </c>
      <c r="I3485">
        <v>10675.3603515625</v>
      </c>
      <c r="J3485">
        <v>367</v>
      </c>
    </row>
    <row r="3486" spans="1:10" x14ac:dyDescent="0.25">
      <c r="A3486">
        <v>76479</v>
      </c>
      <c r="B3486" t="str">
        <v>Bajel Projects</v>
      </c>
      <c r="C3486">
        <v>1.6908589999999999</v>
      </c>
      <c r="D3486">
        <v>231.12420654296875</v>
      </c>
      <c r="E3486">
        <v>44.907367706298828</v>
      </c>
      <c r="F3486">
        <v>0.19429999589920044</v>
      </c>
      <c r="G3486">
        <v>205.01249694824219</v>
      </c>
      <c r="H3486">
        <v>9.9999997764825821E-3</v>
      </c>
      <c r="I3486">
        <v>2314.93994140625</v>
      </c>
      <c r="J3486">
        <v>373</v>
      </c>
    </row>
    <row r="3487" spans="1:10" x14ac:dyDescent="0.25">
      <c r="A3487">
        <v>40267</v>
      </c>
      <c r="B3487" t="str">
        <v>Credo Brands</v>
      </c>
      <c r="C3487">
        <v>-36.848776000000001</v>
      </c>
      <c r="D3487">
        <v>181.1484375</v>
      </c>
      <c r="E3487">
        <v>38.997745513916016</v>
      </c>
      <c r="F3487">
        <v>0.21528099477291107</v>
      </c>
      <c r="G3487">
        <v>166.48750305175781</v>
      </c>
      <c r="H3487">
        <v>0.70999997854232788</v>
      </c>
      <c r="I3487">
        <v>1062.280029296875</v>
      </c>
      <c r="J3487">
        <v>368</v>
      </c>
    </row>
    <row r="3488" spans="1:10" x14ac:dyDescent="0.25">
      <c r="A3488">
        <v>84318</v>
      </c>
      <c r="B3488" t="str">
        <v>Doms Industries</v>
      </c>
      <c r="C3488">
        <v>39.820636999999998</v>
      </c>
      <c r="D3488">
        <v>2277.9560546875</v>
      </c>
      <c r="E3488">
        <v>523.4193115234375</v>
      </c>
      <c r="F3488">
        <v>0.22977599501609802</v>
      </c>
      <c r="G3488">
        <v>2416.6875</v>
      </c>
      <c r="H3488">
        <v>0.23000000417232513</v>
      </c>
      <c r="I3488">
        <v>14573.51953125</v>
      </c>
      <c r="J3488">
        <v>372</v>
      </c>
    </row>
    <row r="3489" spans="1:10" x14ac:dyDescent="0.25">
      <c r="A3489">
        <v>24997</v>
      </c>
      <c r="B3489" t="str">
        <v>Happy Forgings</v>
      </c>
      <c r="C3489">
        <v>-4.3560639999999999</v>
      </c>
      <c r="D3489">
        <v>1017.2597045898438</v>
      </c>
      <c r="E3489">
        <v>140.96890258789063</v>
      </c>
      <c r="F3489">
        <v>0.13857699930667877</v>
      </c>
      <c r="G3489">
        <v>955.86248779296875</v>
      </c>
      <c r="H3489">
        <v>0.14000000059604645</v>
      </c>
      <c r="I3489">
        <v>9047.23046875</v>
      </c>
      <c r="J3489">
        <v>368</v>
      </c>
    </row>
    <row r="3490" spans="1:10" x14ac:dyDescent="0.25">
      <c r="A3490">
        <v>74713</v>
      </c>
      <c r="B3490" t="str">
        <v>Innova Captab</v>
      </c>
      <c r="C3490">
        <v>37.126156000000002</v>
      </c>
      <c r="D3490">
        <v>724.26007080078125</v>
      </c>
      <c r="E3490">
        <v>207.2369384765625</v>
      </c>
      <c r="F3490">
        <v>0.28613600134849548</v>
      </c>
      <c r="G3490">
        <v>844.8499755859375</v>
      </c>
      <c r="H3490">
        <v>0.41999998688697815</v>
      </c>
      <c r="I3490">
        <v>4784.85986328125</v>
      </c>
      <c r="J3490">
        <v>366</v>
      </c>
    </row>
    <row r="3491" spans="1:10" x14ac:dyDescent="0.25">
      <c r="A3491">
        <v>17240</v>
      </c>
      <c r="B3491" t="str">
        <v>Inox India</v>
      </c>
      <c r="C3491">
        <v>15.856593999999999</v>
      </c>
      <c r="D3491">
        <v>1135.08203125</v>
      </c>
      <c r="E3491">
        <v>146.69340515136719</v>
      </c>
      <c r="F3491">
        <v>0.12923599779605865</v>
      </c>
      <c r="G3491">
        <v>1173.512451171875</v>
      </c>
      <c r="H3491">
        <v>2.9999999329447746E-2</v>
      </c>
      <c r="I3491">
        <v>10519.9404296875</v>
      </c>
      <c r="J3491">
        <v>371</v>
      </c>
    </row>
    <row r="3492" spans="1:10" x14ac:dyDescent="0.25">
      <c r="A3492">
        <v>20745</v>
      </c>
      <c r="B3492" t="str">
        <v>Integ. Hitech</v>
      </c>
      <c r="C3492">
        <v>-20.683297</v>
      </c>
      <c r="D3492">
        <v>7.2980208396911621</v>
      </c>
      <c r="E3492">
        <v>1.3195739984512329</v>
      </c>
      <c r="F3492">
        <v>0.18081299960613251</v>
      </c>
      <c r="G3492">
        <v>5.0974998474121094</v>
      </c>
      <c r="H3492">
        <v>9.0000003576278687E-2</v>
      </c>
      <c r="I3492">
        <v>5.3000001907348633</v>
      </c>
      <c r="J3492">
        <v>369</v>
      </c>
    </row>
    <row r="3493" spans="1:10" x14ac:dyDescent="0.25">
      <c r="A3493">
        <v>77893</v>
      </c>
      <c r="B3493" t="str">
        <v>Motisons Jewel</v>
      </c>
      <c r="C3493">
        <v>49.639586999999999</v>
      </c>
      <c r="D3493">
        <v>20.322071075439453</v>
      </c>
      <c r="E3493">
        <v>5.1981539726257324</v>
      </c>
      <c r="F3493">
        <v>0.25578901171684265</v>
      </c>
      <c r="G3493">
        <v>20.694999694824219</v>
      </c>
      <c r="H3493">
        <v>0.60000002384185791</v>
      </c>
      <c r="I3493">
        <v>1980.72998046875</v>
      </c>
      <c r="J3493">
        <v>369</v>
      </c>
    </row>
    <row r="3494" spans="1:10" x14ac:dyDescent="0.25">
      <c r="A3494">
        <v>4452</v>
      </c>
      <c r="B3494" t="str">
        <v>Pruden. Sugar</v>
      </c>
      <c r="C3494">
        <v>23.548200999999999</v>
      </c>
      <c r="D3494">
        <v>40.126773834228516</v>
      </c>
      <c r="E3494">
        <v>16.069950103759766</v>
      </c>
      <c r="F3494">
        <v>0.4004800021648407</v>
      </c>
      <c r="G3494">
        <v>40.779998779296875</v>
      </c>
      <c r="H3494">
        <v>0.18000000715255737</v>
      </c>
      <c r="I3494">
        <v>143.97000122070313</v>
      </c>
      <c r="J3494">
        <v>361</v>
      </c>
    </row>
    <row r="3495" spans="1:10" x14ac:dyDescent="0.25">
      <c r="A3495">
        <v>91650</v>
      </c>
      <c r="B3495" t="str">
        <v>RBZ Jewellers Lt</v>
      </c>
      <c r="C3495">
        <v>25.929307000000001</v>
      </c>
      <c r="D3495">
        <v>161.26152038574219</v>
      </c>
      <c r="E3495">
        <v>28.205522537231445</v>
      </c>
      <c r="F3495">
        <v>0.17490500211715698</v>
      </c>
      <c r="G3495">
        <v>146.92500305175781</v>
      </c>
      <c r="H3495">
        <v>0.55000001192092896</v>
      </c>
      <c r="I3495">
        <v>581.79998779296875</v>
      </c>
      <c r="J3495">
        <v>368</v>
      </c>
    </row>
    <row r="3496" spans="1:10" x14ac:dyDescent="0.25">
      <c r="A3496">
        <v>76662</v>
      </c>
      <c r="B3496" t="str">
        <v>Digidrive Dist.</v>
      </c>
      <c r="C3496">
        <v>-81.055891000000003</v>
      </c>
      <c r="D3496">
        <v>41.342697143554688</v>
      </c>
      <c r="E3496">
        <v>10.485779762268066</v>
      </c>
      <c r="F3496">
        <v>0.25363099575042725</v>
      </c>
      <c r="G3496">
        <v>30.225000381469727</v>
      </c>
      <c r="H3496">
        <v>0</v>
      </c>
      <c r="I3496">
        <v>115.33999633789063</v>
      </c>
      <c r="J3496">
        <v>358</v>
      </c>
    </row>
    <row r="3497" spans="1:10" x14ac:dyDescent="0.25">
      <c r="A3497">
        <v>35435</v>
      </c>
      <c r="B3497" t="str">
        <v>Jyoti CNC Auto.</v>
      </c>
      <c r="C3497">
        <v>77.549518000000006</v>
      </c>
      <c r="D3497">
        <v>1034.24658203125</v>
      </c>
      <c r="E3497">
        <v>241.55630493164063</v>
      </c>
      <c r="F3497">
        <v>0.23355799913406372</v>
      </c>
      <c r="G3497">
        <v>1113.925048828125</v>
      </c>
      <c r="H3497">
        <v>0.31999999284744263</v>
      </c>
      <c r="I3497">
        <v>25049.51953125</v>
      </c>
      <c r="J3497">
        <v>354</v>
      </c>
    </row>
    <row r="3498" spans="1:10" x14ac:dyDescent="0.25">
      <c r="A3498">
        <v>75648</v>
      </c>
      <c r="B3498" t="str">
        <v>Medi Assist Ser.</v>
      </c>
      <c r="C3498">
        <v>1.9446099999999999</v>
      </c>
      <c r="D3498">
        <v>537.4664306640625</v>
      </c>
      <c r="E3498">
        <v>66.364097595214844</v>
      </c>
      <c r="F3498">
        <v>0.12347599864006042</v>
      </c>
      <c r="G3498">
        <v>484.26251220703125</v>
      </c>
      <c r="H3498">
        <v>9.9999997764825821E-3</v>
      </c>
      <c r="I3498">
        <v>3378.070068359375</v>
      </c>
      <c r="J3498">
        <v>349</v>
      </c>
    </row>
    <row r="3499" spans="1:10" x14ac:dyDescent="0.25">
      <c r="A3499">
        <v>76340</v>
      </c>
      <c r="B3499" t="str">
        <v>Sayaji (Indore)</v>
      </c>
      <c r="C3499">
        <v>226.06267199999999</v>
      </c>
      <c r="D3499">
        <v>859.490966796875</v>
      </c>
      <c r="E3499">
        <v>320.01376342773438</v>
      </c>
      <c r="F3499">
        <v>0.3723289966583252</v>
      </c>
      <c r="G3499">
        <v>1152.3250732421875</v>
      </c>
      <c r="H3499">
        <v>0.76999998092651367</v>
      </c>
      <c r="I3499">
        <v>351.05999755859375</v>
      </c>
      <c r="J3499">
        <v>308</v>
      </c>
    </row>
    <row r="3500" spans="1:10" x14ac:dyDescent="0.25">
      <c r="A3500">
        <v>4741</v>
      </c>
      <c r="B3500" t="str">
        <v>Shakti Press</v>
      </c>
      <c r="C3500">
        <v>63.478639999999999</v>
      </c>
      <c r="D3500">
        <v>30.857624053955078</v>
      </c>
      <c r="E3500">
        <v>4.6803498268127441</v>
      </c>
      <c r="F3500">
        <v>0.1516759991645813</v>
      </c>
      <c r="G3500">
        <v>26.809999465942383</v>
      </c>
      <c r="H3500">
        <v>0.67000001668930054</v>
      </c>
      <c r="I3500">
        <v>9.1999998092651367</v>
      </c>
      <c r="J3500">
        <v>349</v>
      </c>
    </row>
    <row r="3501" spans="1:10" x14ac:dyDescent="0.25">
      <c r="A3501">
        <v>24029</v>
      </c>
      <c r="B3501" t="str">
        <v>Apeejay Surrend.</v>
      </c>
      <c r="C3501">
        <v>-14.343342</v>
      </c>
      <c r="D3501">
        <v>175.18801879882813</v>
      </c>
      <c r="E3501">
        <v>19.629905700683594</v>
      </c>
      <c r="F3501">
        <v>0.11204999685287476</v>
      </c>
      <c r="G3501">
        <v>160.86250305175781</v>
      </c>
      <c r="H3501">
        <v>0.40000000596046448</v>
      </c>
      <c r="I3501">
        <v>3356.3798828125</v>
      </c>
      <c r="J3501">
        <v>336</v>
      </c>
    </row>
    <row r="3502" spans="1:10" x14ac:dyDescent="0.25">
      <c r="A3502">
        <v>91812</v>
      </c>
      <c r="B3502" t="str">
        <v>BLS E-Services</v>
      </c>
      <c r="C3502">
        <v>-38.816828999999998</v>
      </c>
      <c r="D3502">
        <v>231.86465454101563</v>
      </c>
      <c r="E3502">
        <v>58.773204803466797</v>
      </c>
      <c r="F3502">
        <v>0.25348100066184998</v>
      </c>
      <c r="G3502">
        <v>193.375</v>
      </c>
      <c r="H3502">
        <v>0.14000000059604645</v>
      </c>
      <c r="I3502">
        <v>1704.9200439453125</v>
      </c>
      <c r="J3502">
        <v>340</v>
      </c>
    </row>
    <row r="3503" spans="1:10" x14ac:dyDescent="0.25">
      <c r="A3503">
        <v>28131</v>
      </c>
      <c r="B3503" t="str">
        <v>Capital Small</v>
      </c>
      <c r="C3503">
        <v>-28.025780000000001</v>
      </c>
      <c r="D3503">
        <v>313.50173950195313</v>
      </c>
      <c r="E3503">
        <v>36.775081634521484</v>
      </c>
      <c r="F3503">
        <v>0.1173039972782135</v>
      </c>
      <c r="G3503">
        <v>296.28750610351563</v>
      </c>
      <c r="H3503">
        <v>0</v>
      </c>
      <c r="I3503">
        <v>1325.280029296875</v>
      </c>
      <c r="J3503">
        <v>334</v>
      </c>
    </row>
    <row r="3504" spans="1:10" x14ac:dyDescent="0.25">
      <c r="A3504">
        <v>91925</v>
      </c>
      <c r="B3504" t="str">
        <v>Entero Healthcar</v>
      </c>
      <c r="C3504">
        <v>-3.540343</v>
      </c>
      <c r="D3504">
        <v>1244.4249267578125</v>
      </c>
      <c r="E3504">
        <v>147.548828125</v>
      </c>
      <c r="F3504">
        <v>0.11856800317764282</v>
      </c>
      <c r="G3504">
        <v>1142.699951171875</v>
      </c>
      <c r="H3504">
        <v>5.9999998658895493E-2</v>
      </c>
      <c r="I3504">
        <v>4958.06005859375</v>
      </c>
      <c r="J3504">
        <v>332</v>
      </c>
    </row>
    <row r="3505" spans="1:10" x14ac:dyDescent="0.25">
      <c r="A3505">
        <v>90914</v>
      </c>
      <c r="B3505" t="str">
        <v>Epack Durable</v>
      </c>
      <c r="C3505">
        <v>33.155743999999999</v>
      </c>
      <c r="D3505">
        <v>322.42587280273438</v>
      </c>
      <c r="E3505">
        <v>113.02828216552734</v>
      </c>
      <c r="F3505">
        <v>0.35055598616600037</v>
      </c>
      <c r="G3505">
        <v>335.97500610351563</v>
      </c>
      <c r="H3505">
        <v>0.75</v>
      </c>
      <c r="I3505">
        <v>3186.610107421875</v>
      </c>
      <c r="J3505">
        <v>345</v>
      </c>
    </row>
    <row r="3506" spans="1:10" x14ac:dyDescent="0.25">
      <c r="A3506">
        <v>40768</v>
      </c>
      <c r="B3506" t="str">
        <v>Jana Small Finan</v>
      </c>
      <c r="C3506">
        <v>18.384201999999998</v>
      </c>
      <c r="D3506">
        <v>505.63125610351563</v>
      </c>
      <c r="E3506">
        <v>95.999649047851563</v>
      </c>
      <c r="F3506">
        <v>0.189860999584198</v>
      </c>
      <c r="G3506">
        <v>489.91250610351563</v>
      </c>
      <c r="H3506">
        <v>0</v>
      </c>
      <c r="I3506">
        <v>5134.72998046875</v>
      </c>
      <c r="J3506">
        <v>334</v>
      </c>
    </row>
    <row r="3507" spans="1:10" x14ac:dyDescent="0.25">
      <c r="A3507">
        <v>75791</v>
      </c>
      <c r="B3507" t="str">
        <v>Jasch Gauging</v>
      </c>
      <c r="C3507">
        <v>23.754258</v>
      </c>
      <c r="D3507">
        <v>613.175537109375</v>
      </c>
      <c r="E3507">
        <v>66.465187072753906</v>
      </c>
      <c r="F3507">
        <v>0.10839500278234482</v>
      </c>
      <c r="G3507">
        <v>557.2125244140625</v>
      </c>
      <c r="H3507">
        <v>0</v>
      </c>
      <c r="I3507">
        <v>250.75999450683594</v>
      </c>
      <c r="J3507">
        <v>335</v>
      </c>
    </row>
    <row r="3508" spans="1:10" x14ac:dyDescent="0.25">
      <c r="A3508">
        <v>1311</v>
      </c>
      <c r="B3508" t="str">
        <v>Modern Threads</v>
      </c>
      <c r="C3508">
        <v>73.780705999999995</v>
      </c>
      <c r="D3508">
        <v>53.214191436767578</v>
      </c>
      <c r="E3508">
        <v>10.556365013122559</v>
      </c>
      <c r="F3508">
        <v>0.19837500154972076</v>
      </c>
      <c r="G3508">
        <v>51.029998779296875</v>
      </c>
      <c r="H3508">
        <v>1.9999999552965164E-2</v>
      </c>
      <c r="I3508">
        <v>177.46000671386719</v>
      </c>
      <c r="J3508">
        <v>308</v>
      </c>
    </row>
    <row r="3509" spans="1:10" x14ac:dyDescent="0.25">
      <c r="A3509">
        <v>74102</v>
      </c>
      <c r="B3509" t="str">
        <v>Nova Agritech</v>
      </c>
      <c r="C3509">
        <v>-10.546977</v>
      </c>
      <c r="D3509">
        <v>59.924522399902344</v>
      </c>
      <c r="E3509">
        <v>9.907597541809082</v>
      </c>
      <c r="F3509">
        <v>0.16533499956130981</v>
      </c>
      <c r="G3509">
        <v>49.275001525878906</v>
      </c>
      <c r="H3509">
        <v>0.43000000715255737</v>
      </c>
      <c r="I3509">
        <v>446.41000366210938</v>
      </c>
      <c r="J3509">
        <v>344</v>
      </c>
    </row>
    <row r="3510" spans="1:10" x14ac:dyDescent="0.25">
      <c r="A3510">
        <v>34928</v>
      </c>
      <c r="B3510" t="str">
        <v>Rashi Peripheral</v>
      </c>
      <c r="C3510">
        <v>-6.9707039999999996</v>
      </c>
      <c r="D3510">
        <v>351.06967163085938</v>
      </c>
      <c r="E3510">
        <v>47.131328582763672</v>
      </c>
      <c r="F3510">
        <v>0.13425099849700928</v>
      </c>
      <c r="G3510">
        <v>299.21249389648438</v>
      </c>
      <c r="H3510">
        <v>0.79000002145767212</v>
      </c>
      <c r="I3510">
        <v>1944.3699951171875</v>
      </c>
      <c r="J3510">
        <v>334</v>
      </c>
    </row>
    <row r="3511" spans="1:10" x14ac:dyDescent="0.25">
      <c r="A3511">
        <v>73405</v>
      </c>
      <c r="B3511" t="str">
        <v>Sayaji Hot. Pune</v>
      </c>
      <c r="C3511">
        <v>194.93580600000001</v>
      </c>
      <c r="D3511">
        <v>707.92596435546875</v>
      </c>
      <c r="E3511">
        <v>202.71546936035156</v>
      </c>
      <c r="F3511">
        <v>0.28635099530220032</v>
      </c>
      <c r="G3511">
        <v>806.82501220703125</v>
      </c>
      <c r="H3511">
        <v>9.0000003576278687E-2</v>
      </c>
      <c r="I3511">
        <v>248.30000305175781</v>
      </c>
      <c r="J3511">
        <v>327</v>
      </c>
    </row>
    <row r="3512" spans="1:10" x14ac:dyDescent="0.25">
      <c r="A3512">
        <v>69820</v>
      </c>
      <c r="B3512" t="str">
        <v>Signpost India</v>
      </c>
      <c r="C3512">
        <v>-36.280974999999998</v>
      </c>
      <c r="D3512">
        <v>282.23861694335938</v>
      </c>
      <c r="E3512">
        <v>61.635261535644531</v>
      </c>
      <c r="F3512">
        <v>0.21838000416755676</v>
      </c>
      <c r="G3512">
        <v>185.91250610351563</v>
      </c>
      <c r="H3512">
        <v>0.75999999046325684</v>
      </c>
      <c r="I3512">
        <v>980.010009765625</v>
      </c>
      <c r="J3512">
        <v>334</v>
      </c>
    </row>
    <row r="3513" spans="1:10" x14ac:dyDescent="0.25">
      <c r="A3513">
        <v>3028</v>
      </c>
      <c r="B3513" t="str">
        <v>Soma Papers</v>
      </c>
      <c r="C3513">
        <v>93.005724999999998</v>
      </c>
      <c r="D3513">
        <v>70.51422119140625</v>
      </c>
      <c r="E3513">
        <v>17.384798049926758</v>
      </c>
      <c r="F3513">
        <v>0.24654300510883331</v>
      </c>
      <c r="G3513">
        <v>72.300003051757813</v>
      </c>
      <c r="H3513">
        <v>5.9999998658895493E-2</v>
      </c>
      <c r="I3513">
        <v>10.119999885559082</v>
      </c>
      <c r="J3513">
        <v>184</v>
      </c>
    </row>
    <row r="3514" spans="1:10" x14ac:dyDescent="0.25">
      <c r="A3514">
        <v>4528</v>
      </c>
      <c r="B3514" t="str">
        <v>Dugar Housing</v>
      </c>
      <c r="C3514">
        <v>208.24028200000001</v>
      </c>
      <c r="D3514">
        <v>26.668272018432617</v>
      </c>
      <c r="E3514">
        <v>15.067653656005859</v>
      </c>
      <c r="F3514">
        <v>0.56500297784805298</v>
      </c>
      <c r="G3514">
        <v>52.830001831054688</v>
      </c>
      <c r="H3514">
        <v>0</v>
      </c>
      <c r="I3514">
        <v>1.5800000429153442</v>
      </c>
      <c r="J3514">
        <v>52</v>
      </c>
    </row>
    <row r="3515" spans="1:10" x14ac:dyDescent="0.25">
      <c r="A3515">
        <v>39628</v>
      </c>
      <c r="B3515" t="str">
        <v>Exicom Tele-Sys.</v>
      </c>
      <c r="C3515">
        <v>-23.717655000000001</v>
      </c>
      <c r="D3515">
        <v>274.119384765625</v>
      </c>
      <c r="E3515">
        <v>92.025054931640625</v>
      </c>
      <c r="F3515">
        <v>0.33571198582649231</v>
      </c>
      <c r="G3515">
        <v>179.16250610351563</v>
      </c>
      <c r="H3515">
        <v>0.20999999344348907</v>
      </c>
      <c r="I3515">
        <v>2125.5</v>
      </c>
      <c r="J3515">
        <v>319</v>
      </c>
    </row>
    <row r="3516" spans="1:10" x14ac:dyDescent="0.25">
      <c r="A3516">
        <v>37434</v>
      </c>
      <c r="B3516" t="str">
        <v>GPT Healthcare</v>
      </c>
      <c r="C3516">
        <v>-26.313796</v>
      </c>
      <c r="D3516">
        <v>166.48390197753906</v>
      </c>
      <c r="E3516">
        <v>15.665841102600098</v>
      </c>
      <c r="F3516">
        <v>9.4098001718521118E-2</v>
      </c>
      <c r="G3516">
        <v>145.86250305175781</v>
      </c>
      <c r="H3516">
        <v>0.28999999165534973</v>
      </c>
      <c r="I3516">
        <v>1189.3800048828125</v>
      </c>
      <c r="J3516">
        <v>323</v>
      </c>
    </row>
    <row r="3517" spans="1:10" x14ac:dyDescent="0.25">
      <c r="A3517">
        <v>77239</v>
      </c>
      <c r="B3517" t="str">
        <v>Gopal Snacks</v>
      </c>
      <c r="C3517">
        <v>0.407858</v>
      </c>
      <c r="D3517">
        <v>348.24301147460938</v>
      </c>
      <c r="E3517">
        <v>55.196964263916016</v>
      </c>
      <c r="F3517">
        <v>0.15850099921226501</v>
      </c>
      <c r="G3517">
        <v>361.11248779296875</v>
      </c>
      <c r="H3517">
        <v>0.25999999046325684</v>
      </c>
      <c r="I3517">
        <v>4470.830078125</v>
      </c>
      <c r="J3517">
        <v>313</v>
      </c>
    </row>
    <row r="3518" spans="1:10" x14ac:dyDescent="0.25">
      <c r="A3518">
        <v>78427</v>
      </c>
      <c r="B3518" t="str">
        <v>Indus Inf. Trust</v>
      </c>
      <c r="C3518">
        <v>5.4328190000000003</v>
      </c>
      <c r="D3518">
        <v>109.79879760742188</v>
      </c>
      <c r="E3518">
        <v>3.2358129024505615</v>
      </c>
      <c r="F3518">
        <v>2.9470000416040421E-2</v>
      </c>
      <c r="G3518">
        <v>109.54000091552734</v>
      </c>
      <c r="H3518">
        <v>0.10000000149011612</v>
      </c>
      <c r="I3518">
        <v>4858.14990234375</v>
      </c>
      <c r="J3518">
        <v>315</v>
      </c>
    </row>
    <row r="3519" spans="1:10" x14ac:dyDescent="0.25">
      <c r="A3519">
        <v>78417</v>
      </c>
      <c r="B3519" t="str">
        <v>J.G.Chemicals</v>
      </c>
      <c r="C3519">
        <v>57.483441999999997</v>
      </c>
      <c r="D3519">
        <v>327.93096923828125</v>
      </c>
      <c r="E3519">
        <v>72.736976623535156</v>
      </c>
      <c r="F3519">
        <v>0.22180600464344025</v>
      </c>
      <c r="G3519">
        <v>391.22500610351563</v>
      </c>
      <c r="H3519">
        <v>2.9999999329447746E-2</v>
      </c>
      <c r="I3519">
        <v>1499.6500244140625</v>
      </c>
      <c r="J3519">
        <v>314</v>
      </c>
    </row>
    <row r="3520" spans="1:10" x14ac:dyDescent="0.25">
      <c r="A3520">
        <v>91701</v>
      </c>
      <c r="B3520" t="str">
        <v>Platinum Industr</v>
      </c>
      <c r="C3520">
        <v>13.093588</v>
      </c>
      <c r="D3520">
        <v>305.44146728515625</v>
      </c>
      <c r="E3520">
        <v>90.404808044433594</v>
      </c>
      <c r="F3520">
        <v>0.29598098993301392</v>
      </c>
      <c r="G3520">
        <v>267.23748779296875</v>
      </c>
      <c r="H3520">
        <v>5.9999998658895493E-2</v>
      </c>
      <c r="I3520">
        <v>1454.9599609375</v>
      </c>
      <c r="J3520">
        <v>319</v>
      </c>
    </row>
    <row r="3521" spans="1:10" x14ac:dyDescent="0.25">
      <c r="A3521">
        <v>4554</v>
      </c>
      <c r="B3521" t="str">
        <v>Premium Capital</v>
      </c>
      <c r="C3521">
        <v>119.844111</v>
      </c>
      <c r="D3521">
        <v>4.192500114440918</v>
      </c>
      <c r="E3521">
        <v>1.2237800359725952</v>
      </c>
      <c r="F3521">
        <v>0.2918969988822937</v>
      </c>
      <c r="G3521">
        <v>6.190000057220459</v>
      </c>
      <c r="H3521">
        <v>0</v>
      </c>
      <c r="I3521">
        <v>4.059999942779541</v>
      </c>
      <c r="J3521">
        <v>70</v>
      </c>
    </row>
    <row r="3522" spans="1:10" x14ac:dyDescent="0.25">
      <c r="A3522">
        <v>13703</v>
      </c>
      <c r="B3522" t="str">
        <v>R K Swamy</v>
      </c>
      <c r="C3522">
        <v>-25.405438</v>
      </c>
      <c r="D3522">
        <v>245.18313598632813</v>
      </c>
      <c r="E3522">
        <v>29.824769973754883</v>
      </c>
      <c r="F3522">
        <v>0.12164299935102463</v>
      </c>
      <c r="G3522">
        <v>187.48750305175781</v>
      </c>
      <c r="H3522">
        <v>0.2800000011920929</v>
      </c>
      <c r="I3522">
        <v>940.4000244140625</v>
      </c>
      <c r="J3522">
        <v>315</v>
      </c>
    </row>
    <row r="3523" spans="1:10" x14ac:dyDescent="0.25">
      <c r="A3523">
        <v>5499</v>
      </c>
      <c r="B3523" t="str">
        <v>Swadha Nature</v>
      </c>
      <c r="C3523">
        <v>39.623992000000001</v>
      </c>
      <c r="D3523">
        <v>10.936691284179688</v>
      </c>
      <c r="E3523">
        <v>1.2846649885177612</v>
      </c>
      <c r="F3523">
        <v>0.11746399849653244</v>
      </c>
      <c r="G3523">
        <v>11.6875</v>
      </c>
      <c r="H3523">
        <v>0.81000000238418579</v>
      </c>
      <c r="I3523">
        <v>4.7600002288818359</v>
      </c>
      <c r="J3523">
        <v>68</v>
      </c>
    </row>
    <row r="3524" spans="1:10" x14ac:dyDescent="0.25">
      <c r="A3524">
        <v>54811</v>
      </c>
      <c r="B3524" t="str">
        <v>VIRAT LEASING</v>
      </c>
      <c r="C3524">
        <v>122.647104</v>
      </c>
      <c r="D3524">
        <v>42.882877349853516</v>
      </c>
      <c r="E3524">
        <v>12.119846343994141</v>
      </c>
      <c r="F3524">
        <v>0.28262698650360107</v>
      </c>
      <c r="G3524">
        <v>37.330001831054688</v>
      </c>
      <c r="H3524">
        <v>5.000000074505806E-2</v>
      </c>
      <c r="I3524">
        <v>96.910003662109375</v>
      </c>
      <c r="J3524">
        <v>273</v>
      </c>
    </row>
    <row r="3525" spans="1:10" x14ac:dyDescent="0.25">
      <c r="A3525">
        <v>340</v>
      </c>
      <c r="B3525" t="str">
        <v>Kothari Indl</v>
      </c>
      <c r="C3525">
        <v>751.68913799999996</v>
      </c>
      <c r="D3525">
        <v>100.80596923828125</v>
      </c>
      <c r="E3525">
        <v>115.70549774169922</v>
      </c>
      <c r="F3525">
        <v>1.1478040218353271</v>
      </c>
      <c r="G3525">
        <v>316.75</v>
      </c>
      <c r="H3525">
        <v>0</v>
      </c>
      <c r="I3525">
        <v>2969</v>
      </c>
      <c r="J3525">
        <v>290</v>
      </c>
    </row>
    <row r="3526" spans="1:10" x14ac:dyDescent="0.25">
      <c r="A3526">
        <v>77085</v>
      </c>
      <c r="B3526" t="str">
        <v>Krystal Integrat</v>
      </c>
      <c r="C3526">
        <v>-19.238309999999998</v>
      </c>
      <c r="D3526">
        <v>681.833984375</v>
      </c>
      <c r="E3526">
        <v>117.22693634033203</v>
      </c>
      <c r="F3526">
        <v>0.1719290018081665</v>
      </c>
      <c r="G3526">
        <v>587.29998779296875</v>
      </c>
      <c r="H3526">
        <v>0.25999999046325684</v>
      </c>
      <c r="I3526">
        <v>840.1300048828125</v>
      </c>
      <c r="J3526">
        <v>308</v>
      </c>
    </row>
    <row r="3527" spans="1:10" x14ac:dyDescent="0.25">
      <c r="A3527">
        <v>24200</v>
      </c>
      <c r="B3527" t="str">
        <v>Manglam Global</v>
      </c>
      <c r="C3527">
        <v>0</v>
      </c>
      <c r="D3527">
        <v>10.5</v>
      </c>
      <c r="E3527">
        <v>0</v>
      </c>
      <c r="F3527">
        <v>0</v>
      </c>
      <c r="G3527">
        <v>10.5</v>
      </c>
      <c r="H3527">
        <v>0</v>
      </c>
      <c r="I3527">
        <v>3.309999942779541</v>
      </c>
      <c r="J3527">
        <v>1</v>
      </c>
    </row>
    <row r="3528" spans="1:10" x14ac:dyDescent="0.25">
      <c r="A3528">
        <v>25954</v>
      </c>
      <c r="B3528" t="str">
        <v>RRPSemiconductor</v>
      </c>
      <c r="C3528">
        <v>665.25754500000005</v>
      </c>
      <c r="D3528">
        <v>431.81326293945313</v>
      </c>
      <c r="E3528">
        <v>454.59756469726563</v>
      </c>
      <c r="F3528">
        <v>1.0527640581130981</v>
      </c>
      <c r="G3528">
        <v>1761.800048828125</v>
      </c>
      <c r="H3528">
        <v>0</v>
      </c>
      <c r="I3528">
        <v>2400.280029296875</v>
      </c>
      <c r="J3528">
        <v>204</v>
      </c>
    </row>
    <row r="3529" spans="1:10" x14ac:dyDescent="0.25">
      <c r="A3529">
        <v>92229</v>
      </c>
      <c r="B3529" t="str">
        <v>SRM Contractors</v>
      </c>
      <c r="C3529">
        <v>57.230708999999997</v>
      </c>
      <c r="D3529">
        <v>291.73507690429688</v>
      </c>
      <c r="E3529">
        <v>75.744232177734375</v>
      </c>
      <c r="F3529">
        <v>0.25963398814201355</v>
      </c>
      <c r="G3529">
        <v>435.98748779296875</v>
      </c>
      <c r="H3529">
        <v>0.5</v>
      </c>
      <c r="I3529">
        <v>1003.239990234375</v>
      </c>
      <c r="J3529">
        <v>301</v>
      </c>
    </row>
    <row r="3530" spans="1:10" x14ac:dyDescent="0.25">
      <c r="A3530">
        <v>76811</v>
      </c>
      <c r="B3530" t="str">
        <v>Shipping Land</v>
      </c>
      <c r="C3530">
        <v>13.340228</v>
      </c>
      <c r="D3530">
        <v>65.109176635742188</v>
      </c>
      <c r="E3530">
        <v>15.142853736877441</v>
      </c>
      <c r="F3530">
        <v>0.23257599771022797</v>
      </c>
      <c r="G3530">
        <v>53.797500610351563</v>
      </c>
      <c r="H3530">
        <v>0</v>
      </c>
      <c r="I3530">
        <v>2479.449951171875</v>
      </c>
      <c r="J3530">
        <v>310</v>
      </c>
    </row>
    <row r="3531" spans="1:10" x14ac:dyDescent="0.25">
      <c r="A3531">
        <v>78051</v>
      </c>
      <c r="B3531" t="str">
        <v>Anzen IYEP Trust</v>
      </c>
      <c r="C3531">
        <v>8.7855749999999997</v>
      </c>
      <c r="D3531">
        <v>105.56999969482422</v>
      </c>
      <c r="E3531">
        <v>4.0652141571044922</v>
      </c>
      <c r="F3531">
        <v>3.8506999611854553E-2</v>
      </c>
      <c r="G3531">
        <v>112.55999755859375</v>
      </c>
      <c r="H3531">
        <v>0.4699999988079071</v>
      </c>
      <c r="I3531">
        <v>2208.360107421875</v>
      </c>
      <c r="J3531">
        <v>22</v>
      </c>
    </row>
    <row r="3532" spans="1:10" x14ac:dyDescent="0.25">
      <c r="A3532">
        <v>18705</v>
      </c>
      <c r="B3532" t="str">
        <v>Bengal Steel</v>
      </c>
      <c r="C3532">
        <v>41228.882962000003</v>
      </c>
      <c r="D3532">
        <v>3.5000000149011612E-2</v>
      </c>
      <c r="E3532">
        <v>1.2910000048577785E-2</v>
      </c>
      <c r="F3532">
        <v>0.36885601282119751</v>
      </c>
      <c r="G3532">
        <v>5.000000074505806E-2</v>
      </c>
      <c r="H3532">
        <v>0</v>
      </c>
      <c r="I3532">
        <v>1.9999999552965164E-2</v>
      </c>
      <c r="J3532">
        <v>4</v>
      </c>
    </row>
    <row r="3533" spans="1:10" x14ac:dyDescent="0.25">
      <c r="A3533">
        <v>71563</v>
      </c>
      <c r="B3533" t="str">
        <v>D.P. Abhushan</v>
      </c>
      <c r="C3533">
        <v>21.624786</v>
      </c>
      <c r="D3533">
        <v>1463.0059814453125</v>
      </c>
      <c r="E3533">
        <v>184.08624267578125</v>
      </c>
      <c r="F3533">
        <v>0.12582699954509735</v>
      </c>
      <c r="G3533">
        <v>1417.1624755859375</v>
      </c>
      <c r="H3533">
        <v>0.70999997854232788</v>
      </c>
      <c r="I3533">
        <v>3179.030029296875</v>
      </c>
      <c r="J3533">
        <v>294</v>
      </c>
    </row>
    <row r="3534" spans="1:10" x14ac:dyDescent="0.25">
      <c r="A3534">
        <v>91866</v>
      </c>
      <c r="B3534" t="str">
        <v>JNK</v>
      </c>
      <c r="C3534">
        <v>-49.280892999999999</v>
      </c>
      <c r="D3534">
        <v>576.73150634765625</v>
      </c>
      <c r="E3534">
        <v>163.158203125</v>
      </c>
      <c r="F3534">
        <v>0.28290200233459473</v>
      </c>
      <c r="G3534">
        <v>363.25</v>
      </c>
      <c r="H3534">
        <v>0.34999999403953552</v>
      </c>
      <c r="I3534">
        <v>1999.7900390625</v>
      </c>
      <c r="J3534">
        <v>284</v>
      </c>
    </row>
    <row r="3535" spans="1:10" x14ac:dyDescent="0.25">
      <c r="A3535">
        <v>6760</v>
      </c>
      <c r="B3535" t="str">
        <v>Mizzen Ventures</v>
      </c>
      <c r="C3535">
        <v>436.53043400000001</v>
      </c>
      <c r="D3535">
        <v>118.23767852783203</v>
      </c>
      <c r="E3535">
        <v>87.361343383789063</v>
      </c>
      <c r="F3535">
        <v>0.73886197805404663</v>
      </c>
      <c r="G3535">
        <v>285.72500610351563</v>
      </c>
      <c r="H3535">
        <v>0</v>
      </c>
      <c r="I3535">
        <v>599.219970703125</v>
      </c>
      <c r="J3535">
        <v>179</v>
      </c>
    </row>
    <row r="3536" spans="1:10" x14ac:dyDescent="0.25">
      <c r="A3536">
        <v>7130</v>
      </c>
      <c r="B3536" t="str">
        <v>Prime Capital Ma</v>
      </c>
      <c r="C3536">
        <v>-0.34303400000000001</v>
      </c>
      <c r="D3536">
        <v>10.04395866394043</v>
      </c>
      <c r="E3536">
        <v>2.948707103729248</v>
      </c>
      <c r="F3536">
        <v>0.29357999563217163</v>
      </c>
      <c r="G3536">
        <v>7.6550002098083496</v>
      </c>
      <c r="H3536">
        <v>1.9999999552965164E-2</v>
      </c>
      <c r="I3536">
        <v>7.4600000381469727</v>
      </c>
      <c r="J3536">
        <v>233</v>
      </c>
    </row>
    <row r="3537" spans="1:10" x14ac:dyDescent="0.25">
      <c r="A3537">
        <v>2311</v>
      </c>
      <c r="B3537" t="str">
        <v>Triliance Poly</v>
      </c>
      <c r="C3537">
        <v>154.74518399999999</v>
      </c>
      <c r="D3537">
        <v>60.469696044921875</v>
      </c>
      <c r="E3537">
        <v>16.946962356567383</v>
      </c>
      <c r="F3537">
        <v>0.28025498986244202</v>
      </c>
      <c r="G3537">
        <v>62</v>
      </c>
      <c r="H3537">
        <v>1.9999999552965164E-2</v>
      </c>
      <c r="I3537">
        <v>31.680000305175781</v>
      </c>
      <c r="J3537">
        <v>215</v>
      </c>
    </row>
    <row r="3538" spans="1:10" x14ac:dyDescent="0.25">
      <c r="A3538">
        <v>79000</v>
      </c>
      <c r="B3538" t="str">
        <v>Cube Highways</v>
      </c>
      <c r="C3538">
        <v>18.812231000000001</v>
      </c>
      <c r="D3538">
        <v>120.50405120849609</v>
      </c>
      <c r="E3538">
        <v>3.8607490062713623</v>
      </c>
      <c r="F3538">
        <v>3.2037999480962753E-2</v>
      </c>
      <c r="G3538">
        <v>120</v>
      </c>
      <c r="H3538">
        <v>0.75</v>
      </c>
      <c r="I3538">
        <v>16013.3798828125</v>
      </c>
      <c r="J3538">
        <v>34</v>
      </c>
    </row>
    <row r="3539" spans="1:10" x14ac:dyDescent="0.25">
      <c r="A3539">
        <v>72780</v>
      </c>
      <c r="B3539" t="str">
        <v>Go Digit General</v>
      </c>
      <c r="C3539">
        <v>13.694006999999999</v>
      </c>
      <c r="D3539">
        <v>328.18569946289063</v>
      </c>
      <c r="E3539">
        <v>28.835857391357422</v>
      </c>
      <c r="F3539">
        <v>8.7863996624946594E-2</v>
      </c>
      <c r="G3539">
        <v>341.58749389648438</v>
      </c>
      <c r="H3539">
        <v>7.0000000298023224E-2</v>
      </c>
      <c r="I3539">
        <v>31202.05078125</v>
      </c>
      <c r="J3539">
        <v>268</v>
      </c>
    </row>
    <row r="3540" spans="1:10" x14ac:dyDescent="0.25">
      <c r="A3540">
        <v>43575</v>
      </c>
      <c r="B3540" t="str">
        <v>Indegene</v>
      </c>
      <c r="C3540">
        <v>-4.2241730000000004</v>
      </c>
      <c r="D3540">
        <v>597.78424072265625</v>
      </c>
      <c r="E3540">
        <v>49.446174621582031</v>
      </c>
      <c r="F3540">
        <v>8.2716003060340881E-2</v>
      </c>
      <c r="G3540">
        <v>576.7750244140625</v>
      </c>
      <c r="H3540">
        <v>1.9999999552965164E-2</v>
      </c>
      <c r="I3540">
        <v>13754.7001953125</v>
      </c>
      <c r="J3540">
        <v>276</v>
      </c>
    </row>
    <row r="3541" spans="1:10" x14ac:dyDescent="0.25">
      <c r="A3541">
        <v>2003</v>
      </c>
      <c r="B3541" t="str">
        <v>PS IT Infra</v>
      </c>
      <c r="C3541">
        <v>-209.840442</v>
      </c>
      <c r="D3541">
        <v>5.808722972869873</v>
      </c>
      <c r="E3541">
        <v>5.7573938369750977</v>
      </c>
      <c r="F3541">
        <v>0.99116301536560059</v>
      </c>
      <c r="G3541">
        <v>0.97000002861022949</v>
      </c>
      <c r="H3541">
        <v>9.9999997764825821E-3</v>
      </c>
      <c r="I3541">
        <v>5.2100000381469727</v>
      </c>
      <c r="J3541">
        <v>276</v>
      </c>
    </row>
    <row r="3542" spans="1:10" x14ac:dyDescent="0.25">
      <c r="A3542">
        <v>69551</v>
      </c>
      <c r="B3542" t="str">
        <v>TBO Tek</v>
      </c>
      <c r="C3542">
        <v>-6.0357440000000002</v>
      </c>
      <c r="D3542">
        <v>1536.0997314453125</v>
      </c>
      <c r="E3542">
        <v>231.07365417480469</v>
      </c>
      <c r="F3542">
        <v>0.15042899549007416</v>
      </c>
      <c r="G3542">
        <v>1289.824951171875</v>
      </c>
      <c r="H3542">
        <v>0.23999999463558197</v>
      </c>
      <c r="I3542">
        <v>13671.75</v>
      </c>
      <c r="J3542">
        <v>274</v>
      </c>
    </row>
    <row r="3543" spans="1:10" x14ac:dyDescent="0.25">
      <c r="A3543">
        <v>15146</v>
      </c>
      <c r="B3543" t="str">
        <v>Adtech Systems</v>
      </c>
      <c r="C3543">
        <v>9.4305099999999999</v>
      </c>
      <c r="D3543">
        <v>89.428688049316406</v>
      </c>
      <c r="E3543">
        <v>25.066356658935547</v>
      </c>
      <c r="F3543">
        <v>0.28029400110244751</v>
      </c>
      <c r="G3543">
        <v>70.154998779296875</v>
      </c>
      <c r="H3543">
        <v>0.15999999642372131</v>
      </c>
      <c r="I3543">
        <v>82.370002746582031</v>
      </c>
      <c r="J3543">
        <v>250</v>
      </c>
    </row>
    <row r="3544" spans="1:10" x14ac:dyDescent="0.25">
      <c r="A3544">
        <v>76484</v>
      </c>
      <c r="B3544" t="str">
        <v>Borosil Scienti.</v>
      </c>
      <c r="C3544">
        <v>-17.364007999999998</v>
      </c>
      <c r="D3544">
        <v>166.40528869628906</v>
      </c>
      <c r="E3544">
        <v>27.828985214233398</v>
      </c>
      <c r="F3544">
        <v>0.16723600029945374</v>
      </c>
      <c r="G3544">
        <v>139.4375</v>
      </c>
      <c r="H3544">
        <v>2.9999999329447746E-2</v>
      </c>
      <c r="I3544">
        <v>1211</v>
      </c>
      <c r="J3544">
        <v>257</v>
      </c>
    </row>
    <row r="3545" spans="1:10" x14ac:dyDescent="0.25">
      <c r="A3545">
        <v>78033</v>
      </c>
      <c r="B3545" t="str">
        <v>Forbes Precision</v>
      </c>
      <c r="C3545">
        <v>4.9222659999999996</v>
      </c>
      <c r="D3545">
        <v>259.64938354492188</v>
      </c>
      <c r="E3545">
        <v>71.270660400390625</v>
      </c>
      <c r="F3545">
        <v>0.27448800206184387</v>
      </c>
      <c r="G3545">
        <v>225.23750305175781</v>
      </c>
      <c r="H3545">
        <v>0.10000000149011612</v>
      </c>
      <c r="I3545">
        <v>1150.56005859375</v>
      </c>
      <c r="J3545">
        <v>255</v>
      </c>
    </row>
    <row r="3546" spans="1:10" x14ac:dyDescent="0.25">
      <c r="A3546">
        <v>24814</v>
      </c>
      <c r="B3546" t="str">
        <v>Grandma Trading</v>
      </c>
      <c r="C3546">
        <v>-148.17806200000001</v>
      </c>
      <c r="D3546">
        <v>1.0877649784088135</v>
      </c>
      <c r="E3546">
        <v>0.79753297567367554</v>
      </c>
      <c r="F3546">
        <v>0.73318499326705933</v>
      </c>
      <c r="G3546">
        <v>0.49000000953674316</v>
      </c>
      <c r="H3546">
        <v>9.9999997764825821E-3</v>
      </c>
      <c r="I3546">
        <v>6.4000000953674316</v>
      </c>
      <c r="J3546">
        <v>255</v>
      </c>
    </row>
    <row r="3547" spans="1:10" x14ac:dyDescent="0.25">
      <c r="A3547">
        <v>1609</v>
      </c>
      <c r="B3547" t="str">
        <v>Hindusthan Udyog</v>
      </c>
      <c r="C3547">
        <v>0</v>
      </c>
      <c r="D3547">
        <v>3.309999942779541</v>
      </c>
      <c r="E3547">
        <v>0</v>
      </c>
      <c r="F3547">
        <v>0</v>
      </c>
      <c r="G3547">
        <v>3.309999942779541</v>
      </c>
      <c r="H3547">
        <v>0.15000000596046448</v>
      </c>
      <c r="I3547">
        <v>2.0499999523162842</v>
      </c>
      <c r="J3547">
        <v>1</v>
      </c>
    </row>
    <row r="3548" spans="1:10" x14ac:dyDescent="0.25">
      <c r="A3548">
        <v>92547</v>
      </c>
      <c r="B3548" t="str">
        <v>Kronox Lab</v>
      </c>
      <c r="C3548">
        <v>1.5124979999999999</v>
      </c>
      <c r="D3548">
        <v>166.14903259277344</v>
      </c>
      <c r="E3548">
        <v>20.136295318603516</v>
      </c>
      <c r="F3548">
        <v>0.12119399756193161</v>
      </c>
      <c r="G3548">
        <v>164.0625</v>
      </c>
      <c r="H3548">
        <v>0</v>
      </c>
      <c r="I3548">
        <v>596.45001220703125</v>
      </c>
      <c r="J3548">
        <v>256</v>
      </c>
    </row>
    <row r="3549" spans="1:10" x14ac:dyDescent="0.25">
      <c r="A3549">
        <v>75817</v>
      </c>
      <c r="B3549" t="str">
        <v>Le Travenues</v>
      </c>
      <c r="C3549">
        <v>18.859838</v>
      </c>
      <c r="D3549">
        <v>155.28631591796875</v>
      </c>
      <c r="E3549">
        <v>14.28168773651123</v>
      </c>
      <c r="F3549">
        <v>9.1969996690750122E-2</v>
      </c>
      <c r="G3549">
        <v>178.72500610351563</v>
      </c>
      <c r="H3549">
        <v>5.9999998658895493E-2</v>
      </c>
      <c r="I3549">
        <v>6871.08984375</v>
      </c>
      <c r="J3549">
        <v>251</v>
      </c>
    </row>
    <row r="3550" spans="1:10" x14ac:dyDescent="0.25">
      <c r="A3550">
        <v>5761</v>
      </c>
      <c r="B3550" t="str">
        <v>Mega Fin (India)</v>
      </c>
      <c r="C3550">
        <v>67.513227000000001</v>
      </c>
      <c r="D3550">
        <v>12.759664535522461</v>
      </c>
      <c r="E3550">
        <v>2.5983150005340576</v>
      </c>
      <c r="F3550">
        <v>0.20363500714302063</v>
      </c>
      <c r="G3550">
        <v>17.055000305175781</v>
      </c>
      <c r="H3550">
        <v>5.000000074505806E-2</v>
      </c>
      <c r="I3550">
        <v>14.289999961853027</v>
      </c>
      <c r="J3550">
        <v>15</v>
      </c>
    </row>
    <row r="3551" spans="1:10" x14ac:dyDescent="0.25">
      <c r="A3551">
        <v>93217</v>
      </c>
      <c r="B3551" t="str">
        <v>Purple Finance</v>
      </c>
      <c r="C3551">
        <v>-77.666785000000004</v>
      </c>
      <c r="D3551">
        <v>57.751953125</v>
      </c>
      <c r="E3551">
        <v>13.891693115234375</v>
      </c>
      <c r="F3551">
        <v>0.2405409961938858</v>
      </c>
      <c r="G3551">
        <v>44.020000457763672</v>
      </c>
      <c r="H3551">
        <v>0.79000002145767212</v>
      </c>
      <c r="I3551">
        <v>239.6300048828125</v>
      </c>
      <c r="J3551">
        <v>252</v>
      </c>
    </row>
    <row r="3552" spans="1:10" x14ac:dyDescent="0.25">
      <c r="A3552">
        <v>74863</v>
      </c>
      <c r="B3552" t="str">
        <v>Akme Fintrade</v>
      </c>
      <c r="C3552">
        <v>-49.267377000000003</v>
      </c>
      <c r="D3552">
        <v>9.1386842727661133</v>
      </c>
      <c r="E3552">
        <v>1.6662579774856567</v>
      </c>
      <c r="F3552">
        <v>0.18232999742031097</v>
      </c>
      <c r="G3552">
        <v>7.682499885559082</v>
      </c>
      <c r="H3552">
        <v>0.88999998569488525</v>
      </c>
      <c r="I3552">
        <v>321.76998901367188</v>
      </c>
      <c r="J3552">
        <v>245</v>
      </c>
    </row>
    <row r="3553" spans="1:10" x14ac:dyDescent="0.25">
      <c r="A3553">
        <v>68245</v>
      </c>
      <c r="B3553" t="str">
        <v>Allied Blenders</v>
      </c>
      <c r="C3553">
        <v>31.038288000000001</v>
      </c>
      <c r="D3553">
        <v>349.72601318359375</v>
      </c>
      <c r="E3553">
        <v>40.230739593505859</v>
      </c>
      <c r="F3553">
        <v>0.11503499746322632</v>
      </c>
      <c r="G3553">
        <v>422.95001220703125</v>
      </c>
      <c r="H3553">
        <v>0.86000001430511475</v>
      </c>
      <c r="I3553">
        <v>11602.3798828125</v>
      </c>
      <c r="J3553">
        <v>241</v>
      </c>
    </row>
    <row r="3554" spans="1:10" x14ac:dyDescent="0.25">
      <c r="A3554">
        <v>34369</v>
      </c>
      <c r="B3554" t="str">
        <v>DEE Development</v>
      </c>
      <c r="C3554">
        <v>-12.452973999999999</v>
      </c>
      <c r="D3554">
        <v>288.13796997070313</v>
      </c>
      <c r="E3554">
        <v>49.367355346679688</v>
      </c>
      <c r="F3554">
        <v>0.17133200168609619</v>
      </c>
      <c r="G3554">
        <v>294.89999389648438</v>
      </c>
      <c r="H3554">
        <v>0.68000000715255737</v>
      </c>
      <c r="I3554">
        <v>1979.780029296875</v>
      </c>
      <c r="J3554">
        <v>245</v>
      </c>
    </row>
    <row r="3555" spans="1:10" x14ac:dyDescent="0.25">
      <c r="A3555">
        <v>16966</v>
      </c>
      <c r="B3555" t="str">
        <v>Emcure Pharma</v>
      </c>
      <c r="C3555">
        <v>-1.3867640000000001</v>
      </c>
      <c r="D3555">
        <v>1270.1468505859375</v>
      </c>
      <c r="E3555">
        <v>173.76028442382813</v>
      </c>
      <c r="F3555">
        <v>0.13680300116539001</v>
      </c>
      <c r="G3555">
        <v>1330.650146484375</v>
      </c>
      <c r="H3555">
        <v>0.88999998569488525</v>
      </c>
      <c r="I3555">
        <v>25093.279296875</v>
      </c>
      <c r="J3555">
        <v>235</v>
      </c>
    </row>
    <row r="3556" spans="1:10" x14ac:dyDescent="0.25">
      <c r="A3556">
        <v>6121</v>
      </c>
      <c r="B3556" t="str">
        <v>IEC Education</v>
      </c>
      <c r="C3556">
        <v>340.68551100000002</v>
      </c>
      <c r="D3556">
        <v>17.536336898803711</v>
      </c>
      <c r="E3556">
        <v>8.8333549499511719</v>
      </c>
      <c r="F3556">
        <v>0.50371700525283813</v>
      </c>
      <c r="G3556">
        <v>18.504999160766602</v>
      </c>
      <c r="H3556">
        <v>5.000000074505806E-2</v>
      </c>
      <c r="I3556">
        <v>27.959999084472656</v>
      </c>
      <c r="J3556">
        <v>228</v>
      </c>
    </row>
    <row r="3557" spans="1:10" x14ac:dyDescent="0.25">
      <c r="A3557">
        <v>78117</v>
      </c>
      <c r="B3557" t="str">
        <v>JHS Svend.Retail</v>
      </c>
      <c r="C3557">
        <v>-3.1783610000000002</v>
      </c>
      <c r="D3557">
        <v>41.350223541259766</v>
      </c>
      <c r="E3557">
        <v>5.1779918670654297</v>
      </c>
      <c r="F3557">
        <v>0.12522299587726593</v>
      </c>
      <c r="G3557">
        <v>35.755001068115234</v>
      </c>
      <c r="H3557">
        <v>0.14000000059604645</v>
      </c>
      <c r="I3557">
        <v>26.100000381469727</v>
      </c>
      <c r="J3557">
        <v>236</v>
      </c>
    </row>
    <row r="3558" spans="1:10" x14ac:dyDescent="0.25">
      <c r="A3558">
        <v>75448</v>
      </c>
      <c r="B3558" t="str">
        <v>National Perox.</v>
      </c>
      <c r="C3558">
        <v>-25.462225</v>
      </c>
      <c r="D3558">
        <v>819.31036376953125</v>
      </c>
      <c r="E3558">
        <v>189.33013916015625</v>
      </c>
      <c r="F3558">
        <v>0.23108500242233276</v>
      </c>
      <c r="G3558">
        <v>693</v>
      </c>
      <c r="H3558">
        <v>5.9999998658895493E-2</v>
      </c>
      <c r="I3558">
        <v>391.1099853515625</v>
      </c>
      <c r="J3558">
        <v>239</v>
      </c>
    </row>
    <row r="3559" spans="1:10" x14ac:dyDescent="0.25">
      <c r="A3559">
        <v>3894</v>
      </c>
      <c r="B3559" t="str">
        <v>Sharma E I Hosp.</v>
      </c>
      <c r="C3559">
        <v>150.71519499999999</v>
      </c>
      <c r="D3559">
        <v>80.675300598144531</v>
      </c>
      <c r="E3559">
        <v>23.604574203491211</v>
      </c>
      <c r="F3559">
        <v>0.29258701205253601</v>
      </c>
      <c r="G3559">
        <v>78.889999389648438</v>
      </c>
      <c r="H3559">
        <v>0.61000001430511475</v>
      </c>
      <c r="I3559">
        <v>25.840000152587891</v>
      </c>
      <c r="J3559">
        <v>235</v>
      </c>
    </row>
    <row r="3560" spans="1:10" x14ac:dyDescent="0.25">
      <c r="A3560">
        <v>36078</v>
      </c>
      <c r="B3560" t="str">
        <v>Stanley Lifesty.</v>
      </c>
      <c r="C3560">
        <v>-36.035226999999999</v>
      </c>
      <c r="D3560">
        <v>418.20086669921875</v>
      </c>
      <c r="E3560">
        <v>90.813949584960938</v>
      </c>
      <c r="F3560">
        <v>0.21715399622917175</v>
      </c>
      <c r="G3560">
        <v>337.51251220703125</v>
      </c>
      <c r="H3560">
        <v>0.33000001311302185</v>
      </c>
      <c r="I3560">
        <v>1911.6600341796875</v>
      </c>
      <c r="J3560">
        <v>243</v>
      </c>
    </row>
    <row r="3561" spans="1:10" x14ac:dyDescent="0.25">
      <c r="A3561">
        <v>92681</v>
      </c>
      <c r="B3561" t="str">
        <v>Vraj Iron</v>
      </c>
      <c r="C3561">
        <v>-36.981506000000003</v>
      </c>
      <c r="D3561">
        <v>205.41921997070313</v>
      </c>
      <c r="E3561">
        <v>33.567531585693359</v>
      </c>
      <c r="F3561">
        <v>0.1634099930524826</v>
      </c>
      <c r="G3561">
        <v>169.1875</v>
      </c>
      <c r="H3561">
        <v>0.27000001072883606</v>
      </c>
      <c r="I3561">
        <v>552.1300048828125</v>
      </c>
      <c r="J3561">
        <v>240</v>
      </c>
    </row>
    <row r="3562" spans="1:10" x14ac:dyDescent="0.25">
      <c r="A3562">
        <v>34484</v>
      </c>
      <c r="B3562" t="str">
        <v>Akums Drugs</v>
      </c>
      <c r="C3562">
        <v>-35.641457000000003</v>
      </c>
      <c r="D3562">
        <v>656.353515625</v>
      </c>
      <c r="E3562">
        <v>160.99766540527344</v>
      </c>
      <c r="F3562">
        <v>0.24529099464416504</v>
      </c>
      <c r="G3562">
        <v>549.5875244140625</v>
      </c>
      <c r="H3562">
        <v>0.81999999284744263</v>
      </c>
      <c r="I3562">
        <v>8504</v>
      </c>
      <c r="J3562">
        <v>217</v>
      </c>
    </row>
    <row r="3563" spans="1:10" x14ac:dyDescent="0.25">
      <c r="A3563">
        <v>7138</v>
      </c>
      <c r="B3563" t="str">
        <v>B J Duplex Board</v>
      </c>
      <c r="C3563">
        <v>98.493855999999994</v>
      </c>
      <c r="D3563">
        <v>13.118076324462891</v>
      </c>
      <c r="E3563">
        <v>2.9179470539093018</v>
      </c>
      <c r="F3563">
        <v>0.22243699431419373</v>
      </c>
      <c r="G3563">
        <v>17.049999237060547</v>
      </c>
      <c r="H3563">
        <v>0</v>
      </c>
      <c r="I3563">
        <v>8.8299999237060547</v>
      </c>
      <c r="J3563">
        <v>26</v>
      </c>
    </row>
    <row r="3564" spans="1:10" x14ac:dyDescent="0.25">
      <c r="A3564">
        <v>13419</v>
      </c>
      <c r="B3564" t="str">
        <v>Filmcity Media</v>
      </c>
      <c r="C3564">
        <v>91.322883000000004</v>
      </c>
      <c r="D3564">
        <v>3.4832310676574707</v>
      </c>
      <c r="E3564">
        <v>1.095613956451416</v>
      </c>
      <c r="F3564">
        <v>0.31453999876976013</v>
      </c>
      <c r="G3564">
        <v>2.6500000953674316</v>
      </c>
      <c r="H3564">
        <v>9.9999997764825821E-3</v>
      </c>
      <c r="I3564">
        <v>8.1000003814697266</v>
      </c>
      <c r="J3564">
        <v>229</v>
      </c>
    </row>
    <row r="3565" spans="1:10" x14ac:dyDescent="0.25">
      <c r="A3565">
        <v>4228</v>
      </c>
      <c r="B3565" t="str">
        <v>LS Industries</v>
      </c>
      <c r="C3565">
        <v>68.341037</v>
      </c>
      <c r="D3565">
        <v>78.096328735351563</v>
      </c>
      <c r="E3565">
        <v>48.296428680419922</v>
      </c>
      <c r="F3565">
        <v>0.61842101812362671</v>
      </c>
      <c r="G3565">
        <v>40.935001373291016</v>
      </c>
      <c r="H3565">
        <v>0</v>
      </c>
      <c r="I3565">
        <v>3424.1298828125</v>
      </c>
      <c r="J3565">
        <v>227</v>
      </c>
    </row>
    <row r="3566" spans="1:10" x14ac:dyDescent="0.25">
      <c r="A3566">
        <v>71622</v>
      </c>
      <c r="B3566" t="str">
        <v>Reliable Data</v>
      </c>
      <c r="C3566">
        <v>26.979714000000001</v>
      </c>
      <c r="D3566">
        <v>78.627349853515625</v>
      </c>
      <c r="E3566">
        <v>8.6053571701049805</v>
      </c>
      <c r="F3566">
        <v>0.1094449982047081</v>
      </c>
      <c r="G3566">
        <v>75.025001525878906</v>
      </c>
      <c r="H3566">
        <v>0.60000002384185791</v>
      </c>
      <c r="I3566">
        <v>78.25</v>
      </c>
      <c r="J3566">
        <v>228</v>
      </c>
    </row>
    <row r="3567" spans="1:10" x14ac:dyDescent="0.25">
      <c r="A3567">
        <v>68149</v>
      </c>
      <c r="B3567" t="str">
        <v>Brainbees Solut.</v>
      </c>
      <c r="C3567">
        <v>-65.368651</v>
      </c>
      <c r="D3567">
        <v>504.02346801757813</v>
      </c>
      <c r="E3567">
        <v>126.35102844238281</v>
      </c>
      <c r="F3567">
        <v>0.25068500638008118</v>
      </c>
      <c r="G3567">
        <v>358.63751220703125</v>
      </c>
      <c r="H3567">
        <v>0</v>
      </c>
      <c r="I3567">
        <v>18158.0703125</v>
      </c>
      <c r="J3567">
        <v>212</v>
      </c>
    </row>
    <row r="3568" spans="1:10" x14ac:dyDescent="0.25">
      <c r="A3568">
        <v>85110</v>
      </c>
      <c r="B3568" t="str">
        <v>Ceigall India</v>
      </c>
      <c r="C3568">
        <v>-54.955500000000001</v>
      </c>
      <c r="D3568">
        <v>315.94113159179688</v>
      </c>
      <c r="E3568">
        <v>54.171806335449219</v>
      </c>
      <c r="F3568">
        <v>0.17146199941635132</v>
      </c>
      <c r="G3568">
        <v>240.38749694824219</v>
      </c>
      <c r="H3568">
        <v>0.6600000262260437</v>
      </c>
      <c r="I3568">
        <v>4178.2998046875</v>
      </c>
      <c r="J3568">
        <v>215</v>
      </c>
    </row>
    <row r="3569" spans="1:10" x14ac:dyDescent="0.25">
      <c r="A3569">
        <v>78706</v>
      </c>
      <c r="B3569" t="str">
        <v>Globale Tessile</v>
      </c>
      <c r="C3569">
        <v>-153.34627399999999</v>
      </c>
      <c r="D3569">
        <v>27.39788818359375</v>
      </c>
      <c r="E3569">
        <v>10.728914260864258</v>
      </c>
      <c r="F3569">
        <v>0.3915959894657135</v>
      </c>
      <c r="G3569">
        <v>15.350000381469727</v>
      </c>
      <c r="H3569">
        <v>0.95999997854232788</v>
      </c>
      <c r="I3569">
        <v>15.960000038146973</v>
      </c>
      <c r="J3569">
        <v>193</v>
      </c>
    </row>
    <row r="3570" spans="1:10" x14ac:dyDescent="0.25">
      <c r="A3570">
        <v>40098</v>
      </c>
      <c r="B3570" t="str">
        <v>Interarch Build.</v>
      </c>
      <c r="C3570">
        <v>66.848011999999997</v>
      </c>
      <c r="D3570">
        <v>1610.7578125</v>
      </c>
      <c r="E3570">
        <v>251.95195007324219</v>
      </c>
      <c r="F3570">
        <v>0.15641799569129944</v>
      </c>
      <c r="G3570">
        <v>2063.21240234375</v>
      </c>
      <c r="H3570">
        <v>3.9999999105930328E-2</v>
      </c>
      <c r="I3570">
        <v>3381.25</v>
      </c>
      <c r="J3570">
        <v>204</v>
      </c>
    </row>
    <row r="3571" spans="1:10" x14ac:dyDescent="0.25">
      <c r="A3571">
        <v>93578</v>
      </c>
      <c r="B3571" t="str">
        <v>Mahalaxmi Fab.</v>
      </c>
      <c r="C3571">
        <v>-135.336015</v>
      </c>
      <c r="D3571">
        <v>45.921222686767578</v>
      </c>
      <c r="E3571">
        <v>15.979396820068359</v>
      </c>
      <c r="F3571">
        <v>0.34797400236129761</v>
      </c>
      <c r="G3571">
        <v>29.807500839233398</v>
      </c>
      <c r="H3571">
        <v>0.2199999988079071</v>
      </c>
      <c r="I3571">
        <v>32.580001831054688</v>
      </c>
      <c r="J3571">
        <v>186</v>
      </c>
    </row>
    <row r="3572" spans="1:10" x14ac:dyDescent="0.25">
      <c r="A3572">
        <v>77885</v>
      </c>
      <c r="B3572" t="str">
        <v>Maple Inf. Trust</v>
      </c>
      <c r="C3572">
        <v>60.565353999999999</v>
      </c>
      <c r="D3572">
        <v>132</v>
      </c>
      <c r="E3572">
        <v>16.970561981201172</v>
      </c>
      <c r="F3572">
        <v>0.12856499850749969</v>
      </c>
      <c r="G3572">
        <v>144</v>
      </c>
      <c r="H3572">
        <v>0</v>
      </c>
      <c r="I3572">
        <v>5071.25</v>
      </c>
      <c r="J3572">
        <v>2</v>
      </c>
    </row>
    <row r="3573" spans="1:10" x14ac:dyDescent="0.25">
      <c r="A3573">
        <v>75559</v>
      </c>
      <c r="B3573" t="str">
        <v>Ola Electric</v>
      </c>
      <c r="C3573">
        <v>-63.806427999999997</v>
      </c>
      <c r="D3573">
        <v>76.22857666015625</v>
      </c>
      <c r="E3573">
        <v>24.175193786621094</v>
      </c>
      <c r="F3573">
        <v>0.31714099645614624</v>
      </c>
      <c r="G3573">
        <v>45.877498626708984</v>
      </c>
      <c r="H3573">
        <v>3.9999999105930328E-2</v>
      </c>
      <c r="I3573">
        <v>20073.689453125</v>
      </c>
      <c r="J3573">
        <v>214</v>
      </c>
    </row>
    <row r="3574" spans="1:10" x14ac:dyDescent="0.25">
      <c r="A3574">
        <v>92883</v>
      </c>
      <c r="B3574" t="str">
        <v>Orient Tech.</v>
      </c>
      <c r="C3574">
        <v>13.190318</v>
      </c>
      <c r="D3574">
        <v>375.55035400390625</v>
      </c>
      <c r="E3574">
        <v>85.575424194335938</v>
      </c>
      <c r="F3574">
        <v>0.2278670072555542</v>
      </c>
      <c r="G3574">
        <v>328.85000610351563</v>
      </c>
      <c r="H3574">
        <v>0.10000000149011612</v>
      </c>
      <c r="I3574">
        <v>1354.18994140625</v>
      </c>
      <c r="J3574">
        <v>202</v>
      </c>
    </row>
    <row r="3575" spans="1:10" x14ac:dyDescent="0.25">
      <c r="A3575">
        <v>2472</v>
      </c>
      <c r="B3575" t="str">
        <v>Sanmitra Commerc</v>
      </c>
      <c r="C3575">
        <v>0</v>
      </c>
      <c r="D3575">
        <v>10.479999542236328</v>
      </c>
      <c r="E3575">
        <v>0</v>
      </c>
      <c r="F3575">
        <v>0</v>
      </c>
      <c r="G3575">
        <v>10.479999542236328</v>
      </c>
      <c r="H3575">
        <v>0.68999999761581421</v>
      </c>
      <c r="I3575">
        <v>1.1499999761581421</v>
      </c>
      <c r="J3575">
        <v>1</v>
      </c>
    </row>
    <row r="3576" spans="1:10" x14ac:dyDescent="0.25">
      <c r="A3576">
        <v>75410</v>
      </c>
      <c r="B3576" t="str">
        <v>Unicommerce</v>
      </c>
      <c r="C3576">
        <v>-64.625140000000002</v>
      </c>
      <c r="D3576">
        <v>163.99635314941406</v>
      </c>
      <c r="E3576">
        <v>38.122329711914063</v>
      </c>
      <c r="F3576">
        <v>0.23245799541473389</v>
      </c>
      <c r="G3576">
        <v>123.71250152587891</v>
      </c>
      <c r="H3576">
        <v>5.9999998658895493E-2</v>
      </c>
      <c r="I3576">
        <v>1270.6500244140625</v>
      </c>
      <c r="J3576">
        <v>212</v>
      </c>
    </row>
    <row r="3577" spans="1:10" x14ac:dyDescent="0.25">
      <c r="A3577">
        <v>69617</v>
      </c>
      <c r="B3577" t="str">
        <v>Ecos (India)</v>
      </c>
      <c r="C3577">
        <v>-46.914900000000003</v>
      </c>
      <c r="D3577">
        <v>300.8848876953125</v>
      </c>
      <c r="E3577">
        <v>101.66703033447266</v>
      </c>
      <c r="F3577">
        <v>0.33789300918579102</v>
      </c>
      <c r="G3577">
        <v>281.26251220703125</v>
      </c>
      <c r="H3577">
        <v>0.23000000417232513</v>
      </c>
      <c r="I3577">
        <v>1659.300048828125</v>
      </c>
      <c r="J3577">
        <v>197</v>
      </c>
    </row>
    <row r="3578" spans="1:10" x14ac:dyDescent="0.25">
      <c r="A3578">
        <v>73975</v>
      </c>
      <c r="B3578" t="str">
        <v>Gala Precis. Eng</v>
      </c>
      <c r="C3578">
        <v>17.156154999999998</v>
      </c>
      <c r="D3578">
        <v>958.555908203125</v>
      </c>
      <c r="E3578">
        <v>158.02702331542969</v>
      </c>
      <c r="F3578">
        <v>0.16485899686813354</v>
      </c>
      <c r="G3578">
        <v>867.6875</v>
      </c>
      <c r="H3578">
        <v>0.62000000476837158</v>
      </c>
      <c r="I3578">
        <v>1086.6600341796875</v>
      </c>
      <c r="J3578">
        <v>194</v>
      </c>
    </row>
    <row r="3579" spans="1:10" x14ac:dyDescent="0.25">
      <c r="A3579">
        <v>92335</v>
      </c>
      <c r="B3579" t="str">
        <v>Kross Ltd</v>
      </c>
      <c r="C3579">
        <v>-40.986750000000001</v>
      </c>
      <c r="D3579">
        <v>191.32554626464844</v>
      </c>
      <c r="E3579">
        <v>22.56037712097168</v>
      </c>
      <c r="F3579">
        <v>0.11791600286960602</v>
      </c>
      <c r="G3579">
        <v>180.47500610351563</v>
      </c>
      <c r="H3579">
        <v>0.82999998331069946</v>
      </c>
      <c r="I3579">
        <v>1147.949951171875</v>
      </c>
      <c r="J3579">
        <v>189</v>
      </c>
    </row>
    <row r="3580" spans="1:10" x14ac:dyDescent="0.25">
      <c r="A3580">
        <v>13219</v>
      </c>
      <c r="B3580" t="str">
        <v>Lyons Corporate</v>
      </c>
      <c r="C3580">
        <v>230.74891600000001</v>
      </c>
      <c r="D3580">
        <v>24.169698715209961</v>
      </c>
      <c r="E3580">
        <v>9.8663730621337891</v>
      </c>
      <c r="F3580">
        <v>0.40821200609207153</v>
      </c>
      <c r="G3580">
        <v>19.700000762939453</v>
      </c>
      <c r="H3580">
        <v>0.82999998331069946</v>
      </c>
      <c r="I3580">
        <v>8.9300003051757813</v>
      </c>
      <c r="J3580">
        <v>141</v>
      </c>
    </row>
    <row r="3581" spans="1:10" x14ac:dyDescent="0.25">
      <c r="A3581">
        <v>36109</v>
      </c>
      <c r="B3581" t="str">
        <v>P N Gadgil Jewe.</v>
      </c>
      <c r="C3581">
        <v>-44.023321000000003</v>
      </c>
      <c r="D3581">
        <v>623.85162353515625</v>
      </c>
      <c r="E3581">
        <v>90.854545593261719</v>
      </c>
      <c r="F3581">
        <v>0.14563499391078949</v>
      </c>
      <c r="G3581">
        <v>571.48748779296875</v>
      </c>
      <c r="H3581">
        <v>0.70999997854232788</v>
      </c>
      <c r="I3581">
        <v>7729.9501953125</v>
      </c>
      <c r="J3581">
        <v>188</v>
      </c>
    </row>
    <row r="3582" spans="1:10" x14ac:dyDescent="0.25">
      <c r="A3582">
        <v>76751</v>
      </c>
      <c r="B3582" t="str">
        <v>Premier Energies</v>
      </c>
      <c r="C3582">
        <v>10.138472</v>
      </c>
      <c r="D3582">
        <v>1060.4912109375</v>
      </c>
      <c r="E3582">
        <v>126.41096496582031</v>
      </c>
      <c r="F3582">
        <v>0.11919999867677689</v>
      </c>
      <c r="G3582">
        <v>981.4749755859375</v>
      </c>
      <c r="H3582">
        <v>0.10999999940395355</v>
      </c>
      <c r="I3582">
        <v>43605.66015625</v>
      </c>
      <c r="J3582">
        <v>198</v>
      </c>
    </row>
    <row r="3583" spans="1:10" x14ac:dyDescent="0.25">
      <c r="A3583">
        <v>79030</v>
      </c>
      <c r="B3583" t="str">
        <v>Raymond Lifestyl</v>
      </c>
      <c r="C3583">
        <v>-111.54235799999999</v>
      </c>
      <c r="D3583">
        <v>1643.6097412109375</v>
      </c>
      <c r="E3583">
        <v>556.75860595703125</v>
      </c>
      <c r="F3583">
        <v>0.3387410044670105</v>
      </c>
      <c r="G3583">
        <v>1051.27490234375</v>
      </c>
      <c r="H3583">
        <v>0</v>
      </c>
      <c r="I3583">
        <v>6453.02978515625</v>
      </c>
      <c r="J3583">
        <v>196</v>
      </c>
    </row>
    <row r="3584" spans="1:10" x14ac:dyDescent="0.25">
      <c r="A3584">
        <v>76244</v>
      </c>
      <c r="B3584" t="str">
        <v>Revathi Equip</v>
      </c>
      <c r="C3584">
        <v>-119.779476</v>
      </c>
      <c r="D3584">
        <v>1695.164306640625</v>
      </c>
      <c r="E3584">
        <v>729.3707275390625</v>
      </c>
      <c r="F3584">
        <v>0.43026599287986755</v>
      </c>
      <c r="G3584">
        <v>1072.1624755859375</v>
      </c>
      <c r="H3584">
        <v>0.34999999403953552</v>
      </c>
      <c r="I3584">
        <v>328.82000732421875</v>
      </c>
      <c r="J3584">
        <v>182</v>
      </c>
    </row>
    <row r="3585" spans="1:10" x14ac:dyDescent="0.25">
      <c r="A3585">
        <v>79141</v>
      </c>
      <c r="B3585" t="str">
        <v>Sanofi Consumer</v>
      </c>
      <c r="C3585">
        <v>11.311109</v>
      </c>
      <c r="D3585">
        <v>4875.24267578125</v>
      </c>
      <c r="E3585">
        <v>148.27867126464844</v>
      </c>
      <c r="F3585">
        <v>3.0415000393986702E-2</v>
      </c>
      <c r="G3585">
        <v>5001.0751953125</v>
      </c>
      <c r="H3585">
        <v>3.9999999105930328E-2</v>
      </c>
      <c r="I3585">
        <v>11439.76953125</v>
      </c>
      <c r="J3585">
        <v>190</v>
      </c>
    </row>
    <row r="3586" spans="1:10" x14ac:dyDescent="0.25">
      <c r="A3586">
        <v>91895</v>
      </c>
      <c r="B3586" t="str">
        <v>Arkade</v>
      </c>
      <c r="C3586">
        <v>11.132002</v>
      </c>
      <c r="D3586">
        <v>159.55778503417969</v>
      </c>
      <c r="E3586">
        <v>15.318052291870117</v>
      </c>
      <c r="F3586">
        <v>9.6003003418445587E-2</v>
      </c>
      <c r="G3586">
        <v>188.78750610351563</v>
      </c>
      <c r="H3586">
        <v>0.41999998688697815</v>
      </c>
      <c r="I3586">
        <v>3476.550048828125</v>
      </c>
      <c r="J3586">
        <v>183</v>
      </c>
    </row>
    <row r="3587" spans="1:10" x14ac:dyDescent="0.25">
      <c r="A3587">
        <v>25202</v>
      </c>
      <c r="B3587" t="str">
        <v>Diffusion Eng</v>
      </c>
      <c r="C3587">
        <v>68.823369999999997</v>
      </c>
      <c r="D3587">
        <v>297.29461669921875</v>
      </c>
      <c r="E3587">
        <v>40.97784423828125</v>
      </c>
      <c r="F3587">
        <v>0.13783599436283112</v>
      </c>
      <c r="G3587">
        <v>302.36248779296875</v>
      </c>
      <c r="H3587">
        <v>0.25999999046325684</v>
      </c>
      <c r="I3587">
        <v>1107.8199462890625</v>
      </c>
      <c r="J3587">
        <v>176</v>
      </c>
    </row>
    <row r="3588" spans="1:10" x14ac:dyDescent="0.25">
      <c r="A3588">
        <v>5273</v>
      </c>
      <c r="B3588" t="str">
        <v>Haryana Fin. Co.</v>
      </c>
      <c r="C3588">
        <v>120.534908</v>
      </c>
      <c r="D3588">
        <v>36.041667938232422</v>
      </c>
      <c r="E3588">
        <v>8.593684196472168</v>
      </c>
      <c r="F3588">
        <v>0.2384369969367981</v>
      </c>
      <c r="G3588">
        <v>52.119998931884766</v>
      </c>
      <c r="H3588">
        <v>0</v>
      </c>
      <c r="I3588">
        <v>1082.31005859375</v>
      </c>
      <c r="J3588">
        <v>18</v>
      </c>
    </row>
    <row r="3589" spans="1:10" x14ac:dyDescent="0.25">
      <c r="A3589">
        <v>92755</v>
      </c>
      <c r="B3589" t="str">
        <v>KRN Heat Exchan</v>
      </c>
      <c r="C3589">
        <v>78.968041999999997</v>
      </c>
      <c r="D3589">
        <v>751.03900146484375</v>
      </c>
      <c r="E3589">
        <v>139.58197021484375</v>
      </c>
      <c r="F3589">
        <v>0.18585200607776642</v>
      </c>
      <c r="G3589">
        <v>798.625</v>
      </c>
      <c r="H3589">
        <v>0.50999999046325684</v>
      </c>
      <c r="I3589">
        <v>5029.39990234375</v>
      </c>
      <c r="J3589">
        <v>177</v>
      </c>
    </row>
    <row r="3590" spans="1:10" x14ac:dyDescent="0.25">
      <c r="A3590">
        <v>4068</v>
      </c>
      <c r="B3590" t="str">
        <v>Omega Ag Seeds</v>
      </c>
      <c r="C3590">
        <v>125.34668499999999</v>
      </c>
      <c r="D3590">
        <v>11.439611434936523</v>
      </c>
      <c r="E3590">
        <v>4.5754179954528809</v>
      </c>
      <c r="F3590">
        <v>0.39996299147605896</v>
      </c>
      <c r="G3590">
        <v>14.4375</v>
      </c>
      <c r="H3590">
        <v>0</v>
      </c>
      <c r="I3590">
        <v>11.550000190734863</v>
      </c>
      <c r="J3590">
        <v>174</v>
      </c>
    </row>
    <row r="3591" spans="1:10" x14ac:dyDescent="0.25">
      <c r="A3591">
        <v>4980</v>
      </c>
      <c r="B3591" t="str">
        <v>Sh. Rajiv. Oil</v>
      </c>
      <c r="C3591">
        <v>43.492738000000003</v>
      </c>
      <c r="D3591">
        <v>51.355976104736328</v>
      </c>
      <c r="E3591">
        <v>19.408090591430664</v>
      </c>
      <c r="F3591">
        <v>0.37791299819946289</v>
      </c>
      <c r="G3591">
        <v>35.880001068115234</v>
      </c>
      <c r="H3591">
        <v>3.9999999105930328E-2</v>
      </c>
      <c r="I3591">
        <v>14.689999580383301</v>
      </c>
      <c r="J3591">
        <v>133</v>
      </c>
    </row>
    <row r="3592" spans="1:10" x14ac:dyDescent="0.25">
      <c r="A3592">
        <v>91644</v>
      </c>
      <c r="B3592" t="str">
        <v>Western Carriers</v>
      </c>
      <c r="C3592">
        <v>-52.914306000000003</v>
      </c>
      <c r="D3592">
        <v>108.19341278076172</v>
      </c>
      <c r="E3592">
        <v>23.862667083740234</v>
      </c>
      <c r="F3592">
        <v>0.22055600583553314</v>
      </c>
      <c r="G3592">
        <v>109.41249847412109</v>
      </c>
      <c r="H3592">
        <v>0.6600000262260437</v>
      </c>
      <c r="I3592">
        <v>1090.4100341796875</v>
      </c>
      <c r="J3592">
        <v>183</v>
      </c>
    </row>
    <row r="3593" spans="1:10" x14ac:dyDescent="0.25">
      <c r="A3593">
        <v>6437</v>
      </c>
      <c r="B3593" t="str">
        <v>Afcons Infrastr.</v>
      </c>
      <c r="C3593">
        <v>-7.5302509999999998</v>
      </c>
      <c r="D3593">
        <v>469.24526977539063</v>
      </c>
      <c r="E3593">
        <v>38.199947357177734</v>
      </c>
      <c r="F3593">
        <v>8.1407003104686737E-2</v>
      </c>
      <c r="G3593">
        <v>430.01251220703125</v>
      </c>
      <c r="H3593">
        <v>0.73000001907348633</v>
      </c>
      <c r="I3593">
        <v>15610.6201171875</v>
      </c>
      <c r="J3593">
        <v>155</v>
      </c>
    </row>
    <row r="3594" spans="1:10" x14ac:dyDescent="0.25">
      <c r="A3594">
        <v>4592</v>
      </c>
      <c r="B3594" t="str">
        <v>Clenon Enterpri</v>
      </c>
      <c r="C3594">
        <v>243.89829900000001</v>
      </c>
      <c r="D3594">
        <v>34.108749389648438</v>
      </c>
      <c r="E3594">
        <v>10.42286205291748</v>
      </c>
      <c r="F3594">
        <v>0.30557700991630554</v>
      </c>
      <c r="G3594">
        <v>47</v>
      </c>
      <c r="H3594">
        <v>0</v>
      </c>
      <c r="I3594">
        <v>40.490001678466797</v>
      </c>
      <c r="J3594">
        <v>44</v>
      </c>
    </row>
    <row r="3595" spans="1:10" x14ac:dyDescent="0.25">
      <c r="A3595">
        <v>92781</v>
      </c>
      <c r="B3595" t="str">
        <v>Garuda Cons</v>
      </c>
      <c r="C3595">
        <v>17.385477000000002</v>
      </c>
      <c r="D3595">
        <v>108.86711883544922</v>
      </c>
      <c r="E3595">
        <v>14.432101249694824</v>
      </c>
      <c r="F3595">
        <v>0.13256600499153137</v>
      </c>
      <c r="G3595">
        <v>120.97499847412109</v>
      </c>
      <c r="H3595">
        <v>0</v>
      </c>
      <c r="I3595">
        <v>1094.6400146484375</v>
      </c>
      <c r="J3595">
        <v>169</v>
      </c>
    </row>
    <row r="3596" spans="1:10" x14ac:dyDescent="0.25">
      <c r="A3596">
        <v>16486</v>
      </c>
      <c r="B3596" t="str">
        <v>Hyundai Motor I</v>
      </c>
      <c r="C3596">
        <v>2.6594890000000002</v>
      </c>
      <c r="D3596">
        <v>1782.074462890625</v>
      </c>
      <c r="E3596">
        <v>86.721916198730469</v>
      </c>
      <c r="F3596">
        <v>4.8663001507520676E-2</v>
      </c>
      <c r="G3596">
        <v>1915.037353515625</v>
      </c>
      <c r="H3596">
        <v>7.0000000298023224E-2</v>
      </c>
      <c r="I3596">
        <v>155162.84375</v>
      </c>
      <c r="J3596">
        <v>164</v>
      </c>
    </row>
    <row r="3597" spans="1:10" x14ac:dyDescent="0.25">
      <c r="A3597">
        <v>77048</v>
      </c>
      <c r="B3597" t="str">
        <v>OCCL</v>
      </c>
      <c r="C3597">
        <v>36.683529</v>
      </c>
      <c r="D3597">
        <v>89.678062438964844</v>
      </c>
      <c r="E3597">
        <v>11.748191833496094</v>
      </c>
      <c r="F3597">
        <v>0.13100400567054749</v>
      </c>
      <c r="G3597">
        <v>120.00499725341797</v>
      </c>
      <c r="H3597">
        <v>0</v>
      </c>
      <c r="I3597">
        <v>591.40997314453125</v>
      </c>
      <c r="J3597">
        <v>159</v>
      </c>
    </row>
    <row r="3598" spans="1:10" x14ac:dyDescent="0.25">
      <c r="A3598">
        <v>3797</v>
      </c>
      <c r="B3598" t="str">
        <v>Revati Organics</v>
      </c>
      <c r="C3598">
        <v>89.538743999999994</v>
      </c>
      <c r="D3598">
        <v>5.7583332061767578</v>
      </c>
      <c r="E3598">
        <v>1.0328680276870728</v>
      </c>
      <c r="F3598">
        <v>0.1793690025806427</v>
      </c>
      <c r="G3598">
        <v>6.8400001525878906</v>
      </c>
      <c r="H3598">
        <v>0.99000000953674316</v>
      </c>
      <c r="I3598">
        <v>2.0499999523162842</v>
      </c>
      <c r="J3598">
        <v>6</v>
      </c>
    </row>
    <row r="3599" spans="1:10" x14ac:dyDescent="0.25">
      <c r="A3599">
        <v>45766</v>
      </c>
      <c r="B3599" t="str">
        <v>Shivamshree Busi</v>
      </c>
      <c r="C3599">
        <v>185.07727700000001</v>
      </c>
      <c r="D3599">
        <v>1.6239999532699585</v>
      </c>
      <c r="E3599">
        <v>0.5969499945640564</v>
      </c>
      <c r="F3599">
        <v>0.36757999658584595</v>
      </c>
      <c r="G3599">
        <v>1.9900000095367432</v>
      </c>
      <c r="H3599">
        <v>7.0000000298023224E-2</v>
      </c>
      <c r="I3599">
        <v>9.0799999237060547</v>
      </c>
      <c r="J3599">
        <v>35</v>
      </c>
    </row>
    <row r="3600" spans="1:10" x14ac:dyDescent="0.25">
      <c r="A3600">
        <v>39763</v>
      </c>
      <c r="B3600" t="str">
        <v>Waaree Energies</v>
      </c>
      <c r="C3600">
        <v>15.331108</v>
      </c>
      <c r="D3600">
        <v>2614.0458984375</v>
      </c>
      <c r="E3600">
        <v>329.72537231445313</v>
      </c>
      <c r="F3600">
        <v>0.12613600492477417</v>
      </c>
      <c r="G3600">
        <v>2694.050048828125</v>
      </c>
      <c r="H3600">
        <v>9.0000003576278687E-2</v>
      </c>
      <c r="I3600">
        <v>76767.8203125</v>
      </c>
      <c r="J3600">
        <v>160</v>
      </c>
    </row>
    <row r="3601" spans="1:10" x14ac:dyDescent="0.25">
      <c r="A3601">
        <v>24413</v>
      </c>
      <c r="B3601" t="str">
        <v>Wardwizard Healt</v>
      </c>
      <c r="C3601">
        <v>30.194327000000001</v>
      </c>
      <c r="D3601">
        <v>20.880001068115234</v>
      </c>
      <c r="E3601">
        <v>1.6055370569229126</v>
      </c>
      <c r="F3601">
        <v>7.6894000172615051E-2</v>
      </c>
      <c r="G3601">
        <v>22.959999084472656</v>
      </c>
      <c r="H3601">
        <v>0</v>
      </c>
      <c r="I3601">
        <v>0.56000000238418579</v>
      </c>
      <c r="J3601">
        <v>5</v>
      </c>
    </row>
    <row r="3602" spans="1:10" x14ac:dyDescent="0.25">
      <c r="A3602">
        <v>73120</v>
      </c>
      <c r="B3602" t="str">
        <v>A B Infrabuild</v>
      </c>
      <c r="C3602">
        <v>104.40474</v>
      </c>
      <c r="D3602">
        <v>94.3599853515625</v>
      </c>
      <c r="E3602">
        <v>20.770309448242188</v>
      </c>
      <c r="F3602">
        <v>0.22011800110340118</v>
      </c>
      <c r="G3602">
        <v>151.26249694824219</v>
      </c>
      <c r="H3602">
        <v>0.62999999523162842</v>
      </c>
      <c r="I3602">
        <v>951.47998046875</v>
      </c>
      <c r="J3602">
        <v>150</v>
      </c>
    </row>
    <row r="3603" spans="1:10" x14ac:dyDescent="0.25">
      <c r="A3603">
        <v>71636</v>
      </c>
      <c r="B3603" t="str">
        <v>ACME Solar Hold.</v>
      </c>
      <c r="C3603">
        <v>-7.5410459999999997</v>
      </c>
      <c r="D3603">
        <v>225.82591247558594</v>
      </c>
      <c r="E3603">
        <v>26.468288421630859</v>
      </c>
      <c r="F3603">
        <v>0.11720699816942215</v>
      </c>
      <c r="G3603">
        <v>248.46249389648438</v>
      </c>
      <c r="H3603">
        <v>0.68000000715255737</v>
      </c>
      <c r="I3603">
        <v>14903.3095703125</v>
      </c>
      <c r="J3603">
        <v>148</v>
      </c>
    </row>
    <row r="3604" spans="1:10" x14ac:dyDescent="0.25">
      <c r="A3604">
        <v>77882</v>
      </c>
      <c r="B3604" t="str">
        <v>Enviro Infra</v>
      </c>
      <c r="C3604">
        <v>-3.400963</v>
      </c>
      <c r="D3604">
        <v>242.78631591796875</v>
      </c>
      <c r="E3604">
        <v>40.193859100341797</v>
      </c>
      <c r="F3604">
        <v>0.16555200517177582</v>
      </c>
      <c r="G3604">
        <v>211.83749389648438</v>
      </c>
      <c r="H3604">
        <v>0.51999998092651367</v>
      </c>
      <c r="I3604">
        <v>3698.419921875</v>
      </c>
      <c r="J3604">
        <v>138</v>
      </c>
    </row>
    <row r="3605" spans="1:10" x14ac:dyDescent="0.25">
      <c r="A3605">
        <v>38927</v>
      </c>
      <c r="B3605" t="str">
        <v>Niva Bupa Health</v>
      </c>
      <c r="C3605">
        <v>8.5115350000000003</v>
      </c>
      <c r="D3605">
        <v>80.080818176269531</v>
      </c>
      <c r="E3605">
        <v>6.0193700790405273</v>
      </c>
      <c r="F3605">
        <v>7.5166001915931702E-2</v>
      </c>
      <c r="G3605">
        <v>80.720001220703125</v>
      </c>
      <c r="H3605">
        <v>0.17000000178813934</v>
      </c>
      <c r="I3605">
        <v>14629.5400390625</v>
      </c>
      <c r="J3605">
        <v>147</v>
      </c>
    </row>
    <row r="3606" spans="1:10" x14ac:dyDescent="0.25">
      <c r="A3606">
        <v>35325</v>
      </c>
      <c r="B3606" t="str">
        <v>Premier Energy</v>
      </c>
      <c r="C3606">
        <v>-7.590465</v>
      </c>
      <c r="D3606">
        <v>11.06478214263916</v>
      </c>
      <c r="E3606">
        <v>7.3677620887756348</v>
      </c>
      <c r="F3606">
        <v>0.66587501764297485</v>
      </c>
      <c r="G3606">
        <v>6.7750000953674316</v>
      </c>
      <c r="H3606">
        <v>0.8399999737739563</v>
      </c>
      <c r="I3606">
        <v>27.75</v>
      </c>
      <c r="J3606">
        <v>138</v>
      </c>
    </row>
    <row r="3607" spans="1:10" x14ac:dyDescent="0.25">
      <c r="A3607">
        <v>93271</v>
      </c>
      <c r="B3607" t="str">
        <v>Sagility India</v>
      </c>
      <c r="C3607">
        <v>53.073372999999997</v>
      </c>
      <c r="D3607">
        <v>43.092147827148438</v>
      </c>
      <c r="E3607">
        <v>5.5159978866577148</v>
      </c>
      <c r="F3607">
        <v>0.12800499796867371</v>
      </c>
      <c r="G3607">
        <v>41.277500152587891</v>
      </c>
      <c r="H3607">
        <v>0.27000001072883606</v>
      </c>
      <c r="I3607">
        <v>18875.119140625</v>
      </c>
      <c r="J3607">
        <v>149</v>
      </c>
    </row>
    <row r="3608" spans="1:10" x14ac:dyDescent="0.25">
      <c r="A3608">
        <v>7048</v>
      </c>
      <c r="B3608" t="str">
        <v>Sarvamangal Merc</v>
      </c>
      <c r="C3608">
        <v>0</v>
      </c>
      <c r="D3608">
        <v>52.5</v>
      </c>
      <c r="E3608">
        <v>0</v>
      </c>
      <c r="F3608">
        <v>0</v>
      </c>
      <c r="G3608">
        <v>52.5</v>
      </c>
      <c r="H3608">
        <v>7.0000000298023224E-2</v>
      </c>
      <c r="I3608">
        <v>1.309999942779541</v>
      </c>
      <c r="J3608">
        <v>1</v>
      </c>
    </row>
    <row r="3609" spans="1:10" x14ac:dyDescent="0.25">
      <c r="A3609">
        <v>68148</v>
      </c>
      <c r="B3609" t="str">
        <v>Swiggy</v>
      </c>
      <c r="C3609">
        <v>-23.909725000000002</v>
      </c>
      <c r="D3609">
        <v>402.80838012695313</v>
      </c>
      <c r="E3609">
        <v>83.99249267578125</v>
      </c>
      <c r="F3609">
        <v>0.20851700007915497</v>
      </c>
      <c r="G3609">
        <v>371.72500610351563</v>
      </c>
      <c r="H3609">
        <v>1.9999999552965164E-2</v>
      </c>
      <c r="I3609">
        <v>93337.203125</v>
      </c>
      <c r="J3609">
        <v>148</v>
      </c>
    </row>
    <row r="3610" spans="1:10" x14ac:dyDescent="0.25">
      <c r="A3610">
        <v>75273</v>
      </c>
      <c r="B3610" t="str">
        <v>Zinka Logistics</v>
      </c>
      <c r="C3610">
        <v>88.815973999999997</v>
      </c>
      <c r="D3610">
        <v>417.59439086914063</v>
      </c>
      <c r="E3610">
        <v>51.642299652099609</v>
      </c>
      <c r="F3610">
        <v>0.12366600334644318</v>
      </c>
      <c r="G3610">
        <v>428.45001220703125</v>
      </c>
      <c r="H3610">
        <v>0.37999999523162842</v>
      </c>
      <c r="I3610">
        <v>7753.72021484375</v>
      </c>
      <c r="J3610">
        <v>143</v>
      </c>
    </row>
    <row r="3611" spans="1:10" x14ac:dyDescent="0.25">
      <c r="A3611">
        <v>6962</v>
      </c>
      <c r="B3611" t="str">
        <v>Cupid Breweries</v>
      </c>
      <c r="C3611">
        <v>299.47517099999999</v>
      </c>
      <c r="D3611">
        <v>98.986732482910156</v>
      </c>
      <c r="E3611">
        <v>31.572797775268555</v>
      </c>
      <c r="F3611">
        <v>0.31896001100540161</v>
      </c>
      <c r="G3611">
        <v>84.779998779296875</v>
      </c>
      <c r="H3611">
        <v>0</v>
      </c>
      <c r="I3611">
        <v>440.66000366210938</v>
      </c>
      <c r="J3611">
        <v>136</v>
      </c>
    </row>
    <row r="3612" spans="1:10" x14ac:dyDescent="0.25">
      <c r="A3612">
        <v>71654</v>
      </c>
      <c r="B3612" t="str">
        <v>Innovana Think.</v>
      </c>
      <c r="C3612">
        <v>-21.978431</v>
      </c>
      <c r="D3612">
        <v>382.31988525390625</v>
      </c>
      <c r="E3612">
        <v>50.409450531005859</v>
      </c>
      <c r="F3612">
        <v>0.13185200095176697</v>
      </c>
      <c r="G3612">
        <v>433.1875</v>
      </c>
      <c r="H3612">
        <v>5.9999998658895493E-2</v>
      </c>
      <c r="I3612">
        <v>901.489990234375</v>
      </c>
      <c r="J3612">
        <v>124</v>
      </c>
    </row>
    <row r="3613" spans="1:10" x14ac:dyDescent="0.25">
      <c r="A3613">
        <v>79071</v>
      </c>
      <c r="B3613" t="str">
        <v>International Ge</v>
      </c>
      <c r="C3613">
        <v>-59.418022999999998</v>
      </c>
      <c r="D3613">
        <v>423.51004028320313</v>
      </c>
      <c r="E3613">
        <v>86.262664794921875</v>
      </c>
      <c r="F3613">
        <v>0.20368500053882599</v>
      </c>
      <c r="G3613">
        <v>354.5625</v>
      </c>
      <c r="H3613">
        <v>1.9999999552965164E-2</v>
      </c>
      <c r="I3613">
        <v>14998.099609375</v>
      </c>
      <c r="J3613">
        <v>123</v>
      </c>
    </row>
    <row r="3614" spans="1:10" x14ac:dyDescent="0.25">
      <c r="A3614">
        <v>71706</v>
      </c>
      <c r="B3614" t="str">
        <v>Inventurus Knowl</v>
      </c>
      <c r="C3614">
        <v>-30.154062</v>
      </c>
      <c r="D3614">
        <v>1672.4149169921875</v>
      </c>
      <c r="E3614">
        <v>176.18515014648438</v>
      </c>
      <c r="F3614">
        <v>0.10534799844026566</v>
      </c>
      <c r="G3614">
        <v>1644.41259765625</v>
      </c>
      <c r="H3614">
        <v>0.18000000715255737</v>
      </c>
      <c r="I3614">
        <v>27768.259765625</v>
      </c>
      <c r="J3614">
        <v>124</v>
      </c>
    </row>
    <row r="3615" spans="1:10" x14ac:dyDescent="0.25">
      <c r="A3615">
        <v>88957</v>
      </c>
      <c r="B3615" t="str">
        <v>Odigma Consultan</v>
      </c>
      <c r="C3615">
        <v>-188.43689699999999</v>
      </c>
      <c r="D3615">
        <v>51.680812835693359</v>
      </c>
      <c r="E3615">
        <v>21.574386596679688</v>
      </c>
      <c r="F3615">
        <v>0.41745400428771973</v>
      </c>
      <c r="G3615">
        <v>38.770000457763672</v>
      </c>
      <c r="H3615">
        <v>0</v>
      </c>
      <c r="I3615">
        <v>118.77999877929688</v>
      </c>
      <c r="J3615">
        <v>129</v>
      </c>
    </row>
    <row r="3616" spans="1:10" x14ac:dyDescent="0.25">
      <c r="A3616">
        <v>68121</v>
      </c>
      <c r="B3616" t="str">
        <v>Sai Life</v>
      </c>
      <c r="C3616">
        <v>4.226801</v>
      </c>
      <c r="D3616">
        <v>716.25189208984375</v>
      </c>
      <c r="E3616">
        <v>28.982177734375</v>
      </c>
      <c r="F3616">
        <v>4.0463998913764954E-2</v>
      </c>
      <c r="G3616">
        <v>731.29998779296875</v>
      </c>
      <c r="H3616">
        <v>0.89999997615814209</v>
      </c>
      <c r="I3616">
        <v>15222.2900390625</v>
      </c>
      <c r="J3616">
        <v>125</v>
      </c>
    </row>
    <row r="3617" spans="1:10" x14ac:dyDescent="0.25">
      <c r="A3617">
        <v>76250</v>
      </c>
      <c r="B3617" t="str">
        <v>Suraksha Diagno.</v>
      </c>
      <c r="C3617">
        <v>-48.887661000000001</v>
      </c>
      <c r="D3617">
        <v>322.3638916015625</v>
      </c>
      <c r="E3617">
        <v>43.118686676025391</v>
      </c>
      <c r="F3617">
        <v>0.13375799357891083</v>
      </c>
      <c r="G3617">
        <v>324.75</v>
      </c>
      <c r="H3617">
        <v>0.56000000238418579</v>
      </c>
      <c r="I3617">
        <v>1697.8299560546875</v>
      </c>
      <c r="J3617">
        <v>133</v>
      </c>
    </row>
    <row r="3618" spans="1:10" x14ac:dyDescent="0.25">
      <c r="A3618">
        <v>6161</v>
      </c>
      <c r="B3618" t="str">
        <v>Venmax Drugs</v>
      </c>
      <c r="C3618">
        <v>385.02747499999998</v>
      </c>
      <c r="D3618">
        <v>23.743946075439453</v>
      </c>
      <c r="E3618">
        <v>5.907005786895752</v>
      </c>
      <c r="F3618">
        <v>0.24877899885177612</v>
      </c>
      <c r="G3618">
        <v>27.75</v>
      </c>
      <c r="H3618">
        <v>0</v>
      </c>
      <c r="I3618">
        <v>14.670000076293945</v>
      </c>
      <c r="J3618">
        <v>135</v>
      </c>
    </row>
    <row r="3619" spans="1:10" x14ac:dyDescent="0.25">
      <c r="A3619">
        <v>86391</v>
      </c>
      <c r="B3619" t="str">
        <v>Vishal Mega Mart</v>
      </c>
      <c r="C3619">
        <v>22.905974000000001</v>
      </c>
      <c r="D3619">
        <v>111.65217590332031</v>
      </c>
      <c r="E3619">
        <v>9.4674615859985352</v>
      </c>
      <c r="F3619">
        <v>8.4793999791145325E-2</v>
      </c>
      <c r="G3619">
        <v>123.76249694824219</v>
      </c>
      <c r="H3619">
        <v>9.9999997764825821E-3</v>
      </c>
      <c r="I3619">
        <v>58607.23828125</v>
      </c>
      <c r="J3619">
        <v>125</v>
      </c>
    </row>
    <row r="3620" spans="1:10" x14ac:dyDescent="0.25">
      <c r="A3620">
        <v>7636</v>
      </c>
      <c r="B3620" t="str">
        <v>Carraro India</v>
      </c>
      <c r="C3620">
        <v>-81.507388000000006</v>
      </c>
      <c r="D3620">
        <v>424.87991333007813</v>
      </c>
      <c r="E3620">
        <v>105.94117736816406</v>
      </c>
      <c r="F3620">
        <v>0.24934400618076324</v>
      </c>
      <c r="G3620">
        <v>424.60000610351563</v>
      </c>
      <c r="H3620">
        <v>0.55000001192092896</v>
      </c>
      <c r="I3620">
        <v>2359.050048828125</v>
      </c>
      <c r="J3620">
        <v>118</v>
      </c>
    </row>
    <row r="3621" spans="1:10" x14ac:dyDescent="0.25">
      <c r="A3621">
        <v>6033</v>
      </c>
      <c r="B3621" t="str">
        <v>Chembond Materi.</v>
      </c>
      <c r="C3621">
        <v>-95.795373999999995</v>
      </c>
      <c r="D3621">
        <v>338.16949462890625</v>
      </c>
      <c r="E3621">
        <v>48.32281494140625</v>
      </c>
      <c r="F3621">
        <v>0.14289499819278717</v>
      </c>
      <c r="G3621">
        <v>233.94999694824219</v>
      </c>
      <c r="H3621">
        <v>0</v>
      </c>
      <c r="I3621">
        <v>317.45001220703125</v>
      </c>
      <c r="J3621">
        <v>116</v>
      </c>
    </row>
    <row r="3622" spans="1:10" x14ac:dyDescent="0.25">
      <c r="A3622">
        <v>77163</v>
      </c>
      <c r="B3622" t="str">
        <v>Concord Enviro</v>
      </c>
      <c r="C3622">
        <v>-76.572604999999996</v>
      </c>
      <c r="D3622">
        <v>581.74481201171875</v>
      </c>
      <c r="E3622">
        <v>93.585968017578125</v>
      </c>
      <c r="F3622">
        <v>0.1608709990978241</v>
      </c>
      <c r="G3622">
        <v>552.3499755859375</v>
      </c>
      <c r="H3622">
        <v>0</v>
      </c>
      <c r="I3622">
        <v>1127.3199462890625</v>
      </c>
      <c r="J3622">
        <v>119</v>
      </c>
    </row>
    <row r="3623" spans="1:10" x14ac:dyDescent="0.25">
      <c r="A3623">
        <v>4473</v>
      </c>
      <c r="B3623" t="str">
        <v>DJS Stock</v>
      </c>
      <c r="C3623">
        <v>59.465305999999998</v>
      </c>
      <c r="D3623">
        <v>2.4526290893554688</v>
      </c>
      <c r="E3623">
        <v>0.72154301404953003</v>
      </c>
      <c r="F3623">
        <v>0.29419198632240295</v>
      </c>
      <c r="G3623">
        <v>1.9225000143051147</v>
      </c>
      <c r="H3623">
        <v>0</v>
      </c>
      <c r="I3623">
        <v>14.340000152587891</v>
      </c>
      <c r="J3623">
        <v>116</v>
      </c>
    </row>
    <row r="3624" spans="1:10" x14ac:dyDescent="0.25">
      <c r="A3624">
        <v>12067</v>
      </c>
      <c r="B3624" t="str">
        <v>Dam Capital Advi</v>
      </c>
      <c r="C3624">
        <v>-92.692014999999998</v>
      </c>
      <c r="D3624">
        <v>264.5504150390625</v>
      </c>
      <c r="E3624">
        <v>55.581520080566406</v>
      </c>
      <c r="F3624">
        <v>0.21009799838066101</v>
      </c>
      <c r="G3624">
        <v>249.97500610351563</v>
      </c>
      <c r="H3624">
        <v>1.9999999552965164E-2</v>
      </c>
      <c r="I3624">
        <v>1720.8499755859375</v>
      </c>
      <c r="J3624">
        <v>119</v>
      </c>
    </row>
    <row r="3625" spans="1:10" x14ac:dyDescent="0.25">
      <c r="A3625">
        <v>26149</v>
      </c>
      <c r="B3625" t="str">
        <v>Hilltone Softwar</v>
      </c>
      <c r="C3625">
        <v>181.27461700000001</v>
      </c>
      <c r="D3625">
        <v>42.053627014160156</v>
      </c>
      <c r="E3625">
        <v>9.6757278442382813</v>
      </c>
      <c r="F3625">
        <v>0.23008100688457489</v>
      </c>
      <c r="G3625">
        <v>39.830001831054688</v>
      </c>
      <c r="H3625">
        <v>9.0000003576278687E-2</v>
      </c>
      <c r="I3625">
        <v>42.810001373291016</v>
      </c>
      <c r="J3625">
        <v>118</v>
      </c>
    </row>
    <row r="3626" spans="1:10" x14ac:dyDescent="0.25">
      <c r="A3626">
        <v>38519</v>
      </c>
      <c r="B3626" t="str">
        <v>Indo Farm Equip.</v>
      </c>
      <c r="C3626">
        <v>-88.966271000000006</v>
      </c>
      <c r="D3626">
        <v>178.14944458007813</v>
      </c>
      <c r="E3626">
        <v>29.094804763793945</v>
      </c>
      <c r="F3626">
        <v>0.1633169949054718</v>
      </c>
      <c r="G3626">
        <v>171.14999389648438</v>
      </c>
      <c r="H3626">
        <v>0.5899999737739563</v>
      </c>
      <c r="I3626">
        <v>822.4000244140625</v>
      </c>
      <c r="J3626">
        <v>112</v>
      </c>
    </row>
    <row r="3627" spans="1:10" x14ac:dyDescent="0.25">
      <c r="A3627">
        <v>18506</v>
      </c>
      <c r="B3627" t="str">
        <v>Mamata Machinery</v>
      </c>
      <c r="C3627">
        <v>-74.077406999999994</v>
      </c>
      <c r="D3627">
        <v>407.91845703125</v>
      </c>
      <c r="E3627">
        <v>58.953697204589844</v>
      </c>
      <c r="F3627">
        <v>0.14452299475669861</v>
      </c>
      <c r="G3627">
        <v>415.04998779296875</v>
      </c>
      <c r="H3627">
        <v>7.9999998211860657E-2</v>
      </c>
      <c r="I3627">
        <v>998.09002685546875</v>
      </c>
      <c r="J3627">
        <v>119</v>
      </c>
    </row>
    <row r="3628" spans="1:10" x14ac:dyDescent="0.25">
      <c r="A3628">
        <v>76395</v>
      </c>
      <c r="B3628" t="str">
        <v>Sanathan Textile</v>
      </c>
      <c r="C3628">
        <v>23.647031999999999</v>
      </c>
      <c r="D3628">
        <v>383.73629760742188</v>
      </c>
      <c r="E3628">
        <v>53.380397796630859</v>
      </c>
      <c r="F3628">
        <v>0.13910700380802155</v>
      </c>
      <c r="G3628">
        <v>450.13751220703125</v>
      </c>
      <c r="H3628">
        <v>0.20999999344348907</v>
      </c>
      <c r="I3628">
        <v>3800.7099609375</v>
      </c>
      <c r="J3628">
        <v>119</v>
      </c>
    </row>
    <row r="3629" spans="1:10" x14ac:dyDescent="0.25">
      <c r="A3629">
        <v>93477</v>
      </c>
      <c r="B3629" t="str">
        <v>Senores Pharma.</v>
      </c>
      <c r="C3629">
        <v>-18.640180999999998</v>
      </c>
      <c r="D3629">
        <v>539.5506591796875</v>
      </c>
      <c r="E3629">
        <v>33.634483337402344</v>
      </c>
      <c r="F3629">
        <v>6.2337998300790787E-2</v>
      </c>
      <c r="G3629">
        <v>525.38751220703125</v>
      </c>
      <c r="H3629">
        <v>0.75</v>
      </c>
      <c r="I3629">
        <v>2389.260009765625</v>
      </c>
      <c r="J3629">
        <v>118</v>
      </c>
    </row>
    <row r="3630" spans="1:10" x14ac:dyDescent="0.25">
      <c r="A3630">
        <v>93473</v>
      </c>
      <c r="B3630" t="str">
        <v>Standard Glass</v>
      </c>
      <c r="C3630">
        <v>-4.6601340000000002</v>
      </c>
      <c r="D3630">
        <v>157.13681030273438</v>
      </c>
      <c r="E3630">
        <v>18.615419387817383</v>
      </c>
      <c r="F3630">
        <v>0.11846599727869034</v>
      </c>
      <c r="G3630">
        <v>167.08749389648438</v>
      </c>
      <c r="H3630">
        <v>0.17000000178813934</v>
      </c>
      <c r="I3630">
        <v>3280.639892578125</v>
      </c>
      <c r="J3630">
        <v>108</v>
      </c>
    </row>
    <row r="3631" spans="1:10" x14ac:dyDescent="0.25">
      <c r="A3631">
        <v>67061</v>
      </c>
      <c r="B3631" t="str">
        <v>Transrail Light</v>
      </c>
      <c r="C3631">
        <v>17.362715000000001</v>
      </c>
      <c r="D3631">
        <v>549.41973876953125</v>
      </c>
      <c r="E3631">
        <v>64.857093811035156</v>
      </c>
      <c r="F3631">
        <v>0.11804699897766113</v>
      </c>
      <c r="G3631">
        <v>620.2249755859375</v>
      </c>
      <c r="H3631">
        <v>0.63999998569488525</v>
      </c>
      <c r="I3631">
        <v>8250.7001953125</v>
      </c>
      <c r="J3631">
        <v>119</v>
      </c>
    </row>
    <row r="3632" spans="1:10" x14ac:dyDescent="0.25">
      <c r="A3632">
        <v>93631</v>
      </c>
      <c r="B3632" t="str">
        <v>Unimech Aero.</v>
      </c>
      <c r="C3632">
        <v>-21.600621</v>
      </c>
      <c r="D3632">
        <v>1112.4105224609375</v>
      </c>
      <c r="E3632">
        <v>165.02275085449219</v>
      </c>
      <c r="F3632">
        <v>0.14834700524806976</v>
      </c>
      <c r="G3632">
        <v>1283.5625</v>
      </c>
      <c r="H3632">
        <v>0.10999999940395355</v>
      </c>
      <c r="I3632">
        <v>6478.39990234375</v>
      </c>
      <c r="J3632">
        <v>117</v>
      </c>
    </row>
    <row r="3633" spans="1:10" x14ac:dyDescent="0.25">
      <c r="A3633">
        <v>92618</v>
      </c>
      <c r="B3633" t="str">
        <v>Denta Water</v>
      </c>
      <c r="C3633">
        <v>-42.818635999999998</v>
      </c>
      <c r="D3633">
        <v>303.48544311523438</v>
      </c>
      <c r="E3633">
        <v>18.364253997802734</v>
      </c>
      <c r="F3633">
        <v>6.0511000454425812E-2</v>
      </c>
      <c r="G3633">
        <v>282.54998779296875</v>
      </c>
      <c r="H3633">
        <v>9.9999997764825821E-3</v>
      </c>
      <c r="I3633">
        <v>756.280029296875</v>
      </c>
      <c r="J3633">
        <v>96</v>
      </c>
    </row>
    <row r="3634" spans="1:10" x14ac:dyDescent="0.25">
      <c r="A3634">
        <v>71013</v>
      </c>
      <c r="B3634" t="str">
        <v>Dr Agarwal's Hea</v>
      </c>
      <c r="C3634">
        <v>5.910425</v>
      </c>
      <c r="D3634">
        <v>397.41192626953125</v>
      </c>
      <c r="E3634">
        <v>28.32078742980957</v>
      </c>
      <c r="F3634">
        <v>7.126300036907196E-2</v>
      </c>
      <c r="G3634">
        <v>404.0625</v>
      </c>
      <c r="H3634">
        <v>0.69999998807907104</v>
      </c>
      <c r="I3634">
        <v>12894.51953125</v>
      </c>
      <c r="J3634">
        <v>91</v>
      </c>
    </row>
    <row r="3635" spans="1:10" x14ac:dyDescent="0.25">
      <c r="A3635">
        <v>6864</v>
      </c>
      <c r="B3635" t="str">
        <v>Golden Legand Ls</v>
      </c>
      <c r="C3635">
        <v>-150.20876100000001</v>
      </c>
      <c r="D3635">
        <v>9.1049222946166992</v>
      </c>
      <c r="E3635">
        <v>2.4826500415802002</v>
      </c>
      <c r="F3635">
        <v>0.27267101407051086</v>
      </c>
      <c r="G3635">
        <v>8.0325002670288086</v>
      </c>
      <c r="H3635">
        <v>0.20000000298023224</v>
      </c>
      <c r="I3635">
        <v>11.850000381469727</v>
      </c>
      <c r="J3635">
        <v>98</v>
      </c>
    </row>
    <row r="3636" spans="1:10" x14ac:dyDescent="0.25">
      <c r="A3636">
        <v>91836</v>
      </c>
      <c r="B3636" t="str">
        <v>ITC Hotels</v>
      </c>
      <c r="C3636">
        <v>38.359650000000002</v>
      </c>
      <c r="D3636">
        <v>191.01994323730469</v>
      </c>
      <c r="E3636">
        <v>18.533126831054688</v>
      </c>
      <c r="F3636">
        <v>9.7021996974945068E-2</v>
      </c>
      <c r="G3636">
        <v>211.66250610351563</v>
      </c>
      <c r="H3636">
        <v>0</v>
      </c>
      <c r="I3636">
        <v>43704.58984375</v>
      </c>
      <c r="J3636">
        <v>96</v>
      </c>
    </row>
    <row r="3637" spans="1:10" x14ac:dyDescent="0.25">
      <c r="A3637">
        <v>1292</v>
      </c>
      <c r="B3637" t="str">
        <v>Jolly Plastic</v>
      </c>
      <c r="C3637">
        <v>0</v>
      </c>
      <c r="D3637">
        <v>187.57499694824219</v>
      </c>
      <c r="E3637">
        <v>0</v>
      </c>
      <c r="F3637">
        <v>0</v>
      </c>
      <c r="G3637">
        <v>187.57499694824219</v>
      </c>
      <c r="H3637">
        <v>0</v>
      </c>
      <c r="I3637">
        <v>128.36000061035156</v>
      </c>
      <c r="J3637">
        <v>1</v>
      </c>
    </row>
    <row r="3638" spans="1:10" x14ac:dyDescent="0.25">
      <c r="A3638">
        <v>86134</v>
      </c>
      <c r="B3638" t="str">
        <v>Laxmi Dental</v>
      </c>
      <c r="C3638">
        <v>-68.340743000000003</v>
      </c>
      <c r="D3638">
        <v>415.60516357421875</v>
      </c>
      <c r="E3638">
        <v>46.808555603027344</v>
      </c>
      <c r="F3638">
        <v>0.11262699961662292</v>
      </c>
      <c r="G3638">
        <v>401.02499389648438</v>
      </c>
      <c r="H3638">
        <v>0.6600000262260437</v>
      </c>
      <c r="I3638">
        <v>2162.2099609375</v>
      </c>
      <c r="J3638">
        <v>103</v>
      </c>
    </row>
    <row r="3639" spans="1:10" x14ac:dyDescent="0.25">
      <c r="A3639">
        <v>1997</v>
      </c>
      <c r="B3639" t="str">
        <v>Lords Mark</v>
      </c>
      <c r="C3639">
        <v>110.71102</v>
      </c>
      <c r="D3639">
        <v>383.683349609375</v>
      </c>
      <c r="E3639">
        <v>34.953121185302734</v>
      </c>
      <c r="F3639">
        <v>9.1099001467227936E-2</v>
      </c>
      <c r="G3639">
        <v>431.89999389648438</v>
      </c>
      <c r="H3639">
        <v>0.25</v>
      </c>
      <c r="I3639">
        <v>43.189998626708984</v>
      </c>
      <c r="J3639">
        <v>6</v>
      </c>
    </row>
    <row r="3640" spans="1:10" x14ac:dyDescent="0.25">
      <c r="A3640">
        <v>5498</v>
      </c>
      <c r="B3640" t="str">
        <v>Shriram Pistons</v>
      </c>
      <c r="C3640">
        <v>44.541311</v>
      </c>
      <c r="D3640">
        <v>2051.74609375</v>
      </c>
      <c r="E3640">
        <v>268.24041748046875</v>
      </c>
      <c r="F3640">
        <v>0.13073800504207611</v>
      </c>
      <c r="G3640">
        <v>2362.9873046875</v>
      </c>
      <c r="H3640">
        <v>0.20000000298023224</v>
      </c>
      <c r="I3640">
        <v>10329.240234375</v>
      </c>
      <c r="J3640">
        <v>91</v>
      </c>
    </row>
    <row r="3641" spans="1:10" x14ac:dyDescent="0.25">
      <c r="A3641">
        <v>92640</v>
      </c>
      <c r="B3641" t="str">
        <v>Stallion India</v>
      </c>
      <c r="C3641">
        <v>-102.546713</v>
      </c>
      <c r="D3641">
        <v>78.188224792480469</v>
      </c>
      <c r="E3641">
        <v>12.049925804138184</v>
      </c>
      <c r="F3641">
        <v>0.15411399304866791</v>
      </c>
      <c r="G3641">
        <v>76.074996948242188</v>
      </c>
      <c r="H3641">
        <v>0.43999999761581421</v>
      </c>
      <c r="I3641">
        <v>597.4000244140625</v>
      </c>
      <c r="J3641">
        <v>100</v>
      </c>
    </row>
    <row r="3642" spans="1:10" x14ac:dyDescent="0.25">
      <c r="A3642">
        <v>82794</v>
      </c>
      <c r="B3642" t="str">
        <v>Ajax Engineering</v>
      </c>
      <c r="C3642">
        <v>2.1462940000000001</v>
      </c>
      <c r="D3642">
        <v>636.08294677734375</v>
      </c>
      <c r="E3642">
        <v>41.698223114013672</v>
      </c>
      <c r="F3642">
        <v>6.5554998815059662E-2</v>
      </c>
      <c r="G3642">
        <v>594.7874755859375</v>
      </c>
      <c r="H3642">
        <v>9.9999997764825821E-3</v>
      </c>
      <c r="I3642">
        <v>6728.83984375</v>
      </c>
      <c r="J3642">
        <v>82</v>
      </c>
    </row>
    <row r="3643" spans="1:10" x14ac:dyDescent="0.25">
      <c r="A3643">
        <v>77924</v>
      </c>
      <c r="B3643" t="str">
        <v>Indef Manufactur</v>
      </c>
      <c r="C3643">
        <v>136.21011100000001</v>
      </c>
      <c r="D3643">
        <v>260.28286743164063</v>
      </c>
      <c r="E3643">
        <v>61.806205749511719</v>
      </c>
      <c r="F3643">
        <v>0.2374580055475235</v>
      </c>
      <c r="G3643">
        <v>405.1875</v>
      </c>
      <c r="H3643">
        <v>0</v>
      </c>
      <c r="I3643">
        <v>1288</v>
      </c>
      <c r="J3643">
        <v>78</v>
      </c>
    </row>
    <row r="3644" spans="1:10" x14ac:dyDescent="0.25">
      <c r="A3644">
        <v>44990</v>
      </c>
      <c r="B3644" t="str">
        <v>Jubilant Agri</v>
      </c>
      <c r="C3644">
        <v>18.365053</v>
      </c>
      <c r="D3644">
        <v>1400.622802734375</v>
      </c>
      <c r="E3644">
        <v>161.83663940429688</v>
      </c>
      <c r="F3644">
        <v>0.11554600298404694</v>
      </c>
      <c r="G3644">
        <v>1607.03759765625</v>
      </c>
      <c r="H3644">
        <v>0.73000001907348633</v>
      </c>
      <c r="I3644">
        <v>2384.070068359375</v>
      </c>
      <c r="J3644">
        <v>83</v>
      </c>
    </row>
    <row r="3645" spans="1:10" x14ac:dyDescent="0.25">
      <c r="A3645">
        <v>54766</v>
      </c>
      <c r="B3645" t="str">
        <v>Quality Power El</v>
      </c>
      <c r="C3645">
        <v>88.215342000000007</v>
      </c>
      <c r="D3645">
        <v>381.91879272460938</v>
      </c>
      <c r="E3645">
        <v>66.4766845703125</v>
      </c>
      <c r="F3645">
        <v>0.17406000196933746</v>
      </c>
      <c r="G3645">
        <v>526.0250244140625</v>
      </c>
      <c r="H3645">
        <v>0.17000000178813934</v>
      </c>
      <c r="I3645">
        <v>4018.570068359375</v>
      </c>
      <c r="J3645">
        <v>77</v>
      </c>
    </row>
    <row r="3646" spans="1:10" x14ac:dyDescent="0.25">
      <c r="A3646">
        <v>1421</v>
      </c>
      <c r="B3646" t="str">
        <v>Shreenath Invest</v>
      </c>
      <c r="C3646">
        <v>0</v>
      </c>
      <c r="D3646">
        <v>82.5</v>
      </c>
      <c r="E3646">
        <v>0</v>
      </c>
      <c r="F3646">
        <v>0</v>
      </c>
      <c r="G3646">
        <v>82.5</v>
      </c>
      <c r="H3646">
        <v>0</v>
      </c>
      <c r="I3646">
        <v>2.059999942779541</v>
      </c>
      <c r="J3646">
        <v>1</v>
      </c>
    </row>
    <row r="3647" spans="1:10" x14ac:dyDescent="0.25">
      <c r="A3647">
        <v>6958</v>
      </c>
      <c r="B3647" t="str">
        <v>Springform Tech</v>
      </c>
      <c r="C3647">
        <v>0</v>
      </c>
      <c r="D3647">
        <v>11.020000457763672</v>
      </c>
      <c r="E3647">
        <v>0</v>
      </c>
      <c r="F3647">
        <v>0</v>
      </c>
      <c r="G3647">
        <v>11.020000457763672</v>
      </c>
      <c r="H3647">
        <v>0</v>
      </c>
      <c r="I3647">
        <v>5.9999998658895493E-2</v>
      </c>
      <c r="J3647">
        <v>1</v>
      </c>
    </row>
    <row r="3648" spans="1:10" x14ac:dyDescent="0.25">
      <c r="A3648">
        <v>1452</v>
      </c>
      <c r="B3648" t="str">
        <v>Technojet Cons.</v>
      </c>
      <c r="C3648">
        <v>452.08373699999999</v>
      </c>
      <c r="D3648">
        <v>86.900001525878906</v>
      </c>
      <c r="E3648">
        <v>11.17228889465332</v>
      </c>
      <c r="F3648">
        <v>0.12856499850749969</v>
      </c>
      <c r="G3648">
        <v>94.800003051757813</v>
      </c>
      <c r="H3648">
        <v>0</v>
      </c>
      <c r="I3648">
        <v>1.8999999761581421</v>
      </c>
      <c r="J3648">
        <v>2</v>
      </c>
    </row>
    <row r="3649" spans="1:10" x14ac:dyDescent="0.25">
      <c r="A3649">
        <v>1383</v>
      </c>
      <c r="B3649" t="str">
        <v>Triumph Intl.</v>
      </c>
      <c r="C3649">
        <v>1824.5509179999999</v>
      </c>
      <c r="D3649">
        <v>17.120431900024414</v>
      </c>
      <c r="E3649">
        <v>8.7616024017333984</v>
      </c>
      <c r="F3649">
        <v>0.51176297664642334</v>
      </c>
      <c r="G3649">
        <v>35.049999237060547</v>
      </c>
      <c r="H3649">
        <v>0</v>
      </c>
      <c r="I3649">
        <v>26.290000915527344</v>
      </c>
      <c r="J3649">
        <v>81</v>
      </c>
    </row>
    <row r="3650" spans="1:10" x14ac:dyDescent="0.25">
      <c r="A3650">
        <v>5759</v>
      </c>
      <c r="B3650" t="str">
        <v>Boston Bio</v>
      </c>
      <c r="C3650">
        <v>-238.81679800000001</v>
      </c>
      <c r="D3650">
        <v>9.3672027587890625</v>
      </c>
      <c r="E3650">
        <v>3.6879029273986816</v>
      </c>
      <c r="F3650">
        <v>0.39370399713516235</v>
      </c>
      <c r="G3650">
        <v>8.6649999618530273</v>
      </c>
      <c r="H3650">
        <v>0.12999999523162842</v>
      </c>
      <c r="I3650">
        <v>6.0300002098083496</v>
      </c>
      <c r="J3650">
        <v>59</v>
      </c>
    </row>
    <row r="3651" spans="1:10" x14ac:dyDescent="0.25">
      <c r="A3651">
        <v>12667</v>
      </c>
      <c r="B3651" t="str">
        <v>Equilateral Ent.</v>
      </c>
      <c r="C3651">
        <v>124.792345</v>
      </c>
      <c r="D3651">
        <v>28.445695877075195</v>
      </c>
      <c r="E3651">
        <v>2.3672740459442139</v>
      </c>
      <c r="F3651">
        <v>8.3221003413200378E-2</v>
      </c>
      <c r="G3651">
        <v>28.360000610351563</v>
      </c>
      <c r="H3651">
        <v>0</v>
      </c>
      <c r="I3651">
        <v>34.970001220703125</v>
      </c>
      <c r="J3651">
        <v>61</v>
      </c>
    </row>
    <row r="3652" spans="1:10" x14ac:dyDescent="0.25">
      <c r="A3652">
        <v>70438</v>
      </c>
      <c r="B3652" t="str">
        <v>Prabha Energy</v>
      </c>
      <c r="C3652">
        <v>64.083016999999998</v>
      </c>
      <c r="D3652">
        <v>207.40806579589844</v>
      </c>
      <c r="E3652">
        <v>23.057928085327148</v>
      </c>
      <c r="F3652">
        <v>0.11117199808359146</v>
      </c>
      <c r="G3652">
        <v>249.48750305175781</v>
      </c>
      <c r="H3652">
        <v>0.10000000149011612</v>
      </c>
      <c r="I3652">
        <v>3459.60009765625</v>
      </c>
      <c r="J3652">
        <v>62</v>
      </c>
    </row>
    <row r="3653" spans="1:10" x14ac:dyDescent="0.25">
      <c r="A3653">
        <v>77922</v>
      </c>
      <c r="B3653" t="str">
        <v>Vikram Aroma</v>
      </c>
      <c r="C3653">
        <v>-100.360598</v>
      </c>
      <c r="D3653">
        <v>109.14670562744141</v>
      </c>
      <c r="E3653">
        <v>18.879621505737305</v>
      </c>
      <c r="F3653">
        <v>0.17297500371932983</v>
      </c>
      <c r="G3653">
        <v>100.25</v>
      </c>
      <c r="H3653">
        <v>0</v>
      </c>
      <c r="I3653">
        <v>31.440000534057617</v>
      </c>
      <c r="J3653">
        <v>70</v>
      </c>
    </row>
    <row r="3654" spans="1:10" x14ac:dyDescent="0.25">
      <c r="A3654">
        <v>2350</v>
      </c>
      <c r="B3654" t="str">
        <v>SER Industries</v>
      </c>
      <c r="C3654">
        <v>2456.6475879999998</v>
      </c>
      <c r="D3654">
        <v>77.7913818359375</v>
      </c>
      <c r="E3654">
        <v>28.16478157043457</v>
      </c>
      <c r="F3654">
        <v>0.36205500364303589</v>
      </c>
      <c r="G3654">
        <v>111.08999633789063</v>
      </c>
      <c r="H3654">
        <v>0</v>
      </c>
      <c r="I3654">
        <v>10.890000343322754</v>
      </c>
      <c r="J3654">
        <v>36</v>
      </c>
    </row>
    <row r="3655" spans="1:10" x14ac:dyDescent="0.25">
      <c r="A3655">
        <v>73254</v>
      </c>
      <c r="B3655" t="str">
        <v>Spectrum Electr.</v>
      </c>
      <c r="C3655">
        <v>-113.636843</v>
      </c>
      <c r="D3655">
        <v>1713.7572021484375</v>
      </c>
      <c r="E3655">
        <v>103.70558166503906</v>
      </c>
      <c r="F3655">
        <v>6.0513999313116074E-2</v>
      </c>
      <c r="G3655">
        <v>1561.9375</v>
      </c>
      <c r="H3655">
        <v>0.6600000262260437</v>
      </c>
      <c r="I3655">
        <v>2355.110107421875</v>
      </c>
      <c r="J3655">
        <v>54</v>
      </c>
    </row>
    <row r="3656" spans="1:10" x14ac:dyDescent="0.25">
      <c r="A3656">
        <v>5092</v>
      </c>
      <c r="B3656" t="str">
        <v>ACS Tech</v>
      </c>
      <c r="C3656">
        <v>24312.369225999999</v>
      </c>
      <c r="D3656">
        <v>20.479843139648438</v>
      </c>
      <c r="E3656">
        <v>5.5021982192993164</v>
      </c>
      <c r="F3656">
        <v>0.26866400241851807</v>
      </c>
      <c r="G3656">
        <v>24.540000915527344</v>
      </c>
      <c r="H3656">
        <v>0.18999999761581421</v>
      </c>
      <c r="I3656">
        <v>148.91000366210938</v>
      </c>
      <c r="J3656">
        <v>32</v>
      </c>
    </row>
    <row r="3657" spans="1:10" x14ac:dyDescent="0.25">
      <c r="A3657">
        <v>75556</v>
      </c>
      <c r="B3657" t="str">
        <v>Ather Energy</v>
      </c>
      <c r="C3657">
        <v>13.683973999999999</v>
      </c>
      <c r="D3657">
        <v>313.52651977539063</v>
      </c>
      <c r="E3657">
        <v>5.6385178565979004</v>
      </c>
      <c r="F3657">
        <v>1.7983999103307724E-2</v>
      </c>
      <c r="G3657">
        <v>320.63751220703125</v>
      </c>
      <c r="H3657">
        <v>0.99000000953674316</v>
      </c>
      <c r="I3657">
        <v>11883.330078125</v>
      </c>
      <c r="J3657">
        <v>33</v>
      </c>
    </row>
    <row r="3658" spans="1:10" x14ac:dyDescent="0.25">
      <c r="A3658">
        <v>75371</v>
      </c>
      <c r="B3658" t="str">
        <v>Network People</v>
      </c>
      <c r="C3658">
        <v>-65.554636000000002</v>
      </c>
      <c r="D3658">
        <v>2087.125732421875</v>
      </c>
      <c r="E3658">
        <v>73.401756286621094</v>
      </c>
      <c r="F3658">
        <v>3.5169001668691635E-2</v>
      </c>
      <c r="G3658">
        <v>2043.7750244140625</v>
      </c>
      <c r="H3658">
        <v>0</v>
      </c>
      <c r="I3658">
        <v>3908.1298828125</v>
      </c>
      <c r="J3658">
        <v>34</v>
      </c>
    </row>
    <row r="3659" spans="1:10" x14ac:dyDescent="0.25">
      <c r="A3659">
        <v>7616</v>
      </c>
      <c r="B3659" t="str">
        <v>Hari Govind Intl</v>
      </c>
      <c r="C3659">
        <v>6185.6511730000002</v>
      </c>
      <c r="D3659">
        <v>77.170753479003906</v>
      </c>
      <c r="E3659">
        <v>21.902980804443359</v>
      </c>
      <c r="F3659">
        <v>0.28382501006126404</v>
      </c>
      <c r="G3659">
        <v>114.87000274658203</v>
      </c>
      <c r="H3659">
        <v>0.40999999642372131</v>
      </c>
      <c r="I3659">
        <v>57.439998626708984</v>
      </c>
      <c r="J3659">
        <v>20</v>
      </c>
    </row>
    <row r="3660" spans="1:10" x14ac:dyDescent="0.25">
      <c r="A3660">
        <v>39683</v>
      </c>
      <c r="B3660" t="str">
        <v>Jash Engineering</v>
      </c>
      <c r="C3660">
        <v>9.2757210000000008</v>
      </c>
      <c r="D3660">
        <v>556.34832763671875</v>
      </c>
      <c r="E3660">
        <v>9.6565790176391602</v>
      </c>
      <c r="F3660">
        <v>1.7356999218463898E-2</v>
      </c>
      <c r="G3660">
        <v>544.61248779296875</v>
      </c>
      <c r="H3660">
        <v>0.2800000011920929</v>
      </c>
      <c r="I3660">
        <v>3392.22998046875</v>
      </c>
      <c r="J3660">
        <v>23</v>
      </c>
    </row>
    <row r="3661" spans="1:10" x14ac:dyDescent="0.25">
      <c r="A3661">
        <v>73286</v>
      </c>
      <c r="B3661" t="str">
        <v>Prostarm Info</v>
      </c>
      <c r="C3661">
        <v>-55.665224000000002</v>
      </c>
      <c r="D3661">
        <v>116.87596130371094</v>
      </c>
      <c r="E3661">
        <v>3.9309859275817871</v>
      </c>
      <c r="F3661">
        <v>3.3633999526500702E-2</v>
      </c>
      <c r="G3661">
        <v>121.86250305175781</v>
      </c>
      <c r="H3661">
        <v>0.46000000834465027</v>
      </c>
      <c r="I3661">
        <v>702.96002197265625</v>
      </c>
      <c r="J3661">
        <v>13</v>
      </c>
    </row>
    <row r="3662" spans="1:10" x14ac:dyDescent="0.25">
      <c r="A3662">
        <v>78092</v>
      </c>
      <c r="B3662" t="str">
        <v>Schloss Bglr</v>
      </c>
      <c r="C3662">
        <v>-126.53556500000001</v>
      </c>
      <c r="D3662">
        <v>417.02410888671875</v>
      </c>
      <c r="E3662">
        <v>15.010610580444336</v>
      </c>
      <c r="F3662">
        <v>3.59949991106987E-2</v>
      </c>
      <c r="G3662">
        <v>390.875</v>
      </c>
      <c r="H3662">
        <v>0.55000001192092896</v>
      </c>
      <c r="I3662">
        <v>13034.3798828125</v>
      </c>
      <c r="J3662">
        <v>14</v>
      </c>
    </row>
    <row r="3663" spans="1:10" x14ac:dyDescent="0.25">
      <c r="A3663">
        <v>4754</v>
      </c>
      <c r="B3663" t="str">
        <v>Shikhar Cons.</v>
      </c>
      <c r="C3663">
        <v>786.302413</v>
      </c>
      <c r="D3663">
        <v>1.8899999856948853</v>
      </c>
      <c r="E3663">
        <v>9.0000003576278687E-2</v>
      </c>
      <c r="F3663">
        <v>4.761900007724762E-2</v>
      </c>
      <c r="G3663">
        <v>1.9800000190734863</v>
      </c>
      <c r="H3663">
        <v>0.25999999046325684</v>
      </c>
      <c r="I3663">
        <v>0.89999997615814209</v>
      </c>
      <c r="J3663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21541-271E-46F1-93D1-3B628A11F2DE}">
  <sheetPr codeName="Sheet2"/>
  <dimension ref="A1:J2"/>
  <sheetViews>
    <sheetView workbookViewId="0">
      <selection activeCell="A2" sqref="A2"/>
    </sheetView>
  </sheetViews>
  <sheetFormatPr defaultRowHeight="15" x14ac:dyDescent="0.25"/>
  <sheetData>
    <row r="1" spans="1:10" x14ac:dyDescent="0.25">
      <c r="A1" t="str" cm="1">
        <f t="array" ref="A1:J2">get_all_data_as_array("D:\OneDrive - 0yt2k\Excel Examples Including  add-in xlwings and connected python - vba - dlls, etc\20_Microns.csv")</f>
        <v>Capitaline_Code</v>
      </c>
      <c r="B1" t="str">
        <v>Company_Name</v>
      </c>
      <c r="C1" t="str">
        <v>Price_CAGR</v>
      </c>
      <c r="D1" t="str">
        <v>Mean_Price</v>
      </c>
      <c r="E1" t="str">
        <v>Standard_Deviation</v>
      </c>
      <c r="F1" t="str">
        <v>COV</v>
      </c>
      <c r="G1" t="str">
        <v>Latest_Price</v>
      </c>
      <c r="H1" t="str">
        <v>Latest_Debt_Equity</v>
      </c>
      <c r="I1" t="str">
        <v>Latest_Market_Cap</v>
      </c>
      <c r="J1" t="str">
        <v>Data_Points</v>
      </c>
    </row>
    <row r="2" spans="1:10" x14ac:dyDescent="0.25">
      <c r="A2">
        <v>23450</v>
      </c>
      <c r="B2" t="str">
        <v>20 Microns</v>
      </c>
      <c r="C2">
        <v>35.391241000000001</v>
      </c>
      <c r="D2">
        <v>109.25541687011719</v>
      </c>
      <c r="E2">
        <v>76.369010925292969</v>
      </c>
      <c r="F2">
        <v>0.69899499416351318</v>
      </c>
      <c r="G2">
        <v>229.23750305175781</v>
      </c>
      <c r="H2">
        <v>0.31000000238418579</v>
      </c>
      <c r="I2">
        <v>792.8900146484375</v>
      </c>
      <c r="J2">
        <v>1358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C3E2-8639-4705-9B77-8B7643536286}">
  <sheetPr codeName="Sheet3"/>
  <dimension ref="A1:P1359"/>
  <sheetViews>
    <sheetView workbookViewId="0">
      <selection activeCell="M5" sqref="M5"/>
    </sheetView>
  </sheetViews>
  <sheetFormatPr defaultRowHeight="15" x14ac:dyDescent="0.25"/>
  <cols>
    <col min="1" max="1" width="15" bestFit="1" customWidth="1"/>
    <col min="2" max="2" width="15.140625" bestFit="1" customWidth="1"/>
    <col min="3" max="3" width="10.42578125" bestFit="1" customWidth="1"/>
    <col min="4" max="4" width="10.5703125" bestFit="1" customWidth="1"/>
    <col min="5" max="5" width="9.85546875" bestFit="1" customWidth="1"/>
    <col min="6" max="6" width="9.28515625" bestFit="1" customWidth="1"/>
    <col min="7" max="7" width="10.7109375" bestFit="1" customWidth="1"/>
    <col min="8" max="8" width="22.5703125" bestFit="1" customWidth="1"/>
    <col min="9" max="9" width="10.85546875" bestFit="1" customWidth="1"/>
    <col min="10" max="10" width="16.140625" bestFit="1" customWidth="1"/>
  </cols>
  <sheetData>
    <row r="1" spans="1:16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12</v>
      </c>
    </row>
    <row r="2" spans="1:16" x14ac:dyDescent="0.25">
      <c r="A2" s="1" t="s">
        <v>10</v>
      </c>
      <c r="B2" s="1" t="s">
        <v>11</v>
      </c>
      <c r="C2" s="2">
        <v>43831</v>
      </c>
      <c r="D2">
        <v>36</v>
      </c>
      <c r="E2">
        <v>36</v>
      </c>
      <c r="F2">
        <v>35.549999999999997</v>
      </c>
      <c r="G2">
        <v>35.85</v>
      </c>
      <c r="H2">
        <v>1955</v>
      </c>
      <c r="I2">
        <v>126.5</v>
      </c>
      <c r="J2">
        <v>0.31</v>
      </c>
      <c r="K2" cm="1">
        <f t="array" ref="K2:K1359">_xlfn.MAP(D2:D1359,E2:E1359,F2:F1359,G2:G1359,_xlfn.LAMBDA(_xlpm.a,_xlpm.b,_xlpm.c,_xlpm.d,ROUND(AVERAGE(_xlpm.a,_xlpm.b,_xlpm.c,_xlpm.d),4)))</f>
        <v>35.85</v>
      </c>
      <c r="L2">
        <f>C1359-C2</f>
        <v>1996</v>
      </c>
      <c r="M2">
        <f>L2/365</f>
        <v>5.4684931506849317</v>
      </c>
      <c r="N2">
        <f>M2*4</f>
        <v>21.873972602739727</v>
      </c>
      <c r="O2" s="3">
        <f>(((K1359/K2)^(1/(((C1359-C2)/365)*4)))-1)*4</f>
        <v>0.35409733201160254</v>
      </c>
      <c r="P2">
        <f>AVERAGE(_xlfn.ANCHORARRAY(K2))</f>
        <v>109.25541789396169</v>
      </c>
    </row>
    <row r="3" spans="1:16" x14ac:dyDescent="0.25">
      <c r="A3" s="1" t="s">
        <v>10</v>
      </c>
      <c r="B3" s="1" t="s">
        <v>11</v>
      </c>
      <c r="C3" s="2">
        <v>43832</v>
      </c>
      <c r="D3">
        <v>35.549999999999997</v>
      </c>
      <c r="E3">
        <v>35.950000000000003</v>
      </c>
      <c r="F3">
        <v>35.299999999999997</v>
      </c>
      <c r="G3">
        <v>35.700000000000003</v>
      </c>
      <c r="H3">
        <v>3032</v>
      </c>
      <c r="I3">
        <v>125.97</v>
      </c>
      <c r="J3">
        <v>0.31</v>
      </c>
      <c r="K3">
        <v>35.625</v>
      </c>
      <c r="L3">
        <f>AVERAGE(_xlfn.ANCHORARRAY(K2))</f>
        <v>109.25541789396169</v>
      </c>
    </row>
    <row r="4" spans="1:16" x14ac:dyDescent="0.25">
      <c r="A4" s="1" t="s">
        <v>10</v>
      </c>
      <c r="B4" s="1" t="s">
        <v>11</v>
      </c>
      <c r="C4" s="2">
        <v>43833</v>
      </c>
      <c r="D4">
        <v>35.85</v>
      </c>
      <c r="E4">
        <v>35.85</v>
      </c>
      <c r="F4">
        <v>35</v>
      </c>
      <c r="G4">
        <v>35.15</v>
      </c>
      <c r="H4">
        <v>2749</v>
      </c>
      <c r="I4">
        <v>124.03</v>
      </c>
      <c r="J4">
        <v>0.31</v>
      </c>
      <c r="K4">
        <v>35.462499999999999</v>
      </c>
      <c r="L4">
        <f>_xlfn.STDEV.S(_xlfn.ANCHORARRAY(K2))</f>
        <v>76.369006855179748</v>
      </c>
      <c r="M4">
        <f>L4/L3</f>
        <v>0.69899514666906504</v>
      </c>
    </row>
    <row r="5" spans="1:16" x14ac:dyDescent="0.25">
      <c r="A5" s="1" t="s">
        <v>10</v>
      </c>
      <c r="B5" s="1" t="s">
        <v>11</v>
      </c>
      <c r="C5" s="2">
        <v>43836</v>
      </c>
      <c r="D5">
        <v>34</v>
      </c>
      <c r="E5">
        <v>34.549999999999997</v>
      </c>
      <c r="F5">
        <v>32.200000000000003</v>
      </c>
      <c r="G5">
        <v>32.85</v>
      </c>
      <c r="H5">
        <v>8867</v>
      </c>
      <c r="I5">
        <v>115.92</v>
      </c>
      <c r="J5">
        <v>0.31</v>
      </c>
      <c r="K5">
        <v>33.4</v>
      </c>
      <c r="O5">
        <f>K1359</f>
        <v>229.23750000000001</v>
      </c>
    </row>
    <row r="6" spans="1:16" x14ac:dyDescent="0.25">
      <c r="A6" s="1" t="s">
        <v>10</v>
      </c>
      <c r="B6" s="1" t="s">
        <v>11</v>
      </c>
      <c r="C6" s="2">
        <v>43837</v>
      </c>
      <c r="D6">
        <v>33.15</v>
      </c>
      <c r="E6">
        <v>34.700000000000003</v>
      </c>
      <c r="F6">
        <v>32.950000000000003</v>
      </c>
      <c r="G6">
        <v>33.25</v>
      </c>
      <c r="H6">
        <v>62277</v>
      </c>
      <c r="I6">
        <v>117.33</v>
      </c>
      <c r="J6">
        <v>0.31</v>
      </c>
      <c r="K6">
        <v>33.512500000000003</v>
      </c>
      <c r="O6">
        <f>K2</f>
        <v>35.85</v>
      </c>
    </row>
    <row r="7" spans="1:16" x14ac:dyDescent="0.25">
      <c r="A7" s="1" t="s">
        <v>10</v>
      </c>
      <c r="B7" s="1" t="s">
        <v>11</v>
      </c>
      <c r="C7" s="2">
        <v>43838</v>
      </c>
      <c r="D7">
        <v>33.049999999999997</v>
      </c>
      <c r="E7">
        <v>33.049999999999997</v>
      </c>
      <c r="F7">
        <v>32.5</v>
      </c>
      <c r="G7">
        <v>32.549999999999997</v>
      </c>
      <c r="H7">
        <v>5288</v>
      </c>
      <c r="I7">
        <v>114.86</v>
      </c>
      <c r="J7">
        <v>0.31</v>
      </c>
      <c r="K7">
        <v>32.787500000000001</v>
      </c>
      <c r="O7">
        <f>O6*((1+(O2/4))^N2)</f>
        <v>229.23749999999959</v>
      </c>
    </row>
    <row r="8" spans="1:16" x14ac:dyDescent="0.25">
      <c r="A8" s="1" t="s">
        <v>10</v>
      </c>
      <c r="B8" s="1" t="s">
        <v>11</v>
      </c>
      <c r="C8" s="2">
        <v>43839</v>
      </c>
      <c r="D8">
        <v>33.799999999999997</v>
      </c>
      <c r="E8">
        <v>34.35</v>
      </c>
      <c r="F8">
        <v>33.25</v>
      </c>
      <c r="G8">
        <v>33.450000000000003</v>
      </c>
      <c r="H8">
        <v>3601</v>
      </c>
      <c r="I8">
        <v>118.03</v>
      </c>
      <c r="J8">
        <v>0.31</v>
      </c>
      <c r="K8">
        <v>33.712499999999999</v>
      </c>
    </row>
    <row r="9" spans="1:16" x14ac:dyDescent="0.25">
      <c r="A9" s="1" t="s">
        <v>10</v>
      </c>
      <c r="B9" s="1" t="s">
        <v>11</v>
      </c>
      <c r="C9" s="2">
        <v>43840</v>
      </c>
      <c r="D9">
        <v>33.950000000000003</v>
      </c>
      <c r="E9">
        <v>34.799999999999997</v>
      </c>
      <c r="F9">
        <v>33.799999999999997</v>
      </c>
      <c r="G9">
        <v>34.35</v>
      </c>
      <c r="H9">
        <v>10896</v>
      </c>
      <c r="I9">
        <v>121.21</v>
      </c>
      <c r="J9">
        <v>0.31</v>
      </c>
      <c r="K9">
        <v>34.225000000000001</v>
      </c>
    </row>
    <row r="10" spans="1:16" x14ac:dyDescent="0.25">
      <c r="A10" s="1" t="s">
        <v>10</v>
      </c>
      <c r="B10" s="1" t="s">
        <v>11</v>
      </c>
      <c r="C10" s="2">
        <v>43843</v>
      </c>
      <c r="D10">
        <v>33.4</v>
      </c>
      <c r="E10">
        <v>36.950000000000003</v>
      </c>
      <c r="F10">
        <v>33.4</v>
      </c>
      <c r="G10">
        <v>36</v>
      </c>
      <c r="H10">
        <v>14597</v>
      </c>
      <c r="I10">
        <v>127.03</v>
      </c>
      <c r="J10">
        <v>0.31</v>
      </c>
      <c r="K10">
        <v>34.9375</v>
      </c>
    </row>
    <row r="11" spans="1:16" x14ac:dyDescent="0.25">
      <c r="A11" s="1" t="s">
        <v>10</v>
      </c>
      <c r="B11" s="1" t="s">
        <v>11</v>
      </c>
      <c r="C11" s="2">
        <v>43844</v>
      </c>
      <c r="D11">
        <v>36.4</v>
      </c>
      <c r="E11">
        <v>36.85</v>
      </c>
      <c r="F11">
        <v>35.450000000000003</v>
      </c>
      <c r="G11">
        <v>36.15</v>
      </c>
      <c r="H11">
        <v>8656</v>
      </c>
      <c r="I11">
        <v>127.56</v>
      </c>
      <c r="J11">
        <v>0.31</v>
      </c>
      <c r="K11">
        <v>36.212499999999999</v>
      </c>
    </row>
    <row r="12" spans="1:16" x14ac:dyDescent="0.25">
      <c r="A12" s="1" t="s">
        <v>10</v>
      </c>
      <c r="B12" s="1" t="s">
        <v>11</v>
      </c>
      <c r="C12" s="2">
        <v>43845</v>
      </c>
      <c r="D12">
        <v>36.15</v>
      </c>
      <c r="E12">
        <v>36.700000000000003</v>
      </c>
      <c r="F12">
        <v>36</v>
      </c>
      <c r="G12">
        <v>36.1</v>
      </c>
      <c r="H12">
        <v>1369</v>
      </c>
      <c r="I12">
        <v>127.38</v>
      </c>
      <c r="J12">
        <v>0.31</v>
      </c>
      <c r="K12">
        <v>36.237499999999997</v>
      </c>
    </row>
    <row r="13" spans="1:16" x14ac:dyDescent="0.25">
      <c r="A13" s="1" t="s">
        <v>10</v>
      </c>
      <c r="B13" s="1" t="s">
        <v>11</v>
      </c>
      <c r="C13" s="2">
        <v>43846</v>
      </c>
      <c r="D13">
        <v>36.15</v>
      </c>
      <c r="E13">
        <v>36.25</v>
      </c>
      <c r="F13">
        <v>35.65</v>
      </c>
      <c r="G13">
        <v>35.75</v>
      </c>
      <c r="H13">
        <v>3195</v>
      </c>
      <c r="I13">
        <v>126.15</v>
      </c>
      <c r="J13">
        <v>0.31</v>
      </c>
      <c r="K13">
        <v>35.950000000000003</v>
      </c>
    </row>
    <row r="14" spans="1:16" x14ac:dyDescent="0.25">
      <c r="A14" s="1" t="s">
        <v>10</v>
      </c>
      <c r="B14" s="1" t="s">
        <v>11</v>
      </c>
      <c r="C14" s="2">
        <v>43847</v>
      </c>
      <c r="D14">
        <v>35.6</v>
      </c>
      <c r="E14">
        <v>35.6</v>
      </c>
      <c r="F14">
        <v>34.9</v>
      </c>
      <c r="G14">
        <v>35.15</v>
      </c>
      <c r="H14">
        <v>564</v>
      </c>
      <c r="I14">
        <v>124.03</v>
      </c>
      <c r="J14">
        <v>0.31</v>
      </c>
      <c r="K14">
        <v>35.3125</v>
      </c>
    </row>
    <row r="15" spans="1:16" x14ac:dyDescent="0.25">
      <c r="A15" s="1" t="s">
        <v>10</v>
      </c>
      <c r="B15" s="1" t="s">
        <v>11</v>
      </c>
      <c r="C15" s="2">
        <v>43850</v>
      </c>
      <c r="D15">
        <v>35</v>
      </c>
      <c r="E15">
        <v>35.65</v>
      </c>
      <c r="F15">
        <v>34.200000000000003</v>
      </c>
      <c r="G15">
        <v>34.35</v>
      </c>
      <c r="H15">
        <v>9129</v>
      </c>
      <c r="I15">
        <v>121.21</v>
      </c>
      <c r="J15">
        <v>0.31</v>
      </c>
      <c r="K15">
        <v>34.799999999999997</v>
      </c>
    </row>
    <row r="16" spans="1:16" x14ac:dyDescent="0.25">
      <c r="A16" s="1" t="s">
        <v>10</v>
      </c>
      <c r="B16" s="1" t="s">
        <v>11</v>
      </c>
      <c r="C16" s="2">
        <v>43851</v>
      </c>
      <c r="D16">
        <v>34.5</v>
      </c>
      <c r="E16">
        <v>34.65</v>
      </c>
      <c r="F16">
        <v>34.200000000000003</v>
      </c>
      <c r="G16">
        <v>34.4</v>
      </c>
      <c r="H16">
        <v>5291</v>
      </c>
      <c r="I16">
        <v>121.39</v>
      </c>
      <c r="J16">
        <v>0.31</v>
      </c>
      <c r="K16">
        <v>34.4375</v>
      </c>
    </row>
    <row r="17" spans="1:11" x14ac:dyDescent="0.25">
      <c r="A17" s="1" t="s">
        <v>10</v>
      </c>
      <c r="B17" s="1" t="s">
        <v>11</v>
      </c>
      <c r="C17" s="2">
        <v>43852</v>
      </c>
      <c r="D17">
        <v>34.85</v>
      </c>
      <c r="E17">
        <v>34.85</v>
      </c>
      <c r="F17">
        <v>33.35</v>
      </c>
      <c r="G17">
        <v>33.549999999999997</v>
      </c>
      <c r="H17">
        <v>14642</v>
      </c>
      <c r="I17">
        <v>118.39</v>
      </c>
      <c r="J17">
        <v>0.31</v>
      </c>
      <c r="K17">
        <v>34.15</v>
      </c>
    </row>
    <row r="18" spans="1:11" x14ac:dyDescent="0.25">
      <c r="A18" s="1" t="s">
        <v>10</v>
      </c>
      <c r="B18" s="1" t="s">
        <v>11</v>
      </c>
      <c r="C18" s="2">
        <v>43853</v>
      </c>
      <c r="D18">
        <v>33.5</v>
      </c>
      <c r="E18">
        <v>33.950000000000003</v>
      </c>
      <c r="F18">
        <v>33.5</v>
      </c>
      <c r="G18">
        <v>33.799999999999997</v>
      </c>
      <c r="H18">
        <v>963</v>
      </c>
      <c r="I18">
        <v>119.27</v>
      </c>
      <c r="J18">
        <v>0.31</v>
      </c>
      <c r="K18">
        <v>33.6875</v>
      </c>
    </row>
    <row r="19" spans="1:11" x14ac:dyDescent="0.25">
      <c r="A19" s="1" t="s">
        <v>10</v>
      </c>
      <c r="B19" s="1" t="s">
        <v>11</v>
      </c>
      <c r="C19" s="2">
        <v>43854</v>
      </c>
      <c r="D19">
        <v>36.450000000000003</v>
      </c>
      <c r="E19">
        <v>38</v>
      </c>
      <c r="F19">
        <v>33.799999999999997</v>
      </c>
      <c r="G19">
        <v>36.6</v>
      </c>
      <c r="H19">
        <v>28153</v>
      </c>
      <c r="I19">
        <v>129.15</v>
      </c>
      <c r="J19">
        <v>0.31</v>
      </c>
      <c r="K19">
        <v>36.212499999999999</v>
      </c>
    </row>
    <row r="20" spans="1:11" x14ac:dyDescent="0.25">
      <c r="A20" s="1" t="s">
        <v>10</v>
      </c>
      <c r="B20" s="1" t="s">
        <v>11</v>
      </c>
      <c r="C20" s="2">
        <v>43857</v>
      </c>
      <c r="D20">
        <v>36.700000000000003</v>
      </c>
      <c r="E20">
        <v>36.85</v>
      </c>
      <c r="F20">
        <v>36.25</v>
      </c>
      <c r="G20">
        <v>36.35</v>
      </c>
      <c r="H20">
        <v>5330</v>
      </c>
      <c r="I20">
        <v>128.27000000000001</v>
      </c>
      <c r="J20">
        <v>0.31</v>
      </c>
      <c r="K20">
        <v>36.537500000000001</v>
      </c>
    </row>
    <row r="21" spans="1:11" x14ac:dyDescent="0.25">
      <c r="A21" s="1" t="s">
        <v>10</v>
      </c>
      <c r="B21" s="1" t="s">
        <v>11</v>
      </c>
      <c r="C21" s="2">
        <v>43858</v>
      </c>
      <c r="D21">
        <v>36.5</v>
      </c>
      <c r="E21">
        <v>36.9</v>
      </c>
      <c r="F21">
        <v>35.299999999999997</v>
      </c>
      <c r="G21">
        <v>35.799999999999997</v>
      </c>
      <c r="H21">
        <v>3122</v>
      </c>
      <c r="I21">
        <v>126.33</v>
      </c>
      <c r="J21">
        <v>0.31</v>
      </c>
      <c r="K21">
        <v>36.125</v>
      </c>
    </row>
    <row r="22" spans="1:11" x14ac:dyDescent="0.25">
      <c r="A22" s="1" t="s">
        <v>10</v>
      </c>
      <c r="B22" s="1" t="s">
        <v>11</v>
      </c>
      <c r="C22" s="2">
        <v>43859</v>
      </c>
      <c r="D22">
        <v>36</v>
      </c>
      <c r="E22">
        <v>36</v>
      </c>
      <c r="F22">
        <v>35</v>
      </c>
      <c r="G22">
        <v>35.049999999999997</v>
      </c>
      <c r="H22">
        <v>1012</v>
      </c>
      <c r="I22">
        <v>123.68</v>
      </c>
      <c r="J22">
        <v>0.31</v>
      </c>
      <c r="K22">
        <v>35.512500000000003</v>
      </c>
    </row>
    <row r="23" spans="1:11" x14ac:dyDescent="0.25">
      <c r="A23" s="1" t="s">
        <v>10</v>
      </c>
      <c r="B23" s="1" t="s">
        <v>11</v>
      </c>
      <c r="C23" s="2">
        <v>43860</v>
      </c>
      <c r="D23">
        <v>35.450000000000003</v>
      </c>
      <c r="E23">
        <v>35.9</v>
      </c>
      <c r="F23">
        <v>34.35</v>
      </c>
      <c r="G23">
        <v>34.4</v>
      </c>
      <c r="H23">
        <v>722</v>
      </c>
      <c r="I23">
        <v>121.39</v>
      </c>
      <c r="J23">
        <v>0.31</v>
      </c>
      <c r="K23">
        <v>35.024999999999999</v>
      </c>
    </row>
    <row r="24" spans="1:11" x14ac:dyDescent="0.25">
      <c r="A24" s="1" t="s">
        <v>10</v>
      </c>
      <c r="B24" s="1" t="s">
        <v>11</v>
      </c>
      <c r="C24" s="2">
        <v>43861</v>
      </c>
      <c r="D24">
        <v>34.75</v>
      </c>
      <c r="E24">
        <v>36</v>
      </c>
      <c r="F24">
        <v>34.700000000000003</v>
      </c>
      <c r="G24">
        <v>34.950000000000003</v>
      </c>
      <c r="H24">
        <v>2956</v>
      </c>
      <c r="I24">
        <v>123.33</v>
      </c>
      <c r="J24">
        <v>0.31</v>
      </c>
      <c r="K24">
        <v>35.1</v>
      </c>
    </row>
    <row r="25" spans="1:11" x14ac:dyDescent="0.25">
      <c r="A25" s="1" t="s">
        <v>10</v>
      </c>
      <c r="B25" s="1" t="s">
        <v>11</v>
      </c>
      <c r="C25" s="2">
        <v>43862</v>
      </c>
      <c r="D25">
        <v>34.549999999999997</v>
      </c>
      <c r="E25">
        <v>34.6</v>
      </c>
      <c r="F25">
        <v>33</v>
      </c>
      <c r="G25">
        <v>33.85</v>
      </c>
      <c r="H25">
        <v>597</v>
      </c>
      <c r="I25">
        <v>119.44</v>
      </c>
      <c r="J25">
        <v>0.31</v>
      </c>
      <c r="K25">
        <v>34</v>
      </c>
    </row>
    <row r="26" spans="1:11" x14ac:dyDescent="0.25">
      <c r="A26" s="1" t="s">
        <v>10</v>
      </c>
      <c r="B26" s="1" t="s">
        <v>11</v>
      </c>
      <c r="C26" s="2">
        <v>43864</v>
      </c>
      <c r="D26">
        <v>33.700000000000003</v>
      </c>
      <c r="E26">
        <v>34.700000000000003</v>
      </c>
      <c r="F26">
        <v>33.700000000000003</v>
      </c>
      <c r="G26">
        <v>34.1</v>
      </c>
      <c r="H26">
        <v>300</v>
      </c>
      <c r="I26">
        <v>120.33</v>
      </c>
      <c r="J26">
        <v>0.31</v>
      </c>
      <c r="K26">
        <v>34.049999999999997</v>
      </c>
    </row>
    <row r="27" spans="1:11" x14ac:dyDescent="0.25">
      <c r="A27" s="1" t="s">
        <v>10</v>
      </c>
      <c r="B27" s="1" t="s">
        <v>11</v>
      </c>
      <c r="C27" s="2">
        <v>43865</v>
      </c>
      <c r="D27">
        <v>34.9</v>
      </c>
      <c r="E27">
        <v>35.1</v>
      </c>
      <c r="F27">
        <v>34.65</v>
      </c>
      <c r="G27">
        <v>34.75</v>
      </c>
      <c r="H27">
        <v>6961</v>
      </c>
      <c r="I27">
        <v>122.62</v>
      </c>
      <c r="J27">
        <v>0.31</v>
      </c>
      <c r="K27">
        <v>34.85</v>
      </c>
    </row>
    <row r="28" spans="1:11" x14ac:dyDescent="0.25">
      <c r="A28" s="1" t="s">
        <v>10</v>
      </c>
      <c r="B28" s="1" t="s">
        <v>11</v>
      </c>
      <c r="C28" s="2">
        <v>43866</v>
      </c>
      <c r="D28">
        <v>34.9</v>
      </c>
      <c r="E28">
        <v>35.049999999999997</v>
      </c>
      <c r="F28">
        <v>34.549999999999997</v>
      </c>
      <c r="G28">
        <v>34.799999999999997</v>
      </c>
      <c r="H28">
        <v>891</v>
      </c>
      <c r="I28">
        <v>122.8</v>
      </c>
      <c r="J28">
        <v>0.31</v>
      </c>
      <c r="K28">
        <v>34.825000000000003</v>
      </c>
    </row>
    <row r="29" spans="1:11" x14ac:dyDescent="0.25">
      <c r="A29" s="1" t="s">
        <v>10</v>
      </c>
      <c r="B29" s="1" t="s">
        <v>11</v>
      </c>
      <c r="C29" s="2">
        <v>43867</v>
      </c>
      <c r="D29">
        <v>35.5</v>
      </c>
      <c r="E29">
        <v>35.549999999999997</v>
      </c>
      <c r="F29">
        <v>34.15</v>
      </c>
      <c r="G29">
        <v>34.200000000000003</v>
      </c>
      <c r="H29">
        <v>6582</v>
      </c>
      <c r="I29">
        <v>120.68</v>
      </c>
      <c r="J29">
        <v>0.31</v>
      </c>
      <c r="K29">
        <v>34.85</v>
      </c>
    </row>
    <row r="30" spans="1:11" x14ac:dyDescent="0.25">
      <c r="A30" s="1" t="s">
        <v>10</v>
      </c>
      <c r="B30" s="1" t="s">
        <v>11</v>
      </c>
      <c r="C30" s="2">
        <v>43868</v>
      </c>
      <c r="D30">
        <v>34.700000000000003</v>
      </c>
      <c r="E30">
        <v>34.700000000000003</v>
      </c>
      <c r="F30">
        <v>33.9</v>
      </c>
      <c r="G30">
        <v>33.950000000000003</v>
      </c>
      <c r="H30">
        <v>5705</v>
      </c>
      <c r="I30">
        <v>119.8</v>
      </c>
      <c r="J30">
        <v>0.31</v>
      </c>
      <c r="K30">
        <v>34.3125</v>
      </c>
    </row>
    <row r="31" spans="1:11" x14ac:dyDescent="0.25">
      <c r="A31" s="1" t="s">
        <v>10</v>
      </c>
      <c r="B31" s="1" t="s">
        <v>11</v>
      </c>
      <c r="C31" s="2">
        <v>43871</v>
      </c>
      <c r="D31">
        <v>34.450000000000003</v>
      </c>
      <c r="E31">
        <v>35.6</v>
      </c>
      <c r="F31">
        <v>33.9</v>
      </c>
      <c r="G31">
        <v>33.950000000000003</v>
      </c>
      <c r="H31">
        <v>5113</v>
      </c>
      <c r="I31">
        <v>119.8</v>
      </c>
      <c r="J31">
        <v>0.31</v>
      </c>
      <c r="K31">
        <v>34.475000000000001</v>
      </c>
    </row>
    <row r="32" spans="1:11" x14ac:dyDescent="0.25">
      <c r="A32" s="1" t="s">
        <v>10</v>
      </c>
      <c r="B32" s="1" t="s">
        <v>11</v>
      </c>
      <c r="C32" s="2">
        <v>43872</v>
      </c>
      <c r="D32">
        <v>34.5</v>
      </c>
      <c r="E32">
        <v>35.1</v>
      </c>
      <c r="F32">
        <v>33.549999999999997</v>
      </c>
      <c r="G32">
        <v>34.1</v>
      </c>
      <c r="H32">
        <v>2650</v>
      </c>
      <c r="I32">
        <v>120.33</v>
      </c>
      <c r="J32">
        <v>0.31</v>
      </c>
      <c r="K32">
        <v>34.3125</v>
      </c>
    </row>
    <row r="33" spans="1:11" x14ac:dyDescent="0.25">
      <c r="A33" s="1" t="s">
        <v>10</v>
      </c>
      <c r="B33" s="1" t="s">
        <v>11</v>
      </c>
      <c r="C33" s="2">
        <v>43873</v>
      </c>
      <c r="D33">
        <v>34.5</v>
      </c>
      <c r="E33">
        <v>35.9</v>
      </c>
      <c r="F33">
        <v>33.700000000000003</v>
      </c>
      <c r="G33">
        <v>34.4</v>
      </c>
      <c r="H33">
        <v>13547</v>
      </c>
      <c r="I33">
        <v>121.39</v>
      </c>
      <c r="J33">
        <v>0.31</v>
      </c>
      <c r="K33">
        <v>34.625</v>
      </c>
    </row>
    <row r="34" spans="1:11" x14ac:dyDescent="0.25">
      <c r="A34" s="1" t="s">
        <v>10</v>
      </c>
      <c r="B34" s="1" t="s">
        <v>11</v>
      </c>
      <c r="C34" s="2">
        <v>43874</v>
      </c>
      <c r="D34">
        <v>35</v>
      </c>
      <c r="E34">
        <v>35.75</v>
      </c>
      <c r="F34">
        <v>34.5</v>
      </c>
      <c r="G34">
        <v>35.200000000000003</v>
      </c>
      <c r="H34">
        <v>18091</v>
      </c>
      <c r="I34">
        <v>124.21</v>
      </c>
      <c r="J34">
        <v>0.31</v>
      </c>
      <c r="K34">
        <v>35.112499999999997</v>
      </c>
    </row>
    <row r="35" spans="1:11" x14ac:dyDescent="0.25">
      <c r="A35" s="1" t="s">
        <v>10</v>
      </c>
      <c r="B35" s="1" t="s">
        <v>11</v>
      </c>
      <c r="C35" s="2">
        <v>43875</v>
      </c>
      <c r="D35">
        <v>35.4</v>
      </c>
      <c r="E35">
        <v>35.4</v>
      </c>
      <c r="F35">
        <v>34.65</v>
      </c>
      <c r="G35">
        <v>34.75</v>
      </c>
      <c r="H35">
        <v>2114</v>
      </c>
      <c r="I35">
        <v>122.62</v>
      </c>
      <c r="J35">
        <v>0.31</v>
      </c>
      <c r="K35">
        <v>35.049999999999997</v>
      </c>
    </row>
    <row r="36" spans="1:11" x14ac:dyDescent="0.25">
      <c r="A36" s="1" t="s">
        <v>10</v>
      </c>
      <c r="B36" s="1" t="s">
        <v>11</v>
      </c>
      <c r="C36" s="2">
        <v>43878</v>
      </c>
      <c r="D36">
        <v>34.4</v>
      </c>
      <c r="E36">
        <v>34.75</v>
      </c>
      <c r="F36">
        <v>33.6</v>
      </c>
      <c r="G36">
        <v>33.65</v>
      </c>
      <c r="H36">
        <v>2684</v>
      </c>
      <c r="I36">
        <v>118.74</v>
      </c>
      <c r="J36">
        <v>0.31</v>
      </c>
      <c r="K36">
        <v>34.1</v>
      </c>
    </row>
    <row r="37" spans="1:11" x14ac:dyDescent="0.25">
      <c r="A37" s="1" t="s">
        <v>10</v>
      </c>
      <c r="B37" s="1" t="s">
        <v>11</v>
      </c>
      <c r="C37" s="2">
        <v>43879</v>
      </c>
      <c r="D37">
        <v>33.1</v>
      </c>
      <c r="E37">
        <v>33.4</v>
      </c>
      <c r="F37">
        <v>32.1</v>
      </c>
      <c r="G37">
        <v>32.75</v>
      </c>
      <c r="H37">
        <v>4671</v>
      </c>
      <c r="I37">
        <v>115.56</v>
      </c>
      <c r="J37">
        <v>0.31</v>
      </c>
      <c r="K37">
        <v>32.837499999999999</v>
      </c>
    </row>
    <row r="38" spans="1:11" x14ac:dyDescent="0.25">
      <c r="A38" s="1" t="s">
        <v>10</v>
      </c>
      <c r="B38" s="1" t="s">
        <v>11</v>
      </c>
      <c r="C38" s="2">
        <v>43880</v>
      </c>
      <c r="D38">
        <v>33.4</v>
      </c>
      <c r="E38">
        <v>33.4</v>
      </c>
      <c r="F38">
        <v>32.65</v>
      </c>
      <c r="G38">
        <v>32.799999999999997</v>
      </c>
      <c r="H38">
        <v>5533</v>
      </c>
      <c r="I38">
        <v>115.74</v>
      </c>
      <c r="J38">
        <v>0.31</v>
      </c>
      <c r="K38">
        <v>33.0625</v>
      </c>
    </row>
    <row r="39" spans="1:11" x14ac:dyDescent="0.25">
      <c r="A39" s="1" t="s">
        <v>10</v>
      </c>
      <c r="B39" s="1" t="s">
        <v>11</v>
      </c>
      <c r="C39" s="2">
        <v>43881</v>
      </c>
      <c r="D39">
        <v>34</v>
      </c>
      <c r="E39">
        <v>35.1</v>
      </c>
      <c r="F39">
        <v>33.700000000000003</v>
      </c>
      <c r="G39">
        <v>34.549999999999997</v>
      </c>
      <c r="H39">
        <v>14072</v>
      </c>
      <c r="I39">
        <v>121.91</v>
      </c>
      <c r="J39">
        <v>0.31</v>
      </c>
      <c r="K39">
        <v>34.337499999999999</v>
      </c>
    </row>
    <row r="40" spans="1:11" x14ac:dyDescent="0.25">
      <c r="A40" s="1" t="s">
        <v>10</v>
      </c>
      <c r="B40" s="1" t="s">
        <v>11</v>
      </c>
      <c r="C40" s="2">
        <v>43885</v>
      </c>
      <c r="D40">
        <v>34.549999999999997</v>
      </c>
      <c r="E40">
        <v>34.549999999999997</v>
      </c>
      <c r="F40">
        <v>33.799999999999997</v>
      </c>
      <c r="G40">
        <v>33.85</v>
      </c>
      <c r="H40">
        <v>2214</v>
      </c>
      <c r="I40">
        <v>119.44</v>
      </c>
      <c r="J40">
        <v>0.31</v>
      </c>
      <c r="K40">
        <v>34.1875</v>
      </c>
    </row>
    <row r="41" spans="1:11" x14ac:dyDescent="0.25">
      <c r="A41" s="1" t="s">
        <v>10</v>
      </c>
      <c r="B41" s="1" t="s">
        <v>11</v>
      </c>
      <c r="C41" s="2">
        <v>43886</v>
      </c>
      <c r="D41">
        <v>33.799999999999997</v>
      </c>
      <c r="E41">
        <v>33.799999999999997</v>
      </c>
      <c r="F41">
        <v>33.200000000000003</v>
      </c>
      <c r="G41">
        <v>33.450000000000003</v>
      </c>
      <c r="H41">
        <v>818</v>
      </c>
      <c r="I41">
        <v>118.03</v>
      </c>
      <c r="J41">
        <v>0.31</v>
      </c>
      <c r="K41">
        <v>33.5625</v>
      </c>
    </row>
    <row r="42" spans="1:11" x14ac:dyDescent="0.25">
      <c r="A42" s="1" t="s">
        <v>10</v>
      </c>
      <c r="B42" s="1" t="s">
        <v>11</v>
      </c>
      <c r="C42" s="2">
        <v>43887</v>
      </c>
      <c r="D42">
        <v>33.200000000000003</v>
      </c>
      <c r="E42">
        <v>33.85</v>
      </c>
      <c r="F42">
        <v>33.200000000000003</v>
      </c>
      <c r="G42">
        <v>33.700000000000003</v>
      </c>
      <c r="H42">
        <v>2087</v>
      </c>
      <c r="I42">
        <v>118.92</v>
      </c>
      <c r="J42">
        <v>0.31</v>
      </c>
      <c r="K42">
        <v>33.487499999999997</v>
      </c>
    </row>
    <row r="43" spans="1:11" x14ac:dyDescent="0.25">
      <c r="A43" s="1" t="s">
        <v>10</v>
      </c>
      <c r="B43" s="1" t="s">
        <v>11</v>
      </c>
      <c r="C43" s="2">
        <v>43888</v>
      </c>
      <c r="D43">
        <v>33.15</v>
      </c>
      <c r="E43">
        <v>33.5</v>
      </c>
      <c r="F43">
        <v>32.65</v>
      </c>
      <c r="G43">
        <v>32.85</v>
      </c>
      <c r="H43">
        <v>1490</v>
      </c>
      <c r="I43">
        <v>115.92</v>
      </c>
      <c r="J43">
        <v>0.31</v>
      </c>
      <c r="K43">
        <v>33.037500000000001</v>
      </c>
    </row>
    <row r="44" spans="1:11" x14ac:dyDescent="0.25">
      <c r="A44" s="1" t="s">
        <v>10</v>
      </c>
      <c r="B44" s="1" t="s">
        <v>11</v>
      </c>
      <c r="C44" s="2">
        <v>43889</v>
      </c>
      <c r="D44">
        <v>32.5</v>
      </c>
      <c r="E44">
        <v>32.85</v>
      </c>
      <c r="F44">
        <v>30.9</v>
      </c>
      <c r="G44">
        <v>31.15</v>
      </c>
      <c r="H44">
        <v>6587</v>
      </c>
      <c r="I44">
        <v>109.92</v>
      </c>
      <c r="J44">
        <v>0.31</v>
      </c>
      <c r="K44">
        <v>31.85</v>
      </c>
    </row>
    <row r="45" spans="1:11" x14ac:dyDescent="0.25">
      <c r="A45" s="1" t="s">
        <v>10</v>
      </c>
      <c r="B45" s="1" t="s">
        <v>11</v>
      </c>
      <c r="C45" s="2">
        <v>43892</v>
      </c>
      <c r="D45">
        <v>32.1</v>
      </c>
      <c r="E45">
        <v>32.200000000000003</v>
      </c>
      <c r="F45">
        <v>31.05</v>
      </c>
      <c r="G45">
        <v>31.4</v>
      </c>
      <c r="H45">
        <v>2672</v>
      </c>
      <c r="I45">
        <v>110.8</v>
      </c>
      <c r="J45">
        <v>0.31</v>
      </c>
      <c r="K45">
        <v>31.6875</v>
      </c>
    </row>
    <row r="46" spans="1:11" x14ac:dyDescent="0.25">
      <c r="A46" s="1" t="s">
        <v>10</v>
      </c>
      <c r="B46" s="1" t="s">
        <v>11</v>
      </c>
      <c r="C46" s="2">
        <v>43893</v>
      </c>
      <c r="D46">
        <v>31.8</v>
      </c>
      <c r="E46">
        <v>31.95</v>
      </c>
      <c r="F46">
        <v>31</v>
      </c>
      <c r="G46">
        <v>31.3</v>
      </c>
      <c r="H46">
        <v>1138</v>
      </c>
      <c r="I46">
        <v>110.45</v>
      </c>
      <c r="J46">
        <v>0.31</v>
      </c>
      <c r="K46">
        <v>31.512499999999999</v>
      </c>
    </row>
    <row r="47" spans="1:11" x14ac:dyDescent="0.25">
      <c r="A47" s="1" t="s">
        <v>10</v>
      </c>
      <c r="B47" s="1" t="s">
        <v>11</v>
      </c>
      <c r="C47" s="2">
        <v>43894</v>
      </c>
      <c r="D47">
        <v>30.65</v>
      </c>
      <c r="E47">
        <v>31.05</v>
      </c>
      <c r="F47">
        <v>30</v>
      </c>
      <c r="G47">
        <v>30.2</v>
      </c>
      <c r="H47">
        <v>5026</v>
      </c>
      <c r="I47">
        <v>106.57</v>
      </c>
      <c r="J47">
        <v>0.31</v>
      </c>
      <c r="K47">
        <v>30.475000000000001</v>
      </c>
    </row>
    <row r="48" spans="1:11" x14ac:dyDescent="0.25">
      <c r="A48" s="1" t="s">
        <v>10</v>
      </c>
      <c r="B48" s="1" t="s">
        <v>11</v>
      </c>
      <c r="C48" s="2">
        <v>43895</v>
      </c>
      <c r="D48">
        <v>31</v>
      </c>
      <c r="E48">
        <v>31.9</v>
      </c>
      <c r="F48">
        <v>30.5</v>
      </c>
      <c r="G48">
        <v>30.85</v>
      </c>
      <c r="H48">
        <v>1364</v>
      </c>
      <c r="I48">
        <v>108.86</v>
      </c>
      <c r="J48">
        <v>0.31</v>
      </c>
      <c r="K48">
        <v>31.0625</v>
      </c>
    </row>
    <row r="49" spans="1:11" x14ac:dyDescent="0.25">
      <c r="A49" s="1" t="s">
        <v>10</v>
      </c>
      <c r="B49" s="1" t="s">
        <v>11</v>
      </c>
      <c r="C49" s="2">
        <v>43896</v>
      </c>
      <c r="D49">
        <v>29.5</v>
      </c>
      <c r="E49">
        <v>29.95</v>
      </c>
      <c r="F49">
        <v>28.95</v>
      </c>
      <c r="G49">
        <v>29.75</v>
      </c>
      <c r="H49">
        <v>7904</v>
      </c>
      <c r="I49">
        <v>104.98</v>
      </c>
      <c r="J49">
        <v>0.31</v>
      </c>
      <c r="K49">
        <v>29.537500000000001</v>
      </c>
    </row>
    <row r="50" spans="1:11" x14ac:dyDescent="0.25">
      <c r="A50" s="1" t="s">
        <v>10</v>
      </c>
      <c r="B50" s="1" t="s">
        <v>11</v>
      </c>
      <c r="C50" s="2">
        <v>43899</v>
      </c>
      <c r="D50">
        <v>31</v>
      </c>
      <c r="E50">
        <v>31</v>
      </c>
      <c r="F50">
        <v>26.8</v>
      </c>
      <c r="G50">
        <v>27.85</v>
      </c>
      <c r="H50">
        <v>8702</v>
      </c>
      <c r="I50">
        <v>98.27</v>
      </c>
      <c r="J50">
        <v>0.31</v>
      </c>
      <c r="K50">
        <v>29.162500000000001</v>
      </c>
    </row>
    <row r="51" spans="1:11" x14ac:dyDescent="0.25">
      <c r="A51" s="1" t="s">
        <v>10</v>
      </c>
      <c r="B51" s="1" t="s">
        <v>11</v>
      </c>
      <c r="C51" s="2">
        <v>43901</v>
      </c>
      <c r="D51">
        <v>28</v>
      </c>
      <c r="E51">
        <v>28</v>
      </c>
      <c r="F51">
        <v>26.25</v>
      </c>
      <c r="G51">
        <v>26.7</v>
      </c>
      <c r="H51">
        <v>12106</v>
      </c>
      <c r="I51">
        <v>94.21</v>
      </c>
      <c r="J51">
        <v>0.31</v>
      </c>
      <c r="K51">
        <v>27.237500000000001</v>
      </c>
    </row>
    <row r="52" spans="1:11" x14ac:dyDescent="0.25">
      <c r="A52" s="1" t="s">
        <v>10</v>
      </c>
      <c r="B52" s="1" t="s">
        <v>11</v>
      </c>
      <c r="C52" s="2">
        <v>43902</v>
      </c>
      <c r="D52">
        <v>26.7</v>
      </c>
      <c r="E52">
        <v>28.3</v>
      </c>
      <c r="F52">
        <v>23</v>
      </c>
      <c r="G52">
        <v>23.3</v>
      </c>
      <c r="H52">
        <v>21332</v>
      </c>
      <c r="I52">
        <v>82.22</v>
      </c>
      <c r="J52">
        <v>0.31</v>
      </c>
      <c r="K52">
        <v>25.324999999999999</v>
      </c>
    </row>
    <row r="53" spans="1:11" x14ac:dyDescent="0.25">
      <c r="A53" s="1" t="s">
        <v>10</v>
      </c>
      <c r="B53" s="1" t="s">
        <v>11</v>
      </c>
      <c r="C53" s="2">
        <v>43903</v>
      </c>
      <c r="D53">
        <v>22.9</v>
      </c>
      <c r="E53">
        <v>24.8</v>
      </c>
      <c r="F53">
        <v>21.5</v>
      </c>
      <c r="G53">
        <v>24.4</v>
      </c>
      <c r="H53">
        <v>3702</v>
      </c>
      <c r="I53">
        <v>86.1</v>
      </c>
      <c r="J53">
        <v>0.31</v>
      </c>
      <c r="K53">
        <v>23.4</v>
      </c>
    </row>
    <row r="54" spans="1:11" x14ac:dyDescent="0.25">
      <c r="A54" s="1" t="s">
        <v>10</v>
      </c>
      <c r="B54" s="1" t="s">
        <v>11</v>
      </c>
      <c r="C54" s="2">
        <v>43906</v>
      </c>
      <c r="D54">
        <v>27.9</v>
      </c>
      <c r="E54">
        <v>27.9</v>
      </c>
      <c r="F54">
        <v>23</v>
      </c>
      <c r="G54">
        <v>23.25</v>
      </c>
      <c r="H54">
        <v>3761</v>
      </c>
      <c r="I54">
        <v>82.04</v>
      </c>
      <c r="J54">
        <v>0.31</v>
      </c>
      <c r="K54">
        <v>25.512499999999999</v>
      </c>
    </row>
    <row r="55" spans="1:11" x14ac:dyDescent="0.25">
      <c r="A55" s="1" t="s">
        <v>10</v>
      </c>
      <c r="B55" s="1" t="s">
        <v>11</v>
      </c>
      <c r="C55" s="2">
        <v>43907</v>
      </c>
      <c r="D55">
        <v>23</v>
      </c>
      <c r="E55">
        <v>26.9</v>
      </c>
      <c r="F55">
        <v>23</v>
      </c>
      <c r="G55">
        <v>24.5</v>
      </c>
      <c r="H55">
        <v>35763</v>
      </c>
      <c r="I55">
        <v>86.45</v>
      </c>
      <c r="J55">
        <v>0.31</v>
      </c>
      <c r="K55">
        <v>24.35</v>
      </c>
    </row>
    <row r="56" spans="1:11" x14ac:dyDescent="0.25">
      <c r="A56" s="1" t="s">
        <v>10</v>
      </c>
      <c r="B56" s="1" t="s">
        <v>11</v>
      </c>
      <c r="C56" s="2">
        <v>43908</v>
      </c>
      <c r="D56">
        <v>26</v>
      </c>
      <c r="E56">
        <v>26.85</v>
      </c>
      <c r="F56">
        <v>22</v>
      </c>
      <c r="G56">
        <v>22.85</v>
      </c>
      <c r="H56">
        <v>2869</v>
      </c>
      <c r="I56">
        <v>80.63</v>
      </c>
      <c r="J56">
        <v>0.31</v>
      </c>
      <c r="K56">
        <v>24.425000000000001</v>
      </c>
    </row>
    <row r="57" spans="1:11" x14ac:dyDescent="0.25">
      <c r="A57" s="1" t="s">
        <v>10</v>
      </c>
      <c r="B57" s="1" t="s">
        <v>11</v>
      </c>
      <c r="C57" s="2">
        <v>43909</v>
      </c>
      <c r="D57">
        <v>23</v>
      </c>
      <c r="E57">
        <v>23.35</v>
      </c>
      <c r="F57">
        <v>21.5</v>
      </c>
      <c r="G57">
        <v>22.4</v>
      </c>
      <c r="H57">
        <v>7617</v>
      </c>
      <c r="I57">
        <v>79.040000000000006</v>
      </c>
      <c r="J57">
        <v>0.31</v>
      </c>
      <c r="K57">
        <v>22.5625</v>
      </c>
    </row>
    <row r="58" spans="1:11" x14ac:dyDescent="0.25">
      <c r="A58" s="1" t="s">
        <v>10</v>
      </c>
      <c r="B58" s="1" t="s">
        <v>11</v>
      </c>
      <c r="C58" s="2">
        <v>43910</v>
      </c>
      <c r="D58">
        <v>23.45</v>
      </c>
      <c r="E58">
        <v>24.45</v>
      </c>
      <c r="F58">
        <v>21.6</v>
      </c>
      <c r="G58">
        <v>23.55</v>
      </c>
      <c r="H58">
        <v>3920</v>
      </c>
      <c r="I58">
        <v>83.1</v>
      </c>
      <c r="J58">
        <v>0.31</v>
      </c>
      <c r="K58">
        <v>23.262499999999999</v>
      </c>
    </row>
    <row r="59" spans="1:11" x14ac:dyDescent="0.25">
      <c r="A59" s="1" t="s">
        <v>10</v>
      </c>
      <c r="B59" s="1" t="s">
        <v>11</v>
      </c>
      <c r="C59" s="2">
        <v>43913</v>
      </c>
      <c r="D59">
        <v>21</v>
      </c>
      <c r="E59">
        <v>22.15</v>
      </c>
      <c r="F59">
        <v>19.2</v>
      </c>
      <c r="G59">
        <v>20.350000000000001</v>
      </c>
      <c r="H59">
        <v>7772</v>
      </c>
      <c r="I59">
        <v>71.81</v>
      </c>
      <c r="J59">
        <v>0.31</v>
      </c>
      <c r="K59">
        <v>20.675000000000001</v>
      </c>
    </row>
    <row r="60" spans="1:11" x14ac:dyDescent="0.25">
      <c r="A60" s="1" t="s">
        <v>10</v>
      </c>
      <c r="B60" s="1" t="s">
        <v>11</v>
      </c>
      <c r="C60" s="2">
        <v>43914</v>
      </c>
      <c r="D60">
        <v>21.1</v>
      </c>
      <c r="E60">
        <v>21.1</v>
      </c>
      <c r="F60">
        <v>19.899999999999999</v>
      </c>
      <c r="G60">
        <v>19.95</v>
      </c>
      <c r="H60">
        <v>1589</v>
      </c>
      <c r="I60">
        <v>70.400000000000006</v>
      </c>
      <c r="J60">
        <v>0.31</v>
      </c>
      <c r="K60">
        <v>20.512499999999999</v>
      </c>
    </row>
    <row r="61" spans="1:11" x14ac:dyDescent="0.25">
      <c r="A61" s="1" t="s">
        <v>10</v>
      </c>
      <c r="B61" s="1" t="s">
        <v>11</v>
      </c>
      <c r="C61" s="2">
        <v>43915</v>
      </c>
      <c r="D61">
        <v>20.6</v>
      </c>
      <c r="E61">
        <v>22.05</v>
      </c>
      <c r="F61">
        <v>19.55</v>
      </c>
      <c r="G61">
        <v>19.600000000000001</v>
      </c>
      <c r="H61">
        <v>16625</v>
      </c>
      <c r="I61">
        <v>69.16</v>
      </c>
      <c r="J61">
        <v>0.31</v>
      </c>
      <c r="K61">
        <v>20.45</v>
      </c>
    </row>
    <row r="62" spans="1:11" x14ac:dyDescent="0.25">
      <c r="A62" s="1" t="s">
        <v>10</v>
      </c>
      <c r="B62" s="1" t="s">
        <v>11</v>
      </c>
      <c r="C62" s="2">
        <v>43916</v>
      </c>
      <c r="D62">
        <v>20.85</v>
      </c>
      <c r="E62">
        <v>21.1</v>
      </c>
      <c r="F62">
        <v>20.399999999999999</v>
      </c>
      <c r="G62">
        <v>20.8</v>
      </c>
      <c r="H62">
        <v>4610</v>
      </c>
      <c r="I62">
        <v>73.400000000000006</v>
      </c>
      <c r="J62">
        <v>0.31</v>
      </c>
      <c r="K62">
        <v>20.787500000000001</v>
      </c>
    </row>
    <row r="63" spans="1:11" x14ac:dyDescent="0.25">
      <c r="A63" s="1" t="s">
        <v>10</v>
      </c>
      <c r="B63" s="1" t="s">
        <v>11</v>
      </c>
      <c r="C63" s="2">
        <v>43917</v>
      </c>
      <c r="D63">
        <v>22.45</v>
      </c>
      <c r="E63">
        <v>24.6</v>
      </c>
      <c r="F63">
        <v>21.7</v>
      </c>
      <c r="G63">
        <v>23.8</v>
      </c>
      <c r="H63">
        <v>8920</v>
      </c>
      <c r="I63">
        <v>83.98</v>
      </c>
      <c r="J63">
        <v>0.31</v>
      </c>
      <c r="K63">
        <v>23.137499999999999</v>
      </c>
    </row>
    <row r="64" spans="1:11" x14ac:dyDescent="0.25">
      <c r="A64" s="1" t="s">
        <v>10</v>
      </c>
      <c r="B64" s="1" t="s">
        <v>11</v>
      </c>
      <c r="C64" s="2">
        <v>43920</v>
      </c>
      <c r="D64">
        <v>27.9</v>
      </c>
      <c r="E64">
        <v>27.9</v>
      </c>
      <c r="F64">
        <v>21.6</v>
      </c>
      <c r="G64">
        <v>24.15</v>
      </c>
      <c r="H64">
        <v>3563</v>
      </c>
      <c r="I64">
        <v>85.22</v>
      </c>
      <c r="J64">
        <v>0.31</v>
      </c>
      <c r="K64">
        <v>25.387499999999999</v>
      </c>
    </row>
    <row r="65" spans="1:11" x14ac:dyDescent="0.25">
      <c r="A65" s="1" t="s">
        <v>10</v>
      </c>
      <c r="B65" s="1" t="s">
        <v>11</v>
      </c>
      <c r="C65" s="2">
        <v>43921</v>
      </c>
      <c r="D65">
        <v>26.05</v>
      </c>
      <c r="E65">
        <v>26.05</v>
      </c>
      <c r="F65">
        <v>24.9</v>
      </c>
      <c r="G65">
        <v>25.7</v>
      </c>
      <c r="H65">
        <v>676</v>
      </c>
      <c r="I65">
        <v>90.69</v>
      </c>
      <c r="J65">
        <v>0.31</v>
      </c>
      <c r="K65">
        <v>25.675000000000001</v>
      </c>
    </row>
    <row r="66" spans="1:11" x14ac:dyDescent="0.25">
      <c r="A66" s="1" t="s">
        <v>10</v>
      </c>
      <c r="B66" s="1" t="s">
        <v>11</v>
      </c>
      <c r="C66" s="2">
        <v>43922</v>
      </c>
      <c r="D66">
        <v>25.9</v>
      </c>
      <c r="E66">
        <v>25.9</v>
      </c>
      <c r="F66">
        <v>24.95</v>
      </c>
      <c r="G66">
        <v>25</v>
      </c>
      <c r="H66">
        <v>330</v>
      </c>
      <c r="I66">
        <v>88.22</v>
      </c>
      <c r="J66">
        <v>0.31</v>
      </c>
      <c r="K66">
        <v>25.4375</v>
      </c>
    </row>
    <row r="67" spans="1:11" x14ac:dyDescent="0.25">
      <c r="A67" s="1" t="s">
        <v>10</v>
      </c>
      <c r="B67" s="1" t="s">
        <v>11</v>
      </c>
      <c r="C67" s="2">
        <v>43924</v>
      </c>
      <c r="D67">
        <v>25.55</v>
      </c>
      <c r="E67">
        <v>25.55</v>
      </c>
      <c r="F67">
        <v>23</v>
      </c>
      <c r="G67">
        <v>24.6</v>
      </c>
      <c r="H67">
        <v>2338</v>
      </c>
      <c r="I67">
        <v>86.8</v>
      </c>
      <c r="J67">
        <v>0.31</v>
      </c>
      <c r="K67">
        <v>24.675000000000001</v>
      </c>
    </row>
    <row r="68" spans="1:11" x14ac:dyDescent="0.25">
      <c r="A68" s="1" t="s">
        <v>10</v>
      </c>
      <c r="B68" s="1" t="s">
        <v>11</v>
      </c>
      <c r="C68" s="2">
        <v>43928</v>
      </c>
      <c r="D68">
        <v>25.45</v>
      </c>
      <c r="E68">
        <v>27.9</v>
      </c>
      <c r="F68">
        <v>25</v>
      </c>
      <c r="G68">
        <v>27.4</v>
      </c>
      <c r="H68">
        <v>66024</v>
      </c>
      <c r="I68">
        <v>96.69</v>
      </c>
      <c r="J68">
        <v>0.31</v>
      </c>
      <c r="K68">
        <v>26.4375</v>
      </c>
    </row>
    <row r="69" spans="1:11" x14ac:dyDescent="0.25">
      <c r="A69" s="1" t="s">
        <v>10</v>
      </c>
      <c r="B69" s="1" t="s">
        <v>11</v>
      </c>
      <c r="C69" s="2">
        <v>43929</v>
      </c>
      <c r="D69">
        <v>27.3</v>
      </c>
      <c r="E69">
        <v>29</v>
      </c>
      <c r="F69">
        <v>25.8</v>
      </c>
      <c r="G69">
        <v>26.2</v>
      </c>
      <c r="H69">
        <v>4914</v>
      </c>
      <c r="I69">
        <v>92.45</v>
      </c>
      <c r="J69">
        <v>0.31</v>
      </c>
      <c r="K69">
        <v>27.074999999999999</v>
      </c>
    </row>
    <row r="70" spans="1:11" x14ac:dyDescent="0.25">
      <c r="A70" s="1" t="s">
        <v>10</v>
      </c>
      <c r="B70" s="1" t="s">
        <v>11</v>
      </c>
      <c r="C70" s="2">
        <v>43930</v>
      </c>
      <c r="D70">
        <v>26.45</v>
      </c>
      <c r="E70">
        <v>26.9</v>
      </c>
      <c r="F70">
        <v>25.75</v>
      </c>
      <c r="G70">
        <v>26.5</v>
      </c>
      <c r="H70">
        <v>56577</v>
      </c>
      <c r="I70">
        <v>93.51</v>
      </c>
      <c r="J70">
        <v>0.31</v>
      </c>
      <c r="K70">
        <v>26.4</v>
      </c>
    </row>
    <row r="71" spans="1:11" x14ac:dyDescent="0.25">
      <c r="A71" s="1" t="s">
        <v>10</v>
      </c>
      <c r="B71" s="1" t="s">
        <v>11</v>
      </c>
      <c r="C71" s="2">
        <v>43934</v>
      </c>
      <c r="D71">
        <v>26.75</v>
      </c>
      <c r="E71">
        <v>26.75</v>
      </c>
      <c r="F71">
        <v>25.1</v>
      </c>
      <c r="G71">
        <v>26.3</v>
      </c>
      <c r="H71">
        <v>12100</v>
      </c>
      <c r="I71">
        <v>92.8</v>
      </c>
      <c r="J71">
        <v>0.31</v>
      </c>
      <c r="K71">
        <v>26.225000000000001</v>
      </c>
    </row>
    <row r="72" spans="1:11" x14ac:dyDescent="0.25">
      <c r="A72" s="1" t="s">
        <v>10</v>
      </c>
      <c r="B72" s="1" t="s">
        <v>11</v>
      </c>
      <c r="C72" s="2">
        <v>43936</v>
      </c>
      <c r="D72">
        <v>26.3</v>
      </c>
      <c r="E72">
        <v>29.8</v>
      </c>
      <c r="F72">
        <v>25.5</v>
      </c>
      <c r="G72">
        <v>27.8</v>
      </c>
      <c r="H72">
        <v>5617</v>
      </c>
      <c r="I72">
        <v>98.1</v>
      </c>
      <c r="J72">
        <v>0.31</v>
      </c>
      <c r="K72">
        <v>27.35</v>
      </c>
    </row>
    <row r="73" spans="1:11" x14ac:dyDescent="0.25">
      <c r="A73" s="1" t="s">
        <v>10</v>
      </c>
      <c r="B73" s="1" t="s">
        <v>11</v>
      </c>
      <c r="C73" s="2">
        <v>43937</v>
      </c>
      <c r="D73">
        <v>30</v>
      </c>
      <c r="E73">
        <v>30</v>
      </c>
      <c r="F73">
        <v>25.25</v>
      </c>
      <c r="G73">
        <v>26.8</v>
      </c>
      <c r="H73">
        <v>6689</v>
      </c>
      <c r="I73">
        <v>94.57</v>
      </c>
      <c r="J73">
        <v>0.31</v>
      </c>
      <c r="K73">
        <v>28.012499999999999</v>
      </c>
    </row>
    <row r="74" spans="1:11" x14ac:dyDescent="0.25">
      <c r="A74" s="1" t="s">
        <v>10</v>
      </c>
      <c r="B74" s="1" t="s">
        <v>11</v>
      </c>
      <c r="C74" s="2">
        <v>43938</v>
      </c>
      <c r="D74">
        <v>27.4</v>
      </c>
      <c r="E74">
        <v>28.85</v>
      </c>
      <c r="F74">
        <v>26.1</v>
      </c>
      <c r="G74">
        <v>28.7</v>
      </c>
      <c r="H74">
        <v>5919</v>
      </c>
      <c r="I74">
        <v>101.27</v>
      </c>
      <c r="J74">
        <v>0.31</v>
      </c>
      <c r="K74">
        <v>27.762499999999999</v>
      </c>
    </row>
    <row r="75" spans="1:11" x14ac:dyDescent="0.25">
      <c r="A75" s="1" t="s">
        <v>10</v>
      </c>
      <c r="B75" s="1" t="s">
        <v>11</v>
      </c>
      <c r="C75" s="2">
        <v>43941</v>
      </c>
      <c r="D75">
        <v>33.9</v>
      </c>
      <c r="E75">
        <v>33.9</v>
      </c>
      <c r="F75">
        <v>30.85</v>
      </c>
      <c r="G75">
        <v>33.049999999999997</v>
      </c>
      <c r="H75">
        <v>50214</v>
      </c>
      <c r="I75">
        <v>116.62</v>
      </c>
      <c r="J75">
        <v>0.31</v>
      </c>
      <c r="K75">
        <v>32.924999999999997</v>
      </c>
    </row>
    <row r="76" spans="1:11" x14ac:dyDescent="0.25">
      <c r="A76" s="1" t="s">
        <v>10</v>
      </c>
      <c r="B76" s="1" t="s">
        <v>11</v>
      </c>
      <c r="C76" s="2">
        <v>43942</v>
      </c>
      <c r="D76">
        <v>33</v>
      </c>
      <c r="E76">
        <v>33</v>
      </c>
      <c r="F76">
        <v>30</v>
      </c>
      <c r="G76">
        <v>30.3</v>
      </c>
      <c r="H76">
        <v>15753</v>
      </c>
      <c r="I76">
        <v>106.92</v>
      </c>
      <c r="J76">
        <v>0.31</v>
      </c>
      <c r="K76">
        <v>31.574999999999999</v>
      </c>
    </row>
    <row r="77" spans="1:11" x14ac:dyDescent="0.25">
      <c r="A77" s="1" t="s">
        <v>10</v>
      </c>
      <c r="B77" s="1" t="s">
        <v>11</v>
      </c>
      <c r="C77" s="2">
        <v>43943</v>
      </c>
      <c r="D77">
        <v>32.049999999999997</v>
      </c>
      <c r="E77">
        <v>33</v>
      </c>
      <c r="F77">
        <v>26.5</v>
      </c>
      <c r="G77">
        <v>29.55</v>
      </c>
      <c r="H77">
        <v>4373</v>
      </c>
      <c r="I77">
        <v>104.27</v>
      </c>
      <c r="J77">
        <v>0.31</v>
      </c>
      <c r="K77">
        <v>30.274999999999999</v>
      </c>
    </row>
    <row r="78" spans="1:11" x14ac:dyDescent="0.25">
      <c r="A78" s="1" t="s">
        <v>10</v>
      </c>
      <c r="B78" s="1" t="s">
        <v>11</v>
      </c>
      <c r="C78" s="2">
        <v>43944</v>
      </c>
      <c r="D78">
        <v>30</v>
      </c>
      <c r="E78">
        <v>31</v>
      </c>
      <c r="F78">
        <v>29.3</v>
      </c>
      <c r="G78">
        <v>29.5</v>
      </c>
      <c r="H78">
        <v>17767</v>
      </c>
      <c r="I78">
        <v>104.1</v>
      </c>
      <c r="J78">
        <v>0.31</v>
      </c>
      <c r="K78">
        <v>29.95</v>
      </c>
    </row>
    <row r="79" spans="1:11" x14ac:dyDescent="0.25">
      <c r="A79" s="1" t="s">
        <v>10</v>
      </c>
      <c r="B79" s="1" t="s">
        <v>11</v>
      </c>
      <c r="C79" s="2">
        <v>43945</v>
      </c>
      <c r="D79">
        <v>30.9</v>
      </c>
      <c r="E79">
        <v>30.9</v>
      </c>
      <c r="F79">
        <v>27.1</v>
      </c>
      <c r="G79">
        <v>27.9</v>
      </c>
      <c r="H79">
        <v>4475</v>
      </c>
      <c r="I79">
        <v>98.45</v>
      </c>
      <c r="J79">
        <v>0.31</v>
      </c>
      <c r="K79">
        <v>29.2</v>
      </c>
    </row>
    <row r="80" spans="1:11" x14ac:dyDescent="0.25">
      <c r="A80" s="1" t="s">
        <v>10</v>
      </c>
      <c r="B80" s="1" t="s">
        <v>11</v>
      </c>
      <c r="C80" s="2">
        <v>43948</v>
      </c>
      <c r="D80">
        <v>31.45</v>
      </c>
      <c r="E80">
        <v>31.45</v>
      </c>
      <c r="F80">
        <v>28</v>
      </c>
      <c r="G80">
        <v>28.55</v>
      </c>
      <c r="H80">
        <v>1209</v>
      </c>
      <c r="I80">
        <v>100.74</v>
      </c>
      <c r="J80">
        <v>0.31</v>
      </c>
      <c r="K80">
        <v>29.862500000000001</v>
      </c>
    </row>
    <row r="81" spans="1:11" x14ac:dyDescent="0.25">
      <c r="A81" s="1" t="s">
        <v>10</v>
      </c>
      <c r="B81" s="1" t="s">
        <v>11</v>
      </c>
      <c r="C81" s="2">
        <v>43949</v>
      </c>
      <c r="D81">
        <v>29.7</v>
      </c>
      <c r="E81">
        <v>30</v>
      </c>
      <c r="F81">
        <v>27.25</v>
      </c>
      <c r="G81">
        <v>29.2</v>
      </c>
      <c r="H81">
        <v>4927</v>
      </c>
      <c r="I81">
        <v>103.04</v>
      </c>
      <c r="J81">
        <v>0.31</v>
      </c>
      <c r="K81">
        <v>29.037500000000001</v>
      </c>
    </row>
    <row r="82" spans="1:11" x14ac:dyDescent="0.25">
      <c r="A82" s="1" t="s">
        <v>10</v>
      </c>
      <c r="B82" s="1" t="s">
        <v>11</v>
      </c>
      <c r="C82" s="2">
        <v>43950</v>
      </c>
      <c r="D82">
        <v>28.5</v>
      </c>
      <c r="E82">
        <v>30.5</v>
      </c>
      <c r="F82">
        <v>28.5</v>
      </c>
      <c r="G82">
        <v>29.95</v>
      </c>
      <c r="H82">
        <v>2350</v>
      </c>
      <c r="I82">
        <v>105.68</v>
      </c>
      <c r="J82">
        <v>0.31</v>
      </c>
      <c r="K82">
        <v>29.362500000000001</v>
      </c>
    </row>
    <row r="83" spans="1:11" x14ac:dyDescent="0.25">
      <c r="A83" s="1" t="s">
        <v>10</v>
      </c>
      <c r="B83" s="1" t="s">
        <v>11</v>
      </c>
      <c r="C83" s="2">
        <v>43951</v>
      </c>
      <c r="D83">
        <v>30.25</v>
      </c>
      <c r="E83">
        <v>30.8</v>
      </c>
      <c r="F83">
        <v>28.35</v>
      </c>
      <c r="G83">
        <v>29</v>
      </c>
      <c r="H83">
        <v>4170</v>
      </c>
      <c r="I83">
        <v>102.33</v>
      </c>
      <c r="J83">
        <v>0.31</v>
      </c>
      <c r="K83">
        <v>29.6</v>
      </c>
    </row>
    <row r="84" spans="1:11" x14ac:dyDescent="0.25">
      <c r="A84" s="1" t="s">
        <v>10</v>
      </c>
      <c r="B84" s="1" t="s">
        <v>11</v>
      </c>
      <c r="C84" s="2">
        <v>43955</v>
      </c>
      <c r="D84">
        <v>28.5</v>
      </c>
      <c r="E84">
        <v>28.5</v>
      </c>
      <c r="F84">
        <v>27.6</v>
      </c>
      <c r="G84">
        <v>27.9</v>
      </c>
      <c r="H84">
        <v>2380</v>
      </c>
      <c r="I84">
        <v>98.45</v>
      </c>
      <c r="J84">
        <v>0.31</v>
      </c>
      <c r="K84">
        <v>28.125</v>
      </c>
    </row>
    <row r="85" spans="1:11" x14ac:dyDescent="0.25">
      <c r="A85" s="1" t="s">
        <v>10</v>
      </c>
      <c r="B85" s="1" t="s">
        <v>11</v>
      </c>
      <c r="C85" s="2">
        <v>43956</v>
      </c>
      <c r="D85">
        <v>28.15</v>
      </c>
      <c r="E85">
        <v>28.35</v>
      </c>
      <c r="F85">
        <v>27.05</v>
      </c>
      <c r="G85">
        <v>27.15</v>
      </c>
      <c r="H85">
        <v>1387</v>
      </c>
      <c r="I85">
        <v>95.8</v>
      </c>
      <c r="J85">
        <v>0.31</v>
      </c>
      <c r="K85">
        <v>27.675000000000001</v>
      </c>
    </row>
    <row r="86" spans="1:11" x14ac:dyDescent="0.25">
      <c r="A86" s="1" t="s">
        <v>10</v>
      </c>
      <c r="B86" s="1" t="s">
        <v>11</v>
      </c>
      <c r="C86" s="2">
        <v>43957</v>
      </c>
      <c r="D86">
        <v>26.9</v>
      </c>
      <c r="E86">
        <v>28</v>
      </c>
      <c r="F86">
        <v>26.9</v>
      </c>
      <c r="G86">
        <v>27</v>
      </c>
      <c r="H86">
        <v>1781</v>
      </c>
      <c r="I86">
        <v>95.27</v>
      </c>
      <c r="J86">
        <v>0.31</v>
      </c>
      <c r="K86">
        <v>27.2</v>
      </c>
    </row>
    <row r="87" spans="1:11" x14ac:dyDescent="0.25">
      <c r="A87" s="1" t="s">
        <v>10</v>
      </c>
      <c r="B87" s="1" t="s">
        <v>11</v>
      </c>
      <c r="C87" s="2">
        <v>43958</v>
      </c>
      <c r="D87">
        <v>27</v>
      </c>
      <c r="E87">
        <v>32.4</v>
      </c>
      <c r="F87">
        <v>27</v>
      </c>
      <c r="G87">
        <v>27.4</v>
      </c>
      <c r="H87">
        <v>7238</v>
      </c>
      <c r="I87">
        <v>96.69</v>
      </c>
      <c r="J87">
        <v>0.31</v>
      </c>
      <c r="K87">
        <v>28.45</v>
      </c>
    </row>
    <row r="88" spans="1:11" x14ac:dyDescent="0.25">
      <c r="A88" s="1" t="s">
        <v>10</v>
      </c>
      <c r="B88" s="1" t="s">
        <v>11</v>
      </c>
      <c r="C88" s="2">
        <v>43959</v>
      </c>
      <c r="D88">
        <v>27.1</v>
      </c>
      <c r="E88">
        <v>27.35</v>
      </c>
      <c r="F88">
        <v>26.5</v>
      </c>
      <c r="G88">
        <v>26.5</v>
      </c>
      <c r="H88">
        <v>577</v>
      </c>
      <c r="I88">
        <v>93.51</v>
      </c>
      <c r="J88">
        <v>0.31</v>
      </c>
      <c r="K88">
        <v>26.862500000000001</v>
      </c>
    </row>
    <row r="89" spans="1:11" x14ac:dyDescent="0.25">
      <c r="A89" s="1" t="s">
        <v>10</v>
      </c>
      <c r="B89" s="1" t="s">
        <v>11</v>
      </c>
      <c r="C89" s="2">
        <v>43962</v>
      </c>
      <c r="D89">
        <v>26.65</v>
      </c>
      <c r="E89">
        <v>28</v>
      </c>
      <c r="F89">
        <v>25.05</v>
      </c>
      <c r="G89">
        <v>25.8</v>
      </c>
      <c r="H89">
        <v>2389</v>
      </c>
      <c r="I89">
        <v>91.04</v>
      </c>
      <c r="J89">
        <v>0.31</v>
      </c>
      <c r="K89">
        <v>26.375</v>
      </c>
    </row>
    <row r="90" spans="1:11" x14ac:dyDescent="0.25">
      <c r="A90" s="1" t="s">
        <v>10</v>
      </c>
      <c r="B90" s="1" t="s">
        <v>11</v>
      </c>
      <c r="C90" s="2">
        <v>43963</v>
      </c>
      <c r="D90">
        <v>27.15</v>
      </c>
      <c r="E90">
        <v>27.15</v>
      </c>
      <c r="F90">
        <v>25.85</v>
      </c>
      <c r="G90">
        <v>26.35</v>
      </c>
      <c r="H90">
        <v>659</v>
      </c>
      <c r="I90">
        <v>92.98</v>
      </c>
      <c r="J90">
        <v>0.31</v>
      </c>
      <c r="K90">
        <v>26.625</v>
      </c>
    </row>
    <row r="91" spans="1:11" x14ac:dyDescent="0.25">
      <c r="A91" s="1" t="s">
        <v>10</v>
      </c>
      <c r="B91" s="1" t="s">
        <v>11</v>
      </c>
      <c r="C91" s="2">
        <v>43964</v>
      </c>
      <c r="D91">
        <v>28.9</v>
      </c>
      <c r="E91">
        <v>28.9</v>
      </c>
      <c r="F91">
        <v>25.9</v>
      </c>
      <c r="G91">
        <v>26.1</v>
      </c>
      <c r="H91">
        <v>10643</v>
      </c>
      <c r="I91">
        <v>92.1</v>
      </c>
      <c r="J91">
        <v>0.31</v>
      </c>
      <c r="K91">
        <v>27.45</v>
      </c>
    </row>
    <row r="92" spans="1:11" x14ac:dyDescent="0.25">
      <c r="A92" s="1" t="s">
        <v>10</v>
      </c>
      <c r="B92" s="1" t="s">
        <v>11</v>
      </c>
      <c r="C92" s="2">
        <v>43965</v>
      </c>
      <c r="D92">
        <v>26.1</v>
      </c>
      <c r="E92">
        <v>26.25</v>
      </c>
      <c r="F92">
        <v>25.8</v>
      </c>
      <c r="G92">
        <v>26.25</v>
      </c>
      <c r="H92">
        <v>2584</v>
      </c>
      <c r="I92">
        <v>92.63</v>
      </c>
      <c r="J92">
        <v>0.31</v>
      </c>
      <c r="K92">
        <v>26.1</v>
      </c>
    </row>
    <row r="93" spans="1:11" x14ac:dyDescent="0.25">
      <c r="A93" s="1" t="s">
        <v>10</v>
      </c>
      <c r="B93" s="1" t="s">
        <v>11</v>
      </c>
      <c r="C93" s="2">
        <v>43966</v>
      </c>
      <c r="D93">
        <v>26</v>
      </c>
      <c r="E93">
        <v>26.3</v>
      </c>
      <c r="F93">
        <v>25.9</v>
      </c>
      <c r="G93">
        <v>26.05</v>
      </c>
      <c r="H93">
        <v>440</v>
      </c>
      <c r="I93">
        <v>91.92</v>
      </c>
      <c r="J93">
        <v>0.31</v>
      </c>
      <c r="K93">
        <v>26.0625</v>
      </c>
    </row>
    <row r="94" spans="1:11" x14ac:dyDescent="0.25">
      <c r="A94" s="1" t="s">
        <v>10</v>
      </c>
      <c r="B94" s="1" t="s">
        <v>11</v>
      </c>
      <c r="C94" s="2">
        <v>43969</v>
      </c>
      <c r="D94">
        <v>25.9</v>
      </c>
      <c r="E94">
        <v>26.35</v>
      </c>
      <c r="F94">
        <v>25</v>
      </c>
      <c r="G94">
        <v>25.1</v>
      </c>
      <c r="H94">
        <v>3145</v>
      </c>
      <c r="I94">
        <v>88.57</v>
      </c>
      <c r="J94">
        <v>0.31</v>
      </c>
      <c r="K94">
        <v>25.587499999999999</v>
      </c>
    </row>
    <row r="95" spans="1:11" x14ac:dyDescent="0.25">
      <c r="A95" s="1" t="s">
        <v>10</v>
      </c>
      <c r="B95" s="1" t="s">
        <v>11</v>
      </c>
      <c r="C95" s="2">
        <v>43970</v>
      </c>
      <c r="D95">
        <v>25.25</v>
      </c>
      <c r="E95">
        <v>25.5</v>
      </c>
      <c r="F95">
        <v>24.55</v>
      </c>
      <c r="G95">
        <v>25.15</v>
      </c>
      <c r="H95">
        <v>2128</v>
      </c>
      <c r="I95">
        <v>88.75</v>
      </c>
      <c r="J95">
        <v>0.31</v>
      </c>
      <c r="K95">
        <v>25.112500000000001</v>
      </c>
    </row>
    <row r="96" spans="1:11" x14ac:dyDescent="0.25">
      <c r="A96" s="1" t="s">
        <v>10</v>
      </c>
      <c r="B96" s="1" t="s">
        <v>11</v>
      </c>
      <c r="C96" s="2">
        <v>43971</v>
      </c>
      <c r="D96">
        <v>24.1</v>
      </c>
      <c r="E96">
        <v>25.3</v>
      </c>
      <c r="F96">
        <v>24.1</v>
      </c>
      <c r="G96">
        <v>24.75</v>
      </c>
      <c r="H96">
        <v>4239</v>
      </c>
      <c r="I96">
        <v>87.33</v>
      </c>
      <c r="J96">
        <v>0.31</v>
      </c>
      <c r="K96">
        <v>24.5625</v>
      </c>
    </row>
    <row r="97" spans="1:11" x14ac:dyDescent="0.25">
      <c r="A97" s="1" t="s">
        <v>10</v>
      </c>
      <c r="B97" s="1" t="s">
        <v>11</v>
      </c>
      <c r="C97" s="2">
        <v>43972</v>
      </c>
      <c r="D97">
        <v>25.1</v>
      </c>
      <c r="E97">
        <v>25.8</v>
      </c>
      <c r="F97">
        <v>25.1</v>
      </c>
      <c r="G97">
        <v>25.65</v>
      </c>
      <c r="H97">
        <v>2368</v>
      </c>
      <c r="I97">
        <v>90.51</v>
      </c>
      <c r="J97">
        <v>0.31</v>
      </c>
      <c r="K97">
        <v>25.412500000000001</v>
      </c>
    </row>
    <row r="98" spans="1:11" x14ac:dyDescent="0.25">
      <c r="A98" s="1" t="s">
        <v>10</v>
      </c>
      <c r="B98" s="1" t="s">
        <v>11</v>
      </c>
      <c r="C98" s="2">
        <v>43973</v>
      </c>
      <c r="D98">
        <v>27.95</v>
      </c>
      <c r="E98">
        <v>27.95</v>
      </c>
      <c r="F98">
        <v>25</v>
      </c>
      <c r="G98">
        <v>25.65</v>
      </c>
      <c r="H98">
        <v>3862</v>
      </c>
      <c r="I98">
        <v>90.51</v>
      </c>
      <c r="J98">
        <v>0.31</v>
      </c>
      <c r="K98">
        <v>26.637499999999999</v>
      </c>
    </row>
    <row r="99" spans="1:11" x14ac:dyDescent="0.25">
      <c r="A99" s="1" t="s">
        <v>10</v>
      </c>
      <c r="B99" s="1" t="s">
        <v>11</v>
      </c>
      <c r="C99" s="2">
        <v>43977</v>
      </c>
      <c r="D99">
        <v>26.2</v>
      </c>
      <c r="E99">
        <v>26.2</v>
      </c>
      <c r="F99">
        <v>25.1</v>
      </c>
      <c r="G99">
        <v>25.5</v>
      </c>
      <c r="H99">
        <v>1766</v>
      </c>
      <c r="I99">
        <v>89.98</v>
      </c>
      <c r="J99">
        <v>0.31</v>
      </c>
      <c r="K99">
        <v>25.75</v>
      </c>
    </row>
    <row r="100" spans="1:11" x14ac:dyDescent="0.25">
      <c r="A100" s="1" t="s">
        <v>10</v>
      </c>
      <c r="B100" s="1" t="s">
        <v>11</v>
      </c>
      <c r="C100" s="2">
        <v>43978</v>
      </c>
      <c r="D100">
        <v>25.4</v>
      </c>
      <c r="E100">
        <v>25.85</v>
      </c>
      <c r="F100">
        <v>25.4</v>
      </c>
      <c r="G100">
        <v>25.55</v>
      </c>
      <c r="H100">
        <v>973</v>
      </c>
      <c r="I100">
        <v>90.16</v>
      </c>
      <c r="J100">
        <v>0.31</v>
      </c>
      <c r="K100">
        <v>25.55</v>
      </c>
    </row>
    <row r="101" spans="1:11" x14ac:dyDescent="0.25">
      <c r="A101" s="1" t="s">
        <v>10</v>
      </c>
      <c r="B101" s="1" t="s">
        <v>11</v>
      </c>
      <c r="C101" s="2">
        <v>43979</v>
      </c>
      <c r="D101">
        <v>26.1</v>
      </c>
      <c r="E101">
        <v>26.3</v>
      </c>
      <c r="F101">
        <v>25.9</v>
      </c>
      <c r="G101">
        <v>26.15</v>
      </c>
      <c r="H101">
        <v>1996</v>
      </c>
      <c r="I101">
        <v>92.27</v>
      </c>
      <c r="J101">
        <v>0.31</v>
      </c>
      <c r="K101">
        <v>26.112500000000001</v>
      </c>
    </row>
    <row r="102" spans="1:11" x14ac:dyDescent="0.25">
      <c r="A102" s="1" t="s">
        <v>10</v>
      </c>
      <c r="B102" s="1" t="s">
        <v>11</v>
      </c>
      <c r="C102" s="2">
        <v>43980</v>
      </c>
      <c r="D102">
        <v>26.2</v>
      </c>
      <c r="E102">
        <v>26.55</v>
      </c>
      <c r="F102">
        <v>25.6</v>
      </c>
      <c r="G102">
        <v>26</v>
      </c>
      <c r="H102">
        <v>1361</v>
      </c>
      <c r="I102">
        <v>91.74</v>
      </c>
      <c r="J102">
        <v>0.31</v>
      </c>
      <c r="K102">
        <v>26.087499999999999</v>
      </c>
    </row>
    <row r="103" spans="1:11" x14ac:dyDescent="0.25">
      <c r="A103" s="1" t="s">
        <v>10</v>
      </c>
      <c r="B103" s="1" t="s">
        <v>11</v>
      </c>
      <c r="C103" s="2">
        <v>43983</v>
      </c>
      <c r="D103">
        <v>27.5</v>
      </c>
      <c r="E103">
        <v>27.5</v>
      </c>
      <c r="F103">
        <v>26.45</v>
      </c>
      <c r="G103">
        <v>27.1</v>
      </c>
      <c r="H103">
        <v>1914</v>
      </c>
      <c r="I103">
        <v>95.63</v>
      </c>
      <c r="J103">
        <v>0.31</v>
      </c>
      <c r="K103">
        <v>27.137499999999999</v>
      </c>
    </row>
    <row r="104" spans="1:11" x14ac:dyDescent="0.25">
      <c r="A104" s="1" t="s">
        <v>10</v>
      </c>
      <c r="B104" s="1" t="s">
        <v>11</v>
      </c>
      <c r="C104" s="2">
        <v>43984</v>
      </c>
      <c r="D104">
        <v>28</v>
      </c>
      <c r="E104">
        <v>28</v>
      </c>
      <c r="F104">
        <v>27.35</v>
      </c>
      <c r="G104">
        <v>27.5</v>
      </c>
      <c r="H104">
        <v>2570</v>
      </c>
      <c r="I104">
        <v>97.04</v>
      </c>
      <c r="J104">
        <v>0.31</v>
      </c>
      <c r="K104">
        <v>27.712499999999999</v>
      </c>
    </row>
    <row r="105" spans="1:11" x14ac:dyDescent="0.25">
      <c r="A105" s="1" t="s">
        <v>10</v>
      </c>
      <c r="B105" s="1" t="s">
        <v>11</v>
      </c>
      <c r="C105" s="2">
        <v>43985</v>
      </c>
      <c r="D105">
        <v>28.5</v>
      </c>
      <c r="E105">
        <v>29.35</v>
      </c>
      <c r="F105">
        <v>27.75</v>
      </c>
      <c r="G105">
        <v>29.1</v>
      </c>
      <c r="H105">
        <v>7481</v>
      </c>
      <c r="I105">
        <v>102.68</v>
      </c>
      <c r="J105">
        <v>0.31</v>
      </c>
      <c r="K105">
        <v>28.675000000000001</v>
      </c>
    </row>
    <row r="106" spans="1:11" x14ac:dyDescent="0.25">
      <c r="A106" s="1" t="s">
        <v>10</v>
      </c>
      <c r="B106" s="1" t="s">
        <v>11</v>
      </c>
      <c r="C106" s="2">
        <v>43986</v>
      </c>
      <c r="D106">
        <v>33</v>
      </c>
      <c r="E106">
        <v>33</v>
      </c>
      <c r="F106">
        <v>28</v>
      </c>
      <c r="G106">
        <v>28.55</v>
      </c>
      <c r="H106">
        <v>5260</v>
      </c>
      <c r="I106">
        <v>100.74</v>
      </c>
      <c r="J106">
        <v>0.31</v>
      </c>
      <c r="K106">
        <v>30.637499999999999</v>
      </c>
    </row>
    <row r="107" spans="1:11" x14ac:dyDescent="0.25">
      <c r="A107" s="1" t="s">
        <v>10</v>
      </c>
      <c r="B107" s="1" t="s">
        <v>11</v>
      </c>
      <c r="C107" s="2">
        <v>43987</v>
      </c>
      <c r="D107">
        <v>31.95</v>
      </c>
      <c r="E107">
        <v>31.95</v>
      </c>
      <c r="F107">
        <v>28.9</v>
      </c>
      <c r="G107">
        <v>29.15</v>
      </c>
      <c r="H107">
        <v>2857</v>
      </c>
      <c r="I107">
        <v>102.86</v>
      </c>
      <c r="J107">
        <v>0.31</v>
      </c>
      <c r="K107">
        <v>30.487500000000001</v>
      </c>
    </row>
    <row r="108" spans="1:11" x14ac:dyDescent="0.25">
      <c r="A108" s="1" t="s">
        <v>10</v>
      </c>
      <c r="B108" s="1" t="s">
        <v>11</v>
      </c>
      <c r="C108" s="2">
        <v>43990</v>
      </c>
      <c r="D108">
        <v>32.450000000000003</v>
      </c>
      <c r="E108">
        <v>32.450000000000003</v>
      </c>
      <c r="F108">
        <v>30.8</v>
      </c>
      <c r="G108">
        <v>31.7</v>
      </c>
      <c r="H108">
        <v>32980</v>
      </c>
      <c r="I108">
        <v>111.86</v>
      </c>
      <c r="J108">
        <v>0.31</v>
      </c>
      <c r="K108">
        <v>31.85</v>
      </c>
    </row>
    <row r="109" spans="1:11" x14ac:dyDescent="0.25">
      <c r="A109" s="1" t="s">
        <v>10</v>
      </c>
      <c r="B109" s="1" t="s">
        <v>11</v>
      </c>
      <c r="C109" s="2">
        <v>43991</v>
      </c>
      <c r="D109">
        <v>31.6</v>
      </c>
      <c r="E109">
        <v>31.6</v>
      </c>
      <c r="F109">
        <v>29.25</v>
      </c>
      <c r="G109">
        <v>29.45</v>
      </c>
      <c r="H109">
        <v>7766</v>
      </c>
      <c r="I109">
        <v>103.92</v>
      </c>
      <c r="J109">
        <v>0.31</v>
      </c>
      <c r="K109">
        <v>30.475000000000001</v>
      </c>
    </row>
    <row r="110" spans="1:11" x14ac:dyDescent="0.25">
      <c r="A110" s="1" t="s">
        <v>10</v>
      </c>
      <c r="B110" s="1" t="s">
        <v>11</v>
      </c>
      <c r="C110" s="2">
        <v>43992</v>
      </c>
      <c r="D110">
        <v>29.45</v>
      </c>
      <c r="E110">
        <v>29.5</v>
      </c>
      <c r="F110">
        <v>28.65</v>
      </c>
      <c r="G110">
        <v>29.3</v>
      </c>
      <c r="H110">
        <v>3498</v>
      </c>
      <c r="I110">
        <v>103.39</v>
      </c>
      <c r="J110">
        <v>0.31</v>
      </c>
      <c r="K110">
        <v>29.225000000000001</v>
      </c>
    </row>
    <row r="111" spans="1:11" x14ac:dyDescent="0.25">
      <c r="A111" s="1" t="s">
        <v>10</v>
      </c>
      <c r="B111" s="1" t="s">
        <v>11</v>
      </c>
      <c r="C111" s="2">
        <v>43993</v>
      </c>
      <c r="D111">
        <v>29.1</v>
      </c>
      <c r="E111">
        <v>29.3</v>
      </c>
      <c r="F111">
        <v>27.8</v>
      </c>
      <c r="G111">
        <v>27.85</v>
      </c>
      <c r="H111">
        <v>1233</v>
      </c>
      <c r="I111">
        <v>98.27</v>
      </c>
      <c r="J111">
        <v>0.31</v>
      </c>
      <c r="K111">
        <v>28.512499999999999</v>
      </c>
    </row>
    <row r="112" spans="1:11" x14ac:dyDescent="0.25">
      <c r="A112" s="1" t="s">
        <v>10</v>
      </c>
      <c r="B112" s="1" t="s">
        <v>11</v>
      </c>
      <c r="C112" s="2">
        <v>43994</v>
      </c>
      <c r="D112">
        <v>27.45</v>
      </c>
      <c r="E112">
        <v>28.1</v>
      </c>
      <c r="F112">
        <v>26.85</v>
      </c>
      <c r="G112">
        <v>27.8</v>
      </c>
      <c r="H112">
        <v>2617</v>
      </c>
      <c r="I112">
        <v>98.1</v>
      </c>
      <c r="J112">
        <v>0.31</v>
      </c>
      <c r="K112">
        <v>27.55</v>
      </c>
    </row>
    <row r="113" spans="1:11" x14ac:dyDescent="0.25">
      <c r="A113" s="1" t="s">
        <v>10</v>
      </c>
      <c r="B113" s="1" t="s">
        <v>11</v>
      </c>
      <c r="C113" s="2">
        <v>43997</v>
      </c>
      <c r="D113">
        <v>30.45</v>
      </c>
      <c r="E113">
        <v>30.5</v>
      </c>
      <c r="F113">
        <v>27.7</v>
      </c>
      <c r="G113">
        <v>30.15</v>
      </c>
      <c r="H113">
        <v>13622</v>
      </c>
      <c r="I113">
        <v>106.39</v>
      </c>
      <c r="J113">
        <v>0.31</v>
      </c>
      <c r="K113">
        <v>29.7</v>
      </c>
    </row>
    <row r="114" spans="1:11" x14ac:dyDescent="0.25">
      <c r="A114" s="1" t="s">
        <v>10</v>
      </c>
      <c r="B114" s="1" t="s">
        <v>11</v>
      </c>
      <c r="C114" s="2">
        <v>43998</v>
      </c>
      <c r="D114">
        <v>32.4</v>
      </c>
      <c r="E114">
        <v>34.25</v>
      </c>
      <c r="F114">
        <v>30.2</v>
      </c>
      <c r="G114">
        <v>31.6</v>
      </c>
      <c r="H114">
        <v>126611</v>
      </c>
      <c r="I114">
        <v>111.51</v>
      </c>
      <c r="J114">
        <v>0.31</v>
      </c>
      <c r="K114">
        <v>32.112499999999997</v>
      </c>
    </row>
    <row r="115" spans="1:11" x14ac:dyDescent="0.25">
      <c r="A115" s="1" t="s">
        <v>10</v>
      </c>
      <c r="B115" s="1" t="s">
        <v>11</v>
      </c>
      <c r="C115" s="2">
        <v>43999</v>
      </c>
      <c r="D115">
        <v>30</v>
      </c>
      <c r="E115">
        <v>32.700000000000003</v>
      </c>
      <c r="F115">
        <v>28.75</v>
      </c>
      <c r="G115">
        <v>30.3</v>
      </c>
      <c r="H115">
        <v>29148</v>
      </c>
      <c r="I115">
        <v>106.92</v>
      </c>
      <c r="J115">
        <v>0.31</v>
      </c>
      <c r="K115">
        <v>30.4375</v>
      </c>
    </row>
    <row r="116" spans="1:11" x14ac:dyDescent="0.25">
      <c r="A116" s="1" t="s">
        <v>10</v>
      </c>
      <c r="B116" s="1" t="s">
        <v>11</v>
      </c>
      <c r="C116" s="2">
        <v>44000</v>
      </c>
      <c r="D116">
        <v>29</v>
      </c>
      <c r="E116">
        <v>31.65</v>
      </c>
      <c r="F116">
        <v>29</v>
      </c>
      <c r="G116">
        <v>30.4</v>
      </c>
      <c r="H116">
        <v>47875</v>
      </c>
      <c r="I116">
        <v>107.27</v>
      </c>
      <c r="J116">
        <v>0.31</v>
      </c>
      <c r="K116">
        <v>30.012499999999999</v>
      </c>
    </row>
    <row r="117" spans="1:11" x14ac:dyDescent="0.25">
      <c r="A117" s="1" t="s">
        <v>10</v>
      </c>
      <c r="B117" s="1" t="s">
        <v>11</v>
      </c>
      <c r="C117" s="2">
        <v>44001</v>
      </c>
      <c r="D117">
        <v>31.05</v>
      </c>
      <c r="E117">
        <v>32</v>
      </c>
      <c r="F117">
        <v>30.8</v>
      </c>
      <c r="G117">
        <v>31.3</v>
      </c>
      <c r="H117">
        <v>3600</v>
      </c>
      <c r="I117">
        <v>110.45</v>
      </c>
      <c r="J117">
        <v>0.31</v>
      </c>
      <c r="K117">
        <v>31.287500000000001</v>
      </c>
    </row>
    <row r="118" spans="1:11" x14ac:dyDescent="0.25">
      <c r="A118" s="1" t="s">
        <v>10</v>
      </c>
      <c r="B118" s="1" t="s">
        <v>11</v>
      </c>
      <c r="C118" s="2">
        <v>44004</v>
      </c>
      <c r="D118">
        <v>32.299999999999997</v>
      </c>
      <c r="E118">
        <v>33.5</v>
      </c>
      <c r="F118">
        <v>30.65</v>
      </c>
      <c r="G118">
        <v>32.700000000000003</v>
      </c>
      <c r="H118">
        <v>55471</v>
      </c>
      <c r="I118">
        <v>115.39</v>
      </c>
      <c r="J118">
        <v>0.31</v>
      </c>
      <c r="K118">
        <v>32.287500000000001</v>
      </c>
    </row>
    <row r="119" spans="1:11" x14ac:dyDescent="0.25">
      <c r="A119" s="1" t="s">
        <v>10</v>
      </c>
      <c r="B119" s="1" t="s">
        <v>11</v>
      </c>
      <c r="C119" s="2">
        <v>44005</v>
      </c>
      <c r="D119">
        <v>39.15</v>
      </c>
      <c r="E119">
        <v>39.15</v>
      </c>
      <c r="F119">
        <v>33.049999999999997</v>
      </c>
      <c r="G119">
        <v>34.049999999999997</v>
      </c>
      <c r="H119">
        <v>33650</v>
      </c>
      <c r="I119">
        <v>120.15</v>
      </c>
      <c r="J119">
        <v>0.31</v>
      </c>
      <c r="K119">
        <v>36.35</v>
      </c>
    </row>
    <row r="120" spans="1:11" x14ac:dyDescent="0.25">
      <c r="A120" s="1" t="s">
        <v>10</v>
      </c>
      <c r="B120" s="1" t="s">
        <v>11</v>
      </c>
      <c r="C120" s="2">
        <v>44006</v>
      </c>
      <c r="D120">
        <v>34.6</v>
      </c>
      <c r="E120">
        <v>34.75</v>
      </c>
      <c r="F120">
        <v>32</v>
      </c>
      <c r="G120">
        <v>32.35</v>
      </c>
      <c r="H120">
        <v>37589</v>
      </c>
      <c r="I120">
        <v>114.15</v>
      </c>
      <c r="J120">
        <v>0.31</v>
      </c>
      <c r="K120">
        <v>33.424999999999997</v>
      </c>
    </row>
    <row r="121" spans="1:11" x14ac:dyDescent="0.25">
      <c r="A121" s="1" t="s">
        <v>10</v>
      </c>
      <c r="B121" s="1" t="s">
        <v>11</v>
      </c>
      <c r="C121" s="2">
        <v>44007</v>
      </c>
      <c r="D121">
        <v>30.1</v>
      </c>
      <c r="E121">
        <v>32.049999999999997</v>
      </c>
      <c r="F121">
        <v>30.1</v>
      </c>
      <c r="G121">
        <v>31.4</v>
      </c>
      <c r="H121">
        <v>13105</v>
      </c>
      <c r="I121">
        <v>110.8</v>
      </c>
      <c r="J121">
        <v>0.31</v>
      </c>
      <c r="K121">
        <v>30.912500000000001</v>
      </c>
    </row>
    <row r="122" spans="1:11" x14ac:dyDescent="0.25">
      <c r="A122" s="1" t="s">
        <v>10</v>
      </c>
      <c r="B122" s="1" t="s">
        <v>11</v>
      </c>
      <c r="C122" s="2">
        <v>44008</v>
      </c>
      <c r="D122">
        <v>32.4</v>
      </c>
      <c r="E122">
        <v>37</v>
      </c>
      <c r="F122">
        <v>31</v>
      </c>
      <c r="G122">
        <v>35.4</v>
      </c>
      <c r="H122">
        <v>30692</v>
      </c>
      <c r="I122">
        <v>124.91</v>
      </c>
      <c r="J122">
        <v>0.31</v>
      </c>
      <c r="K122">
        <v>33.950000000000003</v>
      </c>
    </row>
    <row r="123" spans="1:11" x14ac:dyDescent="0.25">
      <c r="A123" s="1" t="s">
        <v>10</v>
      </c>
      <c r="B123" s="1" t="s">
        <v>11</v>
      </c>
      <c r="C123" s="2">
        <v>44011</v>
      </c>
      <c r="D123">
        <v>35</v>
      </c>
      <c r="E123">
        <v>35</v>
      </c>
      <c r="F123">
        <v>32.35</v>
      </c>
      <c r="G123">
        <v>34.049999999999997</v>
      </c>
      <c r="H123">
        <v>40648</v>
      </c>
      <c r="I123">
        <v>120.13</v>
      </c>
      <c r="J123">
        <v>0.31</v>
      </c>
      <c r="K123">
        <v>34.1</v>
      </c>
    </row>
    <row r="124" spans="1:11" x14ac:dyDescent="0.25">
      <c r="A124" s="1" t="s">
        <v>10</v>
      </c>
      <c r="B124" s="1" t="s">
        <v>11</v>
      </c>
      <c r="C124" s="2">
        <v>44012</v>
      </c>
      <c r="D124">
        <v>35.049999999999997</v>
      </c>
      <c r="E124">
        <v>35.1</v>
      </c>
      <c r="F124">
        <v>32.15</v>
      </c>
      <c r="G124">
        <v>32.299999999999997</v>
      </c>
      <c r="H124">
        <v>10046</v>
      </c>
      <c r="I124">
        <v>113.95</v>
      </c>
      <c r="J124">
        <v>0.31</v>
      </c>
      <c r="K124">
        <v>33.65</v>
      </c>
    </row>
    <row r="125" spans="1:11" x14ac:dyDescent="0.25">
      <c r="A125" s="1" t="s">
        <v>10</v>
      </c>
      <c r="B125" s="1" t="s">
        <v>11</v>
      </c>
      <c r="C125" s="2">
        <v>44013</v>
      </c>
      <c r="D125">
        <v>33</v>
      </c>
      <c r="E125">
        <v>33.15</v>
      </c>
      <c r="F125">
        <v>32.450000000000003</v>
      </c>
      <c r="G125">
        <v>32.700000000000003</v>
      </c>
      <c r="H125">
        <v>5370</v>
      </c>
      <c r="I125">
        <v>115.37</v>
      </c>
      <c r="J125">
        <v>0.31</v>
      </c>
      <c r="K125">
        <v>32.825000000000003</v>
      </c>
    </row>
    <row r="126" spans="1:11" x14ac:dyDescent="0.25">
      <c r="A126" s="1" t="s">
        <v>10</v>
      </c>
      <c r="B126" s="1" t="s">
        <v>11</v>
      </c>
      <c r="C126" s="2">
        <v>44014</v>
      </c>
      <c r="D126">
        <v>33.799999999999997</v>
      </c>
      <c r="E126">
        <v>33.799999999999997</v>
      </c>
      <c r="F126">
        <v>32.299999999999997</v>
      </c>
      <c r="G126">
        <v>32.35</v>
      </c>
      <c r="H126">
        <v>9966</v>
      </c>
      <c r="I126">
        <v>114.15</v>
      </c>
      <c r="J126">
        <v>0.31</v>
      </c>
      <c r="K126">
        <v>33.0625</v>
      </c>
    </row>
    <row r="127" spans="1:11" x14ac:dyDescent="0.25">
      <c r="A127" s="1" t="s">
        <v>10</v>
      </c>
      <c r="B127" s="1" t="s">
        <v>11</v>
      </c>
      <c r="C127" s="2">
        <v>44015</v>
      </c>
      <c r="D127">
        <v>34.700000000000003</v>
      </c>
      <c r="E127">
        <v>34.700000000000003</v>
      </c>
      <c r="F127">
        <v>32.15</v>
      </c>
      <c r="G127">
        <v>32.200000000000003</v>
      </c>
      <c r="H127">
        <v>7077</v>
      </c>
      <c r="I127">
        <v>113.62</v>
      </c>
      <c r="J127">
        <v>0.31</v>
      </c>
      <c r="K127">
        <v>33.4375</v>
      </c>
    </row>
    <row r="128" spans="1:11" x14ac:dyDescent="0.25">
      <c r="A128" s="1" t="s">
        <v>10</v>
      </c>
      <c r="B128" s="1" t="s">
        <v>11</v>
      </c>
      <c r="C128" s="2">
        <v>44018</v>
      </c>
      <c r="D128">
        <v>32.5</v>
      </c>
      <c r="E128">
        <v>34.1</v>
      </c>
      <c r="F128">
        <v>32.299999999999997</v>
      </c>
      <c r="G128">
        <v>33.35</v>
      </c>
      <c r="H128">
        <v>8800</v>
      </c>
      <c r="I128">
        <v>117.68</v>
      </c>
      <c r="J128">
        <v>0.31</v>
      </c>
      <c r="K128">
        <v>33.0625</v>
      </c>
    </row>
    <row r="129" spans="1:11" x14ac:dyDescent="0.25">
      <c r="A129" s="1" t="s">
        <v>10</v>
      </c>
      <c r="B129" s="1" t="s">
        <v>11</v>
      </c>
      <c r="C129" s="2">
        <v>44019</v>
      </c>
      <c r="D129">
        <v>33</v>
      </c>
      <c r="E129">
        <v>33.15</v>
      </c>
      <c r="F129">
        <v>32</v>
      </c>
      <c r="G129">
        <v>32.200000000000003</v>
      </c>
      <c r="H129">
        <v>22011</v>
      </c>
      <c r="I129">
        <v>113.62</v>
      </c>
      <c r="J129">
        <v>0.31</v>
      </c>
      <c r="K129">
        <v>32.587499999999999</v>
      </c>
    </row>
    <row r="130" spans="1:11" x14ac:dyDescent="0.25">
      <c r="A130" s="1" t="s">
        <v>10</v>
      </c>
      <c r="B130" s="1" t="s">
        <v>11</v>
      </c>
      <c r="C130" s="2">
        <v>44020</v>
      </c>
      <c r="D130">
        <v>32.5</v>
      </c>
      <c r="E130">
        <v>32.700000000000003</v>
      </c>
      <c r="F130">
        <v>32.15</v>
      </c>
      <c r="G130">
        <v>32.299999999999997</v>
      </c>
      <c r="H130">
        <v>3968</v>
      </c>
      <c r="I130">
        <v>113.98</v>
      </c>
      <c r="J130">
        <v>0.31</v>
      </c>
      <c r="K130">
        <v>32.412500000000001</v>
      </c>
    </row>
    <row r="131" spans="1:11" x14ac:dyDescent="0.25">
      <c r="A131" s="1" t="s">
        <v>10</v>
      </c>
      <c r="B131" s="1" t="s">
        <v>11</v>
      </c>
      <c r="C131" s="2">
        <v>44021</v>
      </c>
      <c r="D131">
        <v>32</v>
      </c>
      <c r="E131">
        <v>32.799999999999997</v>
      </c>
      <c r="F131">
        <v>32</v>
      </c>
      <c r="G131">
        <v>32.15</v>
      </c>
      <c r="H131">
        <v>11874</v>
      </c>
      <c r="I131">
        <v>113.45</v>
      </c>
      <c r="J131">
        <v>0.31</v>
      </c>
      <c r="K131">
        <v>32.237499999999997</v>
      </c>
    </row>
    <row r="132" spans="1:11" x14ac:dyDescent="0.25">
      <c r="A132" s="1" t="s">
        <v>10</v>
      </c>
      <c r="B132" s="1" t="s">
        <v>11</v>
      </c>
      <c r="C132" s="2">
        <v>44022</v>
      </c>
      <c r="D132">
        <v>31.6</v>
      </c>
      <c r="E132">
        <v>33.5</v>
      </c>
      <c r="F132">
        <v>31.45</v>
      </c>
      <c r="G132">
        <v>32.200000000000003</v>
      </c>
      <c r="H132">
        <v>10774</v>
      </c>
      <c r="I132">
        <v>113.62</v>
      </c>
      <c r="J132">
        <v>0.31</v>
      </c>
      <c r="K132">
        <v>32.1875</v>
      </c>
    </row>
    <row r="133" spans="1:11" x14ac:dyDescent="0.25">
      <c r="A133" s="1" t="s">
        <v>10</v>
      </c>
      <c r="B133" s="1" t="s">
        <v>11</v>
      </c>
      <c r="C133" s="2">
        <v>44025</v>
      </c>
      <c r="D133">
        <v>32.75</v>
      </c>
      <c r="E133">
        <v>33.75</v>
      </c>
      <c r="F133">
        <v>31.95</v>
      </c>
      <c r="G133">
        <v>33.200000000000003</v>
      </c>
      <c r="H133">
        <v>10034</v>
      </c>
      <c r="I133">
        <v>117.15</v>
      </c>
      <c r="J133">
        <v>0.31</v>
      </c>
      <c r="K133">
        <v>32.912500000000001</v>
      </c>
    </row>
    <row r="134" spans="1:11" x14ac:dyDescent="0.25">
      <c r="A134" s="1" t="s">
        <v>10</v>
      </c>
      <c r="B134" s="1" t="s">
        <v>11</v>
      </c>
      <c r="C134" s="2">
        <v>44026</v>
      </c>
      <c r="D134">
        <v>34</v>
      </c>
      <c r="E134">
        <v>34</v>
      </c>
      <c r="F134">
        <v>31.7</v>
      </c>
      <c r="G134">
        <v>31.9</v>
      </c>
      <c r="H134">
        <v>9288</v>
      </c>
      <c r="I134">
        <v>112.56</v>
      </c>
      <c r="J134">
        <v>0.31</v>
      </c>
      <c r="K134">
        <v>32.9</v>
      </c>
    </row>
    <row r="135" spans="1:11" x14ac:dyDescent="0.25">
      <c r="A135" s="1" t="s">
        <v>10</v>
      </c>
      <c r="B135" s="1" t="s">
        <v>11</v>
      </c>
      <c r="C135" s="2">
        <v>44027</v>
      </c>
      <c r="D135">
        <v>31.9</v>
      </c>
      <c r="E135">
        <v>32.450000000000003</v>
      </c>
      <c r="F135">
        <v>31.15</v>
      </c>
      <c r="G135">
        <v>31.7</v>
      </c>
      <c r="H135">
        <v>20990</v>
      </c>
      <c r="I135">
        <v>111.86</v>
      </c>
      <c r="J135">
        <v>0.31</v>
      </c>
      <c r="K135">
        <v>31.8</v>
      </c>
    </row>
    <row r="136" spans="1:11" x14ac:dyDescent="0.25">
      <c r="A136" s="1" t="s">
        <v>10</v>
      </c>
      <c r="B136" s="1" t="s">
        <v>11</v>
      </c>
      <c r="C136" s="2">
        <v>44028</v>
      </c>
      <c r="D136">
        <v>30</v>
      </c>
      <c r="E136">
        <v>32</v>
      </c>
      <c r="F136">
        <v>30</v>
      </c>
      <c r="G136">
        <v>31</v>
      </c>
      <c r="H136">
        <v>2822</v>
      </c>
      <c r="I136">
        <v>109.39</v>
      </c>
      <c r="J136">
        <v>0.31</v>
      </c>
      <c r="K136">
        <v>30.75</v>
      </c>
    </row>
    <row r="137" spans="1:11" x14ac:dyDescent="0.25">
      <c r="A137" s="1" t="s">
        <v>10</v>
      </c>
      <c r="B137" s="1" t="s">
        <v>11</v>
      </c>
      <c r="C137" s="2">
        <v>44029</v>
      </c>
      <c r="D137">
        <v>31.85</v>
      </c>
      <c r="E137">
        <v>31.85</v>
      </c>
      <c r="F137">
        <v>31.2</v>
      </c>
      <c r="G137">
        <v>31.2</v>
      </c>
      <c r="H137">
        <v>3214</v>
      </c>
      <c r="I137">
        <v>110.09</v>
      </c>
      <c r="J137">
        <v>0.31</v>
      </c>
      <c r="K137">
        <v>31.524999999999999</v>
      </c>
    </row>
    <row r="138" spans="1:11" x14ac:dyDescent="0.25">
      <c r="A138" s="1" t="s">
        <v>10</v>
      </c>
      <c r="B138" s="1" t="s">
        <v>11</v>
      </c>
      <c r="C138" s="2">
        <v>44032</v>
      </c>
      <c r="D138">
        <v>33</v>
      </c>
      <c r="E138">
        <v>33</v>
      </c>
      <c r="F138">
        <v>31.4</v>
      </c>
      <c r="G138">
        <v>31.7</v>
      </c>
      <c r="H138">
        <v>1894</v>
      </c>
      <c r="I138">
        <v>111.86</v>
      </c>
      <c r="J138">
        <v>0.31</v>
      </c>
      <c r="K138">
        <v>32.274999999999999</v>
      </c>
    </row>
    <row r="139" spans="1:11" x14ac:dyDescent="0.25">
      <c r="A139" s="1" t="s">
        <v>10</v>
      </c>
      <c r="B139" s="1" t="s">
        <v>11</v>
      </c>
      <c r="C139" s="2">
        <v>44033</v>
      </c>
      <c r="D139">
        <v>32.4</v>
      </c>
      <c r="E139">
        <v>32.4</v>
      </c>
      <c r="F139">
        <v>31.05</v>
      </c>
      <c r="G139">
        <v>31.15</v>
      </c>
      <c r="H139">
        <v>4828</v>
      </c>
      <c r="I139">
        <v>109.92</v>
      </c>
      <c r="J139">
        <v>0.31</v>
      </c>
      <c r="K139">
        <v>31.75</v>
      </c>
    </row>
    <row r="140" spans="1:11" x14ac:dyDescent="0.25">
      <c r="A140" s="1" t="s">
        <v>10</v>
      </c>
      <c r="B140" s="1" t="s">
        <v>11</v>
      </c>
      <c r="C140" s="2">
        <v>44034</v>
      </c>
      <c r="D140">
        <v>31.05</v>
      </c>
      <c r="E140">
        <v>31.3</v>
      </c>
      <c r="F140">
        <v>30.5</v>
      </c>
      <c r="G140">
        <v>30.6</v>
      </c>
      <c r="H140">
        <v>5155</v>
      </c>
      <c r="I140">
        <v>107.98</v>
      </c>
      <c r="J140">
        <v>0.31</v>
      </c>
      <c r="K140">
        <v>30.862500000000001</v>
      </c>
    </row>
    <row r="141" spans="1:11" x14ac:dyDescent="0.25">
      <c r="A141" s="1" t="s">
        <v>10</v>
      </c>
      <c r="B141" s="1" t="s">
        <v>11</v>
      </c>
      <c r="C141" s="2">
        <v>44035</v>
      </c>
      <c r="D141">
        <v>30.65</v>
      </c>
      <c r="E141">
        <v>30.9</v>
      </c>
      <c r="F141">
        <v>29.85</v>
      </c>
      <c r="G141">
        <v>30.3</v>
      </c>
      <c r="H141">
        <v>5867</v>
      </c>
      <c r="I141">
        <v>106.92</v>
      </c>
      <c r="J141">
        <v>0.31</v>
      </c>
      <c r="K141">
        <v>30.425000000000001</v>
      </c>
    </row>
    <row r="142" spans="1:11" x14ac:dyDescent="0.25">
      <c r="A142" s="1" t="s">
        <v>10</v>
      </c>
      <c r="B142" s="1" t="s">
        <v>11</v>
      </c>
      <c r="C142" s="2">
        <v>44036</v>
      </c>
      <c r="D142">
        <v>31</v>
      </c>
      <c r="E142">
        <v>31.95</v>
      </c>
      <c r="F142">
        <v>29.65</v>
      </c>
      <c r="G142">
        <v>31.25</v>
      </c>
      <c r="H142">
        <v>8392</v>
      </c>
      <c r="I142">
        <v>110.27</v>
      </c>
      <c r="J142">
        <v>0.31</v>
      </c>
      <c r="K142">
        <v>30.962499999999999</v>
      </c>
    </row>
    <row r="143" spans="1:11" x14ac:dyDescent="0.25">
      <c r="A143" s="1" t="s">
        <v>10</v>
      </c>
      <c r="B143" s="1" t="s">
        <v>11</v>
      </c>
      <c r="C143" s="2">
        <v>44039</v>
      </c>
      <c r="D143">
        <v>31</v>
      </c>
      <c r="E143">
        <v>31</v>
      </c>
      <c r="F143">
        <v>29.2</v>
      </c>
      <c r="G143">
        <v>30.25</v>
      </c>
      <c r="H143">
        <v>13402</v>
      </c>
      <c r="I143">
        <v>106.74</v>
      </c>
      <c r="J143">
        <v>0.31</v>
      </c>
      <c r="K143">
        <v>30.362500000000001</v>
      </c>
    </row>
    <row r="144" spans="1:11" x14ac:dyDescent="0.25">
      <c r="A144" s="1" t="s">
        <v>10</v>
      </c>
      <c r="B144" s="1" t="s">
        <v>11</v>
      </c>
      <c r="C144" s="2">
        <v>44040</v>
      </c>
      <c r="D144">
        <v>29.5</v>
      </c>
      <c r="E144">
        <v>31</v>
      </c>
      <c r="F144">
        <v>29.5</v>
      </c>
      <c r="G144">
        <v>30.5</v>
      </c>
      <c r="H144">
        <v>2187</v>
      </c>
      <c r="I144">
        <v>107.62</v>
      </c>
      <c r="J144">
        <v>0.31</v>
      </c>
      <c r="K144">
        <v>30.125</v>
      </c>
    </row>
    <row r="145" spans="1:11" x14ac:dyDescent="0.25">
      <c r="A145" s="1" t="s">
        <v>10</v>
      </c>
      <c r="B145" s="1" t="s">
        <v>11</v>
      </c>
      <c r="C145" s="2">
        <v>44041</v>
      </c>
      <c r="D145">
        <v>30.15</v>
      </c>
      <c r="E145">
        <v>30.4</v>
      </c>
      <c r="F145">
        <v>29.7</v>
      </c>
      <c r="G145">
        <v>29.95</v>
      </c>
      <c r="H145">
        <v>7605</v>
      </c>
      <c r="I145">
        <v>105.68</v>
      </c>
      <c r="J145">
        <v>0.31</v>
      </c>
      <c r="K145">
        <v>30.05</v>
      </c>
    </row>
    <row r="146" spans="1:11" x14ac:dyDescent="0.25">
      <c r="A146" s="1" t="s">
        <v>10</v>
      </c>
      <c r="B146" s="1" t="s">
        <v>11</v>
      </c>
      <c r="C146" s="2">
        <v>44042</v>
      </c>
      <c r="D146">
        <v>32.15</v>
      </c>
      <c r="E146">
        <v>32.15</v>
      </c>
      <c r="F146">
        <v>28.9</v>
      </c>
      <c r="G146">
        <v>29.15</v>
      </c>
      <c r="H146">
        <v>15993</v>
      </c>
      <c r="I146">
        <v>102.86</v>
      </c>
      <c r="J146">
        <v>0.31</v>
      </c>
      <c r="K146">
        <v>30.587499999999999</v>
      </c>
    </row>
    <row r="147" spans="1:11" x14ac:dyDescent="0.25">
      <c r="A147" s="1" t="s">
        <v>10</v>
      </c>
      <c r="B147" s="1" t="s">
        <v>11</v>
      </c>
      <c r="C147" s="2">
        <v>44043</v>
      </c>
      <c r="D147">
        <v>28.8</v>
      </c>
      <c r="E147">
        <v>29.1</v>
      </c>
      <c r="F147">
        <v>28.5</v>
      </c>
      <c r="G147">
        <v>28.6</v>
      </c>
      <c r="H147">
        <v>6694</v>
      </c>
      <c r="I147">
        <v>100.92</v>
      </c>
      <c r="J147">
        <v>0.31</v>
      </c>
      <c r="K147">
        <v>28.75</v>
      </c>
    </row>
    <row r="148" spans="1:11" x14ac:dyDescent="0.25">
      <c r="A148" s="1" t="s">
        <v>10</v>
      </c>
      <c r="B148" s="1" t="s">
        <v>11</v>
      </c>
      <c r="C148" s="2">
        <v>44046</v>
      </c>
      <c r="D148">
        <v>28</v>
      </c>
      <c r="E148">
        <v>29.7</v>
      </c>
      <c r="F148">
        <v>28</v>
      </c>
      <c r="G148">
        <v>29</v>
      </c>
      <c r="H148">
        <v>16621</v>
      </c>
      <c r="I148">
        <v>102.33</v>
      </c>
      <c r="J148">
        <v>0.31</v>
      </c>
      <c r="K148">
        <v>28.675000000000001</v>
      </c>
    </row>
    <row r="149" spans="1:11" x14ac:dyDescent="0.25">
      <c r="A149" s="1" t="s">
        <v>10</v>
      </c>
      <c r="B149" s="1" t="s">
        <v>11</v>
      </c>
      <c r="C149" s="2">
        <v>44047</v>
      </c>
      <c r="D149">
        <v>29.2</v>
      </c>
      <c r="E149">
        <v>30.85</v>
      </c>
      <c r="F149">
        <v>29.15</v>
      </c>
      <c r="G149">
        <v>29.85</v>
      </c>
      <c r="H149">
        <v>6806</v>
      </c>
      <c r="I149">
        <v>105.33</v>
      </c>
      <c r="J149">
        <v>0.31</v>
      </c>
      <c r="K149">
        <v>29.762499999999999</v>
      </c>
    </row>
    <row r="150" spans="1:11" x14ac:dyDescent="0.25">
      <c r="A150" s="1" t="s">
        <v>10</v>
      </c>
      <c r="B150" s="1" t="s">
        <v>11</v>
      </c>
      <c r="C150" s="2">
        <v>44048</v>
      </c>
      <c r="D150">
        <v>31.95</v>
      </c>
      <c r="E150">
        <v>33</v>
      </c>
      <c r="F150">
        <v>30.5</v>
      </c>
      <c r="G150">
        <v>30.75</v>
      </c>
      <c r="H150">
        <v>23956</v>
      </c>
      <c r="I150">
        <v>108.51</v>
      </c>
      <c r="J150">
        <v>0.31</v>
      </c>
      <c r="K150">
        <v>31.55</v>
      </c>
    </row>
    <row r="151" spans="1:11" x14ac:dyDescent="0.25">
      <c r="A151" s="1" t="s">
        <v>10</v>
      </c>
      <c r="B151" s="1" t="s">
        <v>11</v>
      </c>
      <c r="C151" s="2">
        <v>44049</v>
      </c>
      <c r="D151">
        <v>31.05</v>
      </c>
      <c r="E151">
        <v>31.95</v>
      </c>
      <c r="F151">
        <v>31</v>
      </c>
      <c r="G151">
        <v>31.05</v>
      </c>
      <c r="H151">
        <v>6179</v>
      </c>
      <c r="I151">
        <v>109.56</v>
      </c>
      <c r="J151">
        <v>0.31</v>
      </c>
      <c r="K151">
        <v>31.262499999999999</v>
      </c>
    </row>
    <row r="152" spans="1:11" x14ac:dyDescent="0.25">
      <c r="A152" s="1" t="s">
        <v>10</v>
      </c>
      <c r="B152" s="1" t="s">
        <v>11</v>
      </c>
      <c r="C152" s="2">
        <v>44050</v>
      </c>
      <c r="D152">
        <v>31.1</v>
      </c>
      <c r="E152">
        <v>31.5</v>
      </c>
      <c r="F152">
        <v>30.4</v>
      </c>
      <c r="G152">
        <v>31.05</v>
      </c>
      <c r="H152">
        <v>8147</v>
      </c>
      <c r="I152">
        <v>109.56</v>
      </c>
      <c r="J152">
        <v>0.31</v>
      </c>
      <c r="K152">
        <v>31.012499999999999</v>
      </c>
    </row>
    <row r="153" spans="1:11" x14ac:dyDescent="0.25">
      <c r="A153" s="1" t="s">
        <v>10</v>
      </c>
      <c r="B153" s="1" t="s">
        <v>11</v>
      </c>
      <c r="C153" s="2">
        <v>44053</v>
      </c>
      <c r="D153">
        <v>29.5</v>
      </c>
      <c r="E153">
        <v>32</v>
      </c>
      <c r="F153">
        <v>29.5</v>
      </c>
      <c r="G153">
        <v>30.7</v>
      </c>
      <c r="H153">
        <v>30744</v>
      </c>
      <c r="I153">
        <v>108.33</v>
      </c>
      <c r="J153">
        <v>0.31</v>
      </c>
      <c r="K153">
        <v>30.425000000000001</v>
      </c>
    </row>
    <row r="154" spans="1:11" x14ac:dyDescent="0.25">
      <c r="A154" s="1" t="s">
        <v>10</v>
      </c>
      <c r="B154" s="1" t="s">
        <v>11</v>
      </c>
      <c r="C154" s="2">
        <v>44054</v>
      </c>
      <c r="D154">
        <v>30.75</v>
      </c>
      <c r="E154">
        <v>33</v>
      </c>
      <c r="F154">
        <v>30.5</v>
      </c>
      <c r="G154">
        <v>32.5</v>
      </c>
      <c r="H154">
        <v>15232</v>
      </c>
      <c r="I154">
        <v>114.68</v>
      </c>
      <c r="J154">
        <v>0.31</v>
      </c>
      <c r="K154">
        <v>31.6875</v>
      </c>
    </row>
    <row r="155" spans="1:11" x14ac:dyDescent="0.25">
      <c r="A155" s="1" t="s">
        <v>10</v>
      </c>
      <c r="B155" s="1" t="s">
        <v>11</v>
      </c>
      <c r="C155" s="2">
        <v>44055</v>
      </c>
      <c r="D155">
        <v>34.799999999999997</v>
      </c>
      <c r="E155">
        <v>36.549999999999997</v>
      </c>
      <c r="F155">
        <v>33.700000000000003</v>
      </c>
      <c r="G155">
        <v>34</v>
      </c>
      <c r="H155">
        <v>90139</v>
      </c>
      <c r="I155">
        <v>119.97</v>
      </c>
      <c r="J155">
        <v>0.31</v>
      </c>
      <c r="K155">
        <v>34.762500000000003</v>
      </c>
    </row>
    <row r="156" spans="1:11" x14ac:dyDescent="0.25">
      <c r="A156" s="1" t="s">
        <v>10</v>
      </c>
      <c r="B156" s="1" t="s">
        <v>11</v>
      </c>
      <c r="C156" s="2">
        <v>44056</v>
      </c>
      <c r="D156">
        <v>33</v>
      </c>
      <c r="E156">
        <v>34.299999999999997</v>
      </c>
      <c r="F156">
        <v>32.450000000000003</v>
      </c>
      <c r="G156">
        <v>32.75</v>
      </c>
      <c r="H156">
        <v>64122</v>
      </c>
      <c r="I156">
        <v>115.56</v>
      </c>
      <c r="J156">
        <v>0.31</v>
      </c>
      <c r="K156">
        <v>33.125</v>
      </c>
    </row>
    <row r="157" spans="1:11" x14ac:dyDescent="0.25">
      <c r="A157" s="1" t="s">
        <v>10</v>
      </c>
      <c r="B157" s="1" t="s">
        <v>11</v>
      </c>
      <c r="C157" s="2">
        <v>44057</v>
      </c>
      <c r="D157">
        <v>32.75</v>
      </c>
      <c r="E157">
        <v>32.75</v>
      </c>
      <c r="F157">
        <v>30.7</v>
      </c>
      <c r="G157">
        <v>31</v>
      </c>
      <c r="H157">
        <v>15861</v>
      </c>
      <c r="I157">
        <v>109.39</v>
      </c>
      <c r="J157">
        <v>0.31</v>
      </c>
      <c r="K157">
        <v>31.8</v>
      </c>
    </row>
    <row r="158" spans="1:11" x14ac:dyDescent="0.25">
      <c r="A158" s="1" t="s">
        <v>10</v>
      </c>
      <c r="B158" s="1" t="s">
        <v>11</v>
      </c>
      <c r="C158" s="2">
        <v>44060</v>
      </c>
      <c r="D158">
        <v>31.7</v>
      </c>
      <c r="E158">
        <v>32</v>
      </c>
      <c r="F158">
        <v>30.85</v>
      </c>
      <c r="G158">
        <v>31.25</v>
      </c>
      <c r="H158">
        <v>10466</v>
      </c>
      <c r="I158">
        <v>110.27</v>
      </c>
      <c r="J158">
        <v>0.31</v>
      </c>
      <c r="K158">
        <v>31.45</v>
      </c>
    </row>
    <row r="159" spans="1:11" x14ac:dyDescent="0.25">
      <c r="A159" s="1" t="s">
        <v>10</v>
      </c>
      <c r="B159" s="1" t="s">
        <v>11</v>
      </c>
      <c r="C159" s="2">
        <v>44061</v>
      </c>
      <c r="D159">
        <v>32.75</v>
      </c>
      <c r="E159">
        <v>32.75</v>
      </c>
      <c r="F159">
        <v>31</v>
      </c>
      <c r="G159">
        <v>31.35</v>
      </c>
      <c r="H159">
        <v>9851</v>
      </c>
      <c r="I159">
        <v>110.62</v>
      </c>
      <c r="J159">
        <v>0.31</v>
      </c>
      <c r="K159">
        <v>31.962499999999999</v>
      </c>
    </row>
    <row r="160" spans="1:11" x14ac:dyDescent="0.25">
      <c r="A160" s="1" t="s">
        <v>10</v>
      </c>
      <c r="B160" s="1" t="s">
        <v>11</v>
      </c>
      <c r="C160" s="2">
        <v>44062</v>
      </c>
      <c r="D160">
        <v>32</v>
      </c>
      <c r="E160">
        <v>32.299999999999997</v>
      </c>
      <c r="F160">
        <v>31.5</v>
      </c>
      <c r="G160">
        <v>31.55</v>
      </c>
      <c r="H160">
        <v>4433</v>
      </c>
      <c r="I160">
        <v>111.33</v>
      </c>
      <c r="J160">
        <v>0.31</v>
      </c>
      <c r="K160">
        <v>31.837499999999999</v>
      </c>
    </row>
    <row r="161" spans="1:11" x14ac:dyDescent="0.25">
      <c r="A161" s="1" t="s">
        <v>10</v>
      </c>
      <c r="B161" s="1" t="s">
        <v>11</v>
      </c>
      <c r="C161" s="2">
        <v>44063</v>
      </c>
      <c r="D161">
        <v>31.9</v>
      </c>
      <c r="E161">
        <v>31.95</v>
      </c>
      <c r="F161">
        <v>31.15</v>
      </c>
      <c r="G161">
        <v>31.75</v>
      </c>
      <c r="H161">
        <v>3900</v>
      </c>
      <c r="I161">
        <v>112.03</v>
      </c>
      <c r="J161">
        <v>0.31</v>
      </c>
      <c r="K161">
        <v>31.6875</v>
      </c>
    </row>
    <row r="162" spans="1:11" x14ac:dyDescent="0.25">
      <c r="A162" s="1" t="s">
        <v>10</v>
      </c>
      <c r="B162" s="1" t="s">
        <v>11</v>
      </c>
      <c r="C162" s="2">
        <v>44064</v>
      </c>
      <c r="D162">
        <v>31.9</v>
      </c>
      <c r="E162">
        <v>32.25</v>
      </c>
      <c r="F162">
        <v>31.6</v>
      </c>
      <c r="G162">
        <v>31.6</v>
      </c>
      <c r="H162">
        <v>1138</v>
      </c>
      <c r="I162">
        <v>111.51</v>
      </c>
      <c r="J162">
        <v>0.31</v>
      </c>
      <c r="K162">
        <v>31.837499999999999</v>
      </c>
    </row>
    <row r="163" spans="1:11" x14ac:dyDescent="0.25">
      <c r="A163" s="1" t="s">
        <v>10</v>
      </c>
      <c r="B163" s="1" t="s">
        <v>11</v>
      </c>
      <c r="C163" s="2">
        <v>44067</v>
      </c>
      <c r="D163">
        <v>31.9</v>
      </c>
      <c r="E163">
        <v>32.5</v>
      </c>
      <c r="F163">
        <v>31.4</v>
      </c>
      <c r="G163">
        <v>31.5</v>
      </c>
      <c r="H163">
        <v>7876</v>
      </c>
      <c r="I163">
        <v>111.15</v>
      </c>
      <c r="J163">
        <v>0.31</v>
      </c>
      <c r="K163">
        <v>31.824999999999999</v>
      </c>
    </row>
    <row r="164" spans="1:11" x14ac:dyDescent="0.25">
      <c r="A164" s="1" t="s">
        <v>10</v>
      </c>
      <c r="B164" s="1" t="s">
        <v>11</v>
      </c>
      <c r="C164" s="2">
        <v>44068</v>
      </c>
      <c r="D164">
        <v>32.9</v>
      </c>
      <c r="E164">
        <v>32.9</v>
      </c>
      <c r="F164">
        <v>31</v>
      </c>
      <c r="G164">
        <v>31.1</v>
      </c>
      <c r="H164">
        <v>11318</v>
      </c>
      <c r="I164">
        <v>109.74</v>
      </c>
      <c r="J164">
        <v>0.31</v>
      </c>
      <c r="K164">
        <v>31.975000000000001</v>
      </c>
    </row>
    <row r="165" spans="1:11" x14ac:dyDescent="0.25">
      <c r="A165" s="1" t="s">
        <v>10</v>
      </c>
      <c r="B165" s="1" t="s">
        <v>11</v>
      </c>
      <c r="C165" s="2">
        <v>44069</v>
      </c>
      <c r="D165">
        <v>31.15</v>
      </c>
      <c r="E165">
        <v>33.4</v>
      </c>
      <c r="F165">
        <v>30.95</v>
      </c>
      <c r="G165">
        <v>32.9</v>
      </c>
      <c r="H165">
        <v>18614</v>
      </c>
      <c r="I165">
        <v>116.09</v>
      </c>
      <c r="J165">
        <v>0.31</v>
      </c>
      <c r="K165">
        <v>32.1</v>
      </c>
    </row>
    <row r="166" spans="1:11" x14ac:dyDescent="0.25">
      <c r="A166" s="1" t="s">
        <v>10</v>
      </c>
      <c r="B166" s="1" t="s">
        <v>11</v>
      </c>
      <c r="C166" s="2">
        <v>44070</v>
      </c>
      <c r="D166">
        <v>34.450000000000003</v>
      </c>
      <c r="E166">
        <v>34.450000000000003</v>
      </c>
      <c r="F166">
        <v>32.5</v>
      </c>
      <c r="G166">
        <v>33.25</v>
      </c>
      <c r="H166">
        <v>7847</v>
      </c>
      <c r="I166">
        <v>117.33</v>
      </c>
      <c r="J166">
        <v>0.31</v>
      </c>
      <c r="K166">
        <v>33.662500000000001</v>
      </c>
    </row>
    <row r="167" spans="1:11" x14ac:dyDescent="0.25">
      <c r="A167" s="1" t="s">
        <v>10</v>
      </c>
      <c r="B167" s="1" t="s">
        <v>11</v>
      </c>
      <c r="C167" s="2">
        <v>44071</v>
      </c>
      <c r="D167">
        <v>33.85</v>
      </c>
      <c r="E167">
        <v>34</v>
      </c>
      <c r="F167">
        <v>32.25</v>
      </c>
      <c r="G167">
        <v>32.450000000000003</v>
      </c>
      <c r="H167">
        <v>15406</v>
      </c>
      <c r="I167">
        <v>114.5</v>
      </c>
      <c r="J167">
        <v>0.31</v>
      </c>
      <c r="K167">
        <v>33.137500000000003</v>
      </c>
    </row>
    <row r="168" spans="1:11" x14ac:dyDescent="0.25">
      <c r="A168" s="1" t="s">
        <v>10</v>
      </c>
      <c r="B168" s="1" t="s">
        <v>11</v>
      </c>
      <c r="C168" s="2">
        <v>44074</v>
      </c>
      <c r="D168">
        <v>32.15</v>
      </c>
      <c r="E168">
        <v>32.85</v>
      </c>
      <c r="F168">
        <v>30.45</v>
      </c>
      <c r="G168">
        <v>30.95</v>
      </c>
      <c r="H168">
        <v>8456</v>
      </c>
      <c r="I168">
        <v>109.21</v>
      </c>
      <c r="J168">
        <v>0.31</v>
      </c>
      <c r="K168">
        <v>31.6</v>
      </c>
    </row>
    <row r="169" spans="1:11" x14ac:dyDescent="0.25">
      <c r="A169" s="1" t="s">
        <v>10</v>
      </c>
      <c r="B169" s="1" t="s">
        <v>11</v>
      </c>
      <c r="C169" s="2">
        <v>44075</v>
      </c>
      <c r="D169">
        <v>30.45</v>
      </c>
      <c r="E169">
        <v>30.85</v>
      </c>
      <c r="F169">
        <v>29.65</v>
      </c>
      <c r="G169">
        <v>30.35</v>
      </c>
      <c r="H169">
        <v>1605</v>
      </c>
      <c r="I169">
        <v>107.09</v>
      </c>
      <c r="J169">
        <v>0.31</v>
      </c>
      <c r="K169">
        <v>30.324999999999999</v>
      </c>
    </row>
    <row r="170" spans="1:11" x14ac:dyDescent="0.25">
      <c r="A170" s="1" t="s">
        <v>10</v>
      </c>
      <c r="B170" s="1" t="s">
        <v>11</v>
      </c>
      <c r="C170" s="2">
        <v>44076</v>
      </c>
      <c r="D170">
        <v>32.5</v>
      </c>
      <c r="E170">
        <v>32.5</v>
      </c>
      <c r="F170">
        <v>29.6</v>
      </c>
      <c r="G170">
        <v>30.55</v>
      </c>
      <c r="H170">
        <v>4829</v>
      </c>
      <c r="I170">
        <v>107.8</v>
      </c>
      <c r="J170">
        <v>0.31</v>
      </c>
      <c r="K170">
        <v>31.287500000000001</v>
      </c>
    </row>
    <row r="171" spans="1:11" x14ac:dyDescent="0.25">
      <c r="A171" s="1" t="s">
        <v>10</v>
      </c>
      <c r="B171" s="1" t="s">
        <v>11</v>
      </c>
      <c r="C171" s="2">
        <v>44077</v>
      </c>
      <c r="D171">
        <v>30.55</v>
      </c>
      <c r="E171">
        <v>31.25</v>
      </c>
      <c r="F171">
        <v>29.9</v>
      </c>
      <c r="G171">
        <v>31.1</v>
      </c>
      <c r="H171">
        <v>12106</v>
      </c>
      <c r="I171">
        <v>109.74</v>
      </c>
      <c r="J171">
        <v>0.31</v>
      </c>
      <c r="K171">
        <v>30.7</v>
      </c>
    </row>
    <row r="172" spans="1:11" x14ac:dyDescent="0.25">
      <c r="A172" s="1" t="s">
        <v>10</v>
      </c>
      <c r="B172" s="1" t="s">
        <v>11</v>
      </c>
      <c r="C172" s="2">
        <v>44078</v>
      </c>
      <c r="D172">
        <v>28.5</v>
      </c>
      <c r="E172">
        <v>30.45</v>
      </c>
      <c r="F172">
        <v>28.5</v>
      </c>
      <c r="G172">
        <v>30.05</v>
      </c>
      <c r="H172">
        <v>5697</v>
      </c>
      <c r="I172">
        <v>106.04</v>
      </c>
      <c r="J172">
        <v>0.31</v>
      </c>
      <c r="K172">
        <v>29.375</v>
      </c>
    </row>
    <row r="173" spans="1:11" x14ac:dyDescent="0.25">
      <c r="A173" s="1" t="s">
        <v>10</v>
      </c>
      <c r="B173" s="1" t="s">
        <v>11</v>
      </c>
      <c r="C173" s="2">
        <v>44081</v>
      </c>
      <c r="D173">
        <v>30.2</v>
      </c>
      <c r="E173">
        <v>30.2</v>
      </c>
      <c r="F173">
        <v>29.5</v>
      </c>
      <c r="G173">
        <v>29.65</v>
      </c>
      <c r="H173">
        <v>3058</v>
      </c>
      <c r="I173">
        <v>104.62</v>
      </c>
      <c r="J173">
        <v>0.31</v>
      </c>
      <c r="K173">
        <v>29.887499999999999</v>
      </c>
    </row>
    <row r="174" spans="1:11" x14ac:dyDescent="0.25">
      <c r="A174" s="1" t="s">
        <v>10</v>
      </c>
      <c r="B174" s="1" t="s">
        <v>11</v>
      </c>
      <c r="C174" s="2">
        <v>44082</v>
      </c>
      <c r="D174">
        <v>29.6</v>
      </c>
      <c r="E174">
        <v>30.5</v>
      </c>
      <c r="F174">
        <v>29.45</v>
      </c>
      <c r="G174">
        <v>29.6</v>
      </c>
      <c r="H174">
        <v>5580</v>
      </c>
      <c r="I174">
        <v>104.45</v>
      </c>
      <c r="J174">
        <v>0.31</v>
      </c>
      <c r="K174">
        <v>29.787500000000001</v>
      </c>
    </row>
    <row r="175" spans="1:11" x14ac:dyDescent="0.25">
      <c r="A175" s="1" t="s">
        <v>10</v>
      </c>
      <c r="B175" s="1" t="s">
        <v>11</v>
      </c>
      <c r="C175" s="2">
        <v>44083</v>
      </c>
      <c r="D175">
        <v>29.7</v>
      </c>
      <c r="E175">
        <v>29.75</v>
      </c>
      <c r="F175">
        <v>27.55</v>
      </c>
      <c r="G175">
        <v>29.05</v>
      </c>
      <c r="H175">
        <v>9929</v>
      </c>
      <c r="I175">
        <v>102.51</v>
      </c>
      <c r="J175">
        <v>0.31</v>
      </c>
      <c r="K175">
        <v>29.012499999999999</v>
      </c>
    </row>
    <row r="176" spans="1:11" x14ac:dyDescent="0.25">
      <c r="A176" s="1" t="s">
        <v>10</v>
      </c>
      <c r="B176" s="1" t="s">
        <v>11</v>
      </c>
      <c r="C176" s="2">
        <v>44084</v>
      </c>
      <c r="D176">
        <v>29.4</v>
      </c>
      <c r="E176">
        <v>29.9</v>
      </c>
      <c r="F176">
        <v>29.05</v>
      </c>
      <c r="G176">
        <v>29.25</v>
      </c>
      <c r="H176">
        <v>3505</v>
      </c>
      <c r="I176">
        <v>103.21</v>
      </c>
      <c r="J176">
        <v>0.31</v>
      </c>
      <c r="K176">
        <v>29.4</v>
      </c>
    </row>
    <row r="177" spans="1:11" x14ac:dyDescent="0.25">
      <c r="A177" s="1" t="s">
        <v>10</v>
      </c>
      <c r="B177" s="1" t="s">
        <v>11</v>
      </c>
      <c r="C177" s="2">
        <v>44085</v>
      </c>
      <c r="D177">
        <v>29.75</v>
      </c>
      <c r="E177">
        <v>29.75</v>
      </c>
      <c r="F177">
        <v>29</v>
      </c>
      <c r="G177">
        <v>29</v>
      </c>
      <c r="H177">
        <v>734</v>
      </c>
      <c r="I177">
        <v>102.33</v>
      </c>
      <c r="J177">
        <v>0.31</v>
      </c>
      <c r="K177">
        <v>29.375</v>
      </c>
    </row>
    <row r="178" spans="1:11" x14ac:dyDescent="0.25">
      <c r="A178" s="1" t="s">
        <v>10</v>
      </c>
      <c r="B178" s="1" t="s">
        <v>11</v>
      </c>
      <c r="C178" s="2">
        <v>44088</v>
      </c>
      <c r="D178">
        <v>29.65</v>
      </c>
      <c r="E178">
        <v>29.9</v>
      </c>
      <c r="F178">
        <v>29.45</v>
      </c>
      <c r="G178">
        <v>29.5</v>
      </c>
      <c r="H178">
        <v>716</v>
      </c>
      <c r="I178">
        <v>104.1</v>
      </c>
      <c r="J178">
        <v>0.31</v>
      </c>
      <c r="K178">
        <v>29.625</v>
      </c>
    </row>
    <row r="179" spans="1:11" x14ac:dyDescent="0.25">
      <c r="A179" s="1" t="s">
        <v>10</v>
      </c>
      <c r="B179" s="1" t="s">
        <v>11</v>
      </c>
      <c r="C179" s="2">
        <v>44089</v>
      </c>
      <c r="D179">
        <v>30</v>
      </c>
      <c r="E179">
        <v>30</v>
      </c>
      <c r="F179">
        <v>29</v>
      </c>
      <c r="G179">
        <v>29.45</v>
      </c>
      <c r="H179">
        <v>11541</v>
      </c>
      <c r="I179">
        <v>103.92</v>
      </c>
      <c r="J179">
        <v>0.31</v>
      </c>
      <c r="K179">
        <v>29.612500000000001</v>
      </c>
    </row>
    <row r="180" spans="1:11" x14ac:dyDescent="0.25">
      <c r="A180" s="1" t="s">
        <v>10</v>
      </c>
      <c r="B180" s="1" t="s">
        <v>11</v>
      </c>
      <c r="C180" s="2">
        <v>44090</v>
      </c>
      <c r="D180">
        <v>29.95</v>
      </c>
      <c r="E180">
        <v>29.95</v>
      </c>
      <c r="F180">
        <v>29.35</v>
      </c>
      <c r="G180">
        <v>29.5</v>
      </c>
      <c r="H180">
        <v>3615</v>
      </c>
      <c r="I180">
        <v>104.1</v>
      </c>
      <c r="J180">
        <v>0.31</v>
      </c>
      <c r="K180">
        <v>29.6875</v>
      </c>
    </row>
    <row r="181" spans="1:11" x14ac:dyDescent="0.25">
      <c r="A181" s="1" t="s">
        <v>10</v>
      </c>
      <c r="B181" s="1" t="s">
        <v>11</v>
      </c>
      <c r="C181" s="2">
        <v>44091</v>
      </c>
      <c r="D181">
        <v>29.5</v>
      </c>
      <c r="E181">
        <v>29.8</v>
      </c>
      <c r="F181">
        <v>29.3</v>
      </c>
      <c r="G181">
        <v>29.3</v>
      </c>
      <c r="H181">
        <v>4021</v>
      </c>
      <c r="I181">
        <v>103.39</v>
      </c>
      <c r="J181">
        <v>0.31</v>
      </c>
      <c r="K181">
        <v>29.475000000000001</v>
      </c>
    </row>
    <row r="182" spans="1:11" x14ac:dyDescent="0.25">
      <c r="A182" s="1" t="s">
        <v>10</v>
      </c>
      <c r="B182" s="1" t="s">
        <v>11</v>
      </c>
      <c r="C182" s="2">
        <v>44092</v>
      </c>
      <c r="D182">
        <v>29.15</v>
      </c>
      <c r="E182">
        <v>29.3</v>
      </c>
      <c r="F182">
        <v>29.15</v>
      </c>
      <c r="G182">
        <v>29.15</v>
      </c>
      <c r="H182">
        <v>397</v>
      </c>
      <c r="I182">
        <v>102.86</v>
      </c>
      <c r="J182">
        <v>0.31</v>
      </c>
      <c r="K182">
        <v>29.1875</v>
      </c>
    </row>
    <row r="183" spans="1:11" x14ac:dyDescent="0.25">
      <c r="A183" s="1" t="s">
        <v>10</v>
      </c>
      <c r="B183" s="1" t="s">
        <v>11</v>
      </c>
      <c r="C183" s="2">
        <v>44095</v>
      </c>
      <c r="D183">
        <v>28.85</v>
      </c>
      <c r="E183">
        <v>29.1</v>
      </c>
      <c r="F183">
        <v>28.2</v>
      </c>
      <c r="G183">
        <v>28.25</v>
      </c>
      <c r="H183">
        <v>5288</v>
      </c>
      <c r="I183">
        <v>99.68</v>
      </c>
      <c r="J183">
        <v>0.31</v>
      </c>
      <c r="K183">
        <v>28.6</v>
      </c>
    </row>
    <row r="184" spans="1:11" x14ac:dyDescent="0.25">
      <c r="A184" s="1" t="s">
        <v>10</v>
      </c>
      <c r="B184" s="1" t="s">
        <v>11</v>
      </c>
      <c r="C184" s="2">
        <v>44096</v>
      </c>
      <c r="D184">
        <v>28.25</v>
      </c>
      <c r="E184">
        <v>28.25</v>
      </c>
      <c r="F184">
        <v>25.3</v>
      </c>
      <c r="G184">
        <v>27.3</v>
      </c>
      <c r="H184">
        <v>9653</v>
      </c>
      <c r="I184">
        <v>96.33</v>
      </c>
      <c r="J184">
        <v>0.31</v>
      </c>
      <c r="K184">
        <v>27.274999999999999</v>
      </c>
    </row>
    <row r="185" spans="1:11" x14ac:dyDescent="0.25">
      <c r="A185" s="1" t="s">
        <v>10</v>
      </c>
      <c r="B185" s="1" t="s">
        <v>11</v>
      </c>
      <c r="C185" s="2">
        <v>44097</v>
      </c>
      <c r="D185">
        <v>31.85</v>
      </c>
      <c r="E185">
        <v>31.85</v>
      </c>
      <c r="F185">
        <v>26</v>
      </c>
      <c r="G185">
        <v>26.7</v>
      </c>
      <c r="H185">
        <v>4714</v>
      </c>
      <c r="I185">
        <v>94.21</v>
      </c>
      <c r="J185">
        <v>0.31</v>
      </c>
      <c r="K185">
        <v>29.1</v>
      </c>
    </row>
    <row r="186" spans="1:11" x14ac:dyDescent="0.25">
      <c r="A186" s="1" t="s">
        <v>10</v>
      </c>
      <c r="B186" s="1" t="s">
        <v>11</v>
      </c>
      <c r="C186" s="2">
        <v>44098</v>
      </c>
      <c r="D186">
        <v>26</v>
      </c>
      <c r="E186">
        <v>26.6</v>
      </c>
      <c r="F186">
        <v>25.95</v>
      </c>
      <c r="G186">
        <v>26.35</v>
      </c>
      <c r="H186">
        <v>6642</v>
      </c>
      <c r="I186">
        <v>92.98</v>
      </c>
      <c r="J186">
        <v>0.31</v>
      </c>
      <c r="K186">
        <v>26.225000000000001</v>
      </c>
    </row>
    <row r="187" spans="1:11" x14ac:dyDescent="0.25">
      <c r="A187" s="1" t="s">
        <v>10</v>
      </c>
      <c r="B187" s="1" t="s">
        <v>11</v>
      </c>
      <c r="C187" s="2">
        <v>44099</v>
      </c>
      <c r="D187">
        <v>29.8</v>
      </c>
      <c r="E187">
        <v>29.8</v>
      </c>
      <c r="F187">
        <v>26.85</v>
      </c>
      <c r="G187">
        <v>28.1</v>
      </c>
      <c r="H187">
        <v>5602</v>
      </c>
      <c r="I187">
        <v>99.16</v>
      </c>
      <c r="J187">
        <v>0.31</v>
      </c>
      <c r="K187">
        <v>28.637499999999999</v>
      </c>
    </row>
    <row r="188" spans="1:11" x14ac:dyDescent="0.25">
      <c r="A188" s="1" t="s">
        <v>10</v>
      </c>
      <c r="B188" s="1" t="s">
        <v>11</v>
      </c>
      <c r="C188" s="2">
        <v>44102</v>
      </c>
      <c r="D188">
        <v>29</v>
      </c>
      <c r="E188">
        <v>30.15</v>
      </c>
      <c r="F188">
        <v>29</v>
      </c>
      <c r="G188">
        <v>29.1</v>
      </c>
      <c r="H188">
        <v>9317</v>
      </c>
      <c r="I188">
        <v>102.68</v>
      </c>
      <c r="J188">
        <v>0.31</v>
      </c>
      <c r="K188">
        <v>29.3125</v>
      </c>
    </row>
    <row r="189" spans="1:11" x14ac:dyDescent="0.25">
      <c r="A189" s="1" t="s">
        <v>10</v>
      </c>
      <c r="B189" s="1" t="s">
        <v>11</v>
      </c>
      <c r="C189" s="2">
        <v>44103</v>
      </c>
      <c r="D189">
        <v>29.5</v>
      </c>
      <c r="E189">
        <v>29.5</v>
      </c>
      <c r="F189">
        <v>28.55</v>
      </c>
      <c r="G189">
        <v>28.65</v>
      </c>
      <c r="H189">
        <v>1565</v>
      </c>
      <c r="I189">
        <v>101.1</v>
      </c>
      <c r="J189">
        <v>0.31</v>
      </c>
      <c r="K189">
        <v>29.05</v>
      </c>
    </row>
    <row r="190" spans="1:11" x14ac:dyDescent="0.25">
      <c r="A190" s="1" t="s">
        <v>10</v>
      </c>
      <c r="B190" s="1" t="s">
        <v>11</v>
      </c>
      <c r="C190" s="2">
        <v>44104</v>
      </c>
      <c r="D190">
        <v>28.7</v>
      </c>
      <c r="E190">
        <v>28.7</v>
      </c>
      <c r="F190">
        <v>28</v>
      </c>
      <c r="G190">
        <v>28.1</v>
      </c>
      <c r="H190">
        <v>3023</v>
      </c>
      <c r="I190">
        <v>99.16</v>
      </c>
      <c r="J190">
        <v>0.31</v>
      </c>
      <c r="K190">
        <v>28.375</v>
      </c>
    </row>
    <row r="191" spans="1:11" x14ac:dyDescent="0.25">
      <c r="A191" s="1" t="s">
        <v>10</v>
      </c>
      <c r="B191" s="1" t="s">
        <v>11</v>
      </c>
      <c r="C191" s="2">
        <v>44105</v>
      </c>
      <c r="D191">
        <v>25.6</v>
      </c>
      <c r="E191">
        <v>28.8</v>
      </c>
      <c r="F191">
        <v>25.6</v>
      </c>
      <c r="G191">
        <v>28.65</v>
      </c>
      <c r="H191">
        <v>1186</v>
      </c>
      <c r="I191">
        <v>101.1</v>
      </c>
      <c r="J191">
        <v>0.31</v>
      </c>
      <c r="K191">
        <v>27.162500000000001</v>
      </c>
    </row>
    <row r="192" spans="1:11" x14ac:dyDescent="0.25">
      <c r="A192" s="1" t="s">
        <v>10</v>
      </c>
      <c r="B192" s="1" t="s">
        <v>11</v>
      </c>
      <c r="C192" s="2">
        <v>44109</v>
      </c>
      <c r="D192">
        <v>28.6</v>
      </c>
      <c r="E192">
        <v>28.6</v>
      </c>
      <c r="F192">
        <v>28.05</v>
      </c>
      <c r="G192">
        <v>28.15</v>
      </c>
      <c r="H192">
        <v>2912</v>
      </c>
      <c r="I192">
        <v>99.33</v>
      </c>
      <c r="J192">
        <v>0.31</v>
      </c>
      <c r="K192">
        <v>28.35</v>
      </c>
    </row>
    <row r="193" spans="1:11" x14ac:dyDescent="0.25">
      <c r="A193" s="1" t="s">
        <v>10</v>
      </c>
      <c r="B193" s="1" t="s">
        <v>11</v>
      </c>
      <c r="C193" s="2">
        <v>44110</v>
      </c>
      <c r="D193">
        <v>28.2</v>
      </c>
      <c r="E193">
        <v>28.9</v>
      </c>
      <c r="F193">
        <v>27.95</v>
      </c>
      <c r="G193">
        <v>28.05</v>
      </c>
      <c r="H193">
        <v>3042</v>
      </c>
      <c r="I193">
        <v>98.98</v>
      </c>
      <c r="J193">
        <v>0.31</v>
      </c>
      <c r="K193">
        <v>28.274999999999999</v>
      </c>
    </row>
    <row r="194" spans="1:11" x14ac:dyDescent="0.25">
      <c r="A194" s="1" t="s">
        <v>10</v>
      </c>
      <c r="B194" s="1" t="s">
        <v>11</v>
      </c>
      <c r="C194" s="2">
        <v>44111</v>
      </c>
      <c r="D194">
        <v>28.45</v>
      </c>
      <c r="E194">
        <v>28.45</v>
      </c>
      <c r="F194">
        <v>28</v>
      </c>
      <c r="G194">
        <v>28.35</v>
      </c>
      <c r="H194">
        <v>2351</v>
      </c>
      <c r="I194">
        <v>100.04</v>
      </c>
      <c r="J194">
        <v>0.31</v>
      </c>
      <c r="K194">
        <v>28.3125</v>
      </c>
    </row>
    <row r="195" spans="1:11" x14ac:dyDescent="0.25">
      <c r="A195" s="1" t="s">
        <v>10</v>
      </c>
      <c r="B195" s="1" t="s">
        <v>11</v>
      </c>
      <c r="C195" s="2">
        <v>44112</v>
      </c>
      <c r="D195">
        <v>28.35</v>
      </c>
      <c r="E195">
        <v>28.35</v>
      </c>
      <c r="F195">
        <v>27.5</v>
      </c>
      <c r="G195">
        <v>28</v>
      </c>
      <c r="H195">
        <v>4092</v>
      </c>
      <c r="I195">
        <v>98.8</v>
      </c>
      <c r="J195">
        <v>0.31</v>
      </c>
      <c r="K195">
        <v>28.05</v>
      </c>
    </row>
    <row r="196" spans="1:11" x14ac:dyDescent="0.25">
      <c r="A196" s="1" t="s">
        <v>10</v>
      </c>
      <c r="B196" s="1" t="s">
        <v>11</v>
      </c>
      <c r="C196" s="2">
        <v>44113</v>
      </c>
      <c r="D196">
        <v>28</v>
      </c>
      <c r="E196">
        <v>28.6</v>
      </c>
      <c r="F196">
        <v>27.4</v>
      </c>
      <c r="G196">
        <v>27.55</v>
      </c>
      <c r="H196">
        <v>5197</v>
      </c>
      <c r="I196">
        <v>97.21</v>
      </c>
      <c r="J196">
        <v>0.31</v>
      </c>
      <c r="K196">
        <v>27.887499999999999</v>
      </c>
    </row>
    <row r="197" spans="1:11" x14ac:dyDescent="0.25">
      <c r="A197" s="1" t="s">
        <v>10</v>
      </c>
      <c r="B197" s="1" t="s">
        <v>11</v>
      </c>
      <c r="C197" s="2">
        <v>44116</v>
      </c>
      <c r="D197">
        <v>27.6</v>
      </c>
      <c r="E197">
        <v>27.65</v>
      </c>
      <c r="F197">
        <v>27.1</v>
      </c>
      <c r="G197">
        <v>27.1</v>
      </c>
      <c r="H197">
        <v>1655</v>
      </c>
      <c r="I197">
        <v>95.63</v>
      </c>
      <c r="J197">
        <v>0.31</v>
      </c>
      <c r="K197">
        <v>27.362500000000001</v>
      </c>
    </row>
    <row r="198" spans="1:11" x14ac:dyDescent="0.25">
      <c r="A198" s="1" t="s">
        <v>10</v>
      </c>
      <c r="B198" s="1" t="s">
        <v>11</v>
      </c>
      <c r="C198" s="2">
        <v>44117</v>
      </c>
      <c r="D198">
        <v>27.3</v>
      </c>
      <c r="E198">
        <v>27.45</v>
      </c>
      <c r="F198">
        <v>27</v>
      </c>
      <c r="G198">
        <v>27.1</v>
      </c>
      <c r="H198">
        <v>1305</v>
      </c>
      <c r="I198">
        <v>95.63</v>
      </c>
      <c r="J198">
        <v>0.31</v>
      </c>
      <c r="K198">
        <v>27.212499999999999</v>
      </c>
    </row>
    <row r="199" spans="1:11" x14ac:dyDescent="0.25">
      <c r="A199" s="1" t="s">
        <v>10</v>
      </c>
      <c r="B199" s="1" t="s">
        <v>11</v>
      </c>
      <c r="C199" s="2">
        <v>44118</v>
      </c>
      <c r="D199">
        <v>27</v>
      </c>
      <c r="E199">
        <v>27.35</v>
      </c>
      <c r="F199">
        <v>27</v>
      </c>
      <c r="G199">
        <v>27.25</v>
      </c>
      <c r="H199">
        <v>1706</v>
      </c>
      <c r="I199">
        <v>96.16</v>
      </c>
      <c r="J199">
        <v>0.31</v>
      </c>
      <c r="K199">
        <v>27.15</v>
      </c>
    </row>
    <row r="200" spans="1:11" x14ac:dyDescent="0.25">
      <c r="A200" s="1" t="s">
        <v>10</v>
      </c>
      <c r="B200" s="1" t="s">
        <v>11</v>
      </c>
      <c r="C200" s="2">
        <v>44119</v>
      </c>
      <c r="D200">
        <v>28</v>
      </c>
      <c r="E200">
        <v>28</v>
      </c>
      <c r="F200">
        <v>27.5</v>
      </c>
      <c r="G200">
        <v>27.5</v>
      </c>
      <c r="H200">
        <v>1366</v>
      </c>
      <c r="I200">
        <v>97.04</v>
      </c>
      <c r="J200">
        <v>0.31</v>
      </c>
      <c r="K200">
        <v>27.75</v>
      </c>
    </row>
    <row r="201" spans="1:11" x14ac:dyDescent="0.25">
      <c r="A201" s="1" t="s">
        <v>10</v>
      </c>
      <c r="B201" s="1" t="s">
        <v>11</v>
      </c>
      <c r="C201" s="2">
        <v>44120</v>
      </c>
      <c r="D201">
        <v>28.05</v>
      </c>
      <c r="E201">
        <v>29.55</v>
      </c>
      <c r="F201">
        <v>28.05</v>
      </c>
      <c r="G201">
        <v>28.15</v>
      </c>
      <c r="H201">
        <v>16550</v>
      </c>
      <c r="I201">
        <v>99.33</v>
      </c>
      <c r="J201">
        <v>0.31</v>
      </c>
      <c r="K201">
        <v>28.45</v>
      </c>
    </row>
    <row r="202" spans="1:11" x14ac:dyDescent="0.25">
      <c r="A202" s="1" t="s">
        <v>10</v>
      </c>
      <c r="B202" s="1" t="s">
        <v>11</v>
      </c>
      <c r="C202" s="2">
        <v>44123</v>
      </c>
      <c r="D202">
        <v>30.2</v>
      </c>
      <c r="E202">
        <v>30.2</v>
      </c>
      <c r="F202">
        <v>27.5</v>
      </c>
      <c r="G202">
        <v>27.65</v>
      </c>
      <c r="H202">
        <v>10463</v>
      </c>
      <c r="I202">
        <v>97.57</v>
      </c>
      <c r="J202">
        <v>0.31</v>
      </c>
      <c r="K202">
        <v>28.887499999999999</v>
      </c>
    </row>
    <row r="203" spans="1:11" x14ac:dyDescent="0.25">
      <c r="A203" s="1" t="s">
        <v>10</v>
      </c>
      <c r="B203" s="1" t="s">
        <v>11</v>
      </c>
      <c r="C203" s="2">
        <v>44124</v>
      </c>
      <c r="D203">
        <v>27.25</v>
      </c>
      <c r="E203">
        <v>27.8</v>
      </c>
      <c r="F203">
        <v>27.25</v>
      </c>
      <c r="G203">
        <v>27.75</v>
      </c>
      <c r="H203">
        <v>155</v>
      </c>
      <c r="I203">
        <v>97.92</v>
      </c>
      <c r="J203">
        <v>0.31</v>
      </c>
      <c r="K203">
        <v>27.512499999999999</v>
      </c>
    </row>
    <row r="204" spans="1:11" x14ac:dyDescent="0.25">
      <c r="A204" s="1" t="s">
        <v>10</v>
      </c>
      <c r="B204" s="1" t="s">
        <v>11</v>
      </c>
      <c r="C204" s="2">
        <v>44125</v>
      </c>
      <c r="D204">
        <v>28.2</v>
      </c>
      <c r="E204">
        <v>28.2</v>
      </c>
      <c r="F204">
        <v>27.5</v>
      </c>
      <c r="G204">
        <v>28.1</v>
      </c>
      <c r="H204">
        <v>1756</v>
      </c>
      <c r="I204">
        <v>99.16</v>
      </c>
      <c r="J204">
        <v>0.31</v>
      </c>
      <c r="K204">
        <v>28</v>
      </c>
    </row>
    <row r="205" spans="1:11" x14ac:dyDescent="0.25">
      <c r="A205" s="1" t="s">
        <v>10</v>
      </c>
      <c r="B205" s="1" t="s">
        <v>11</v>
      </c>
      <c r="C205" s="2">
        <v>44126</v>
      </c>
      <c r="D205">
        <v>27.65</v>
      </c>
      <c r="E205">
        <v>28.1</v>
      </c>
      <c r="F205">
        <v>24.5</v>
      </c>
      <c r="G205">
        <v>27.95</v>
      </c>
      <c r="H205">
        <v>5200</v>
      </c>
      <c r="I205">
        <v>98.63</v>
      </c>
      <c r="J205">
        <v>0.31</v>
      </c>
      <c r="K205">
        <v>27.05</v>
      </c>
    </row>
    <row r="206" spans="1:11" x14ac:dyDescent="0.25">
      <c r="A206" s="1" t="s">
        <v>10</v>
      </c>
      <c r="B206" s="1" t="s">
        <v>11</v>
      </c>
      <c r="C206" s="2">
        <v>44127</v>
      </c>
      <c r="D206">
        <v>28.05</v>
      </c>
      <c r="E206">
        <v>28.25</v>
      </c>
      <c r="F206">
        <v>27.5</v>
      </c>
      <c r="G206">
        <v>28.2</v>
      </c>
      <c r="H206">
        <v>3064</v>
      </c>
      <c r="I206">
        <v>99.51</v>
      </c>
      <c r="J206">
        <v>0.31</v>
      </c>
      <c r="K206">
        <v>28</v>
      </c>
    </row>
    <row r="207" spans="1:11" x14ac:dyDescent="0.25">
      <c r="A207" s="1" t="s">
        <v>10</v>
      </c>
      <c r="B207" s="1" t="s">
        <v>11</v>
      </c>
      <c r="C207" s="2">
        <v>44130</v>
      </c>
      <c r="D207">
        <v>28.2</v>
      </c>
      <c r="E207">
        <v>28.5</v>
      </c>
      <c r="F207">
        <v>27.5</v>
      </c>
      <c r="G207">
        <v>27.7</v>
      </c>
      <c r="H207">
        <v>4222</v>
      </c>
      <c r="I207">
        <v>97.74</v>
      </c>
      <c r="J207">
        <v>0.31</v>
      </c>
      <c r="K207">
        <v>27.975000000000001</v>
      </c>
    </row>
    <row r="208" spans="1:11" x14ac:dyDescent="0.25">
      <c r="A208" s="1" t="s">
        <v>10</v>
      </c>
      <c r="B208" s="1" t="s">
        <v>11</v>
      </c>
      <c r="C208" s="2">
        <v>44131</v>
      </c>
      <c r="D208">
        <v>27.4</v>
      </c>
      <c r="E208">
        <v>28.3</v>
      </c>
      <c r="F208">
        <v>26.6</v>
      </c>
      <c r="G208">
        <v>27.6</v>
      </c>
      <c r="H208">
        <v>3981</v>
      </c>
      <c r="I208">
        <v>97.39</v>
      </c>
      <c r="J208">
        <v>0.31</v>
      </c>
      <c r="K208">
        <v>27.475000000000001</v>
      </c>
    </row>
    <row r="209" spans="1:11" x14ac:dyDescent="0.25">
      <c r="A209" s="1" t="s">
        <v>10</v>
      </c>
      <c r="B209" s="1" t="s">
        <v>11</v>
      </c>
      <c r="C209" s="2">
        <v>44132</v>
      </c>
      <c r="D209">
        <v>28.5</v>
      </c>
      <c r="E209">
        <v>28.5</v>
      </c>
      <c r="F209">
        <v>26.45</v>
      </c>
      <c r="G209">
        <v>27.3</v>
      </c>
      <c r="H209">
        <v>4625</v>
      </c>
      <c r="I209">
        <v>96.33</v>
      </c>
      <c r="J209">
        <v>0.31</v>
      </c>
      <c r="K209">
        <v>27.6875</v>
      </c>
    </row>
    <row r="210" spans="1:11" x14ac:dyDescent="0.25">
      <c r="A210" s="1" t="s">
        <v>10</v>
      </c>
      <c r="B210" s="1" t="s">
        <v>11</v>
      </c>
      <c r="C210" s="2">
        <v>44133</v>
      </c>
      <c r="D210">
        <v>27.9</v>
      </c>
      <c r="E210">
        <v>27.9</v>
      </c>
      <c r="F210">
        <v>25.8</v>
      </c>
      <c r="G210">
        <v>27.15</v>
      </c>
      <c r="H210">
        <v>10338</v>
      </c>
      <c r="I210">
        <v>95.8</v>
      </c>
      <c r="J210">
        <v>0.31</v>
      </c>
      <c r="K210">
        <v>27.1875</v>
      </c>
    </row>
    <row r="211" spans="1:11" x14ac:dyDescent="0.25">
      <c r="A211" s="1" t="s">
        <v>10</v>
      </c>
      <c r="B211" s="1" t="s">
        <v>11</v>
      </c>
      <c r="C211" s="2">
        <v>44134</v>
      </c>
      <c r="D211">
        <v>27.65</v>
      </c>
      <c r="E211">
        <v>28.4</v>
      </c>
      <c r="F211">
        <v>27.65</v>
      </c>
      <c r="G211">
        <v>28.35</v>
      </c>
      <c r="H211">
        <v>4906</v>
      </c>
      <c r="I211">
        <v>100.04</v>
      </c>
      <c r="J211">
        <v>0.31</v>
      </c>
      <c r="K211">
        <v>28.012499999999999</v>
      </c>
    </row>
    <row r="212" spans="1:11" x14ac:dyDescent="0.25">
      <c r="A212" s="1" t="s">
        <v>10</v>
      </c>
      <c r="B212" s="1" t="s">
        <v>11</v>
      </c>
      <c r="C212" s="2">
        <v>44137</v>
      </c>
      <c r="D212">
        <v>28.75</v>
      </c>
      <c r="E212">
        <v>28.75</v>
      </c>
      <c r="F212">
        <v>27.4</v>
      </c>
      <c r="G212">
        <v>28</v>
      </c>
      <c r="H212">
        <v>6347</v>
      </c>
      <c r="I212">
        <v>98.8</v>
      </c>
      <c r="J212">
        <v>0.31</v>
      </c>
      <c r="K212">
        <v>28.225000000000001</v>
      </c>
    </row>
    <row r="213" spans="1:11" x14ac:dyDescent="0.25">
      <c r="A213" s="1" t="s">
        <v>10</v>
      </c>
      <c r="B213" s="1" t="s">
        <v>11</v>
      </c>
      <c r="C213" s="2">
        <v>44138</v>
      </c>
      <c r="D213">
        <v>27.95</v>
      </c>
      <c r="E213">
        <v>28.5</v>
      </c>
      <c r="F213">
        <v>27.2</v>
      </c>
      <c r="G213">
        <v>27.75</v>
      </c>
      <c r="H213">
        <v>5037</v>
      </c>
      <c r="I213">
        <v>97.92</v>
      </c>
      <c r="J213">
        <v>0.31</v>
      </c>
      <c r="K213">
        <v>27.85</v>
      </c>
    </row>
    <row r="214" spans="1:11" x14ac:dyDescent="0.25">
      <c r="A214" s="1" t="s">
        <v>10</v>
      </c>
      <c r="B214" s="1" t="s">
        <v>11</v>
      </c>
      <c r="C214" s="2">
        <v>44139</v>
      </c>
      <c r="D214">
        <v>26.7</v>
      </c>
      <c r="E214">
        <v>28.5</v>
      </c>
      <c r="F214">
        <v>26.7</v>
      </c>
      <c r="G214">
        <v>28.05</v>
      </c>
      <c r="H214">
        <v>7129</v>
      </c>
      <c r="I214">
        <v>98.98</v>
      </c>
      <c r="J214">
        <v>0.31</v>
      </c>
      <c r="K214">
        <v>27.487500000000001</v>
      </c>
    </row>
    <row r="215" spans="1:11" x14ac:dyDescent="0.25">
      <c r="A215" s="1" t="s">
        <v>10</v>
      </c>
      <c r="B215" s="1" t="s">
        <v>11</v>
      </c>
      <c r="C215" s="2">
        <v>44140</v>
      </c>
      <c r="D215">
        <v>28.35</v>
      </c>
      <c r="E215">
        <v>28.8</v>
      </c>
      <c r="F215">
        <v>27.65</v>
      </c>
      <c r="G215">
        <v>28.45</v>
      </c>
      <c r="H215">
        <v>5271</v>
      </c>
      <c r="I215">
        <v>100.39</v>
      </c>
      <c r="J215">
        <v>0.31</v>
      </c>
      <c r="K215">
        <v>28.3125</v>
      </c>
    </row>
    <row r="216" spans="1:11" x14ac:dyDescent="0.25">
      <c r="A216" s="1" t="s">
        <v>10</v>
      </c>
      <c r="B216" s="1" t="s">
        <v>11</v>
      </c>
      <c r="C216" s="2">
        <v>44141</v>
      </c>
      <c r="D216">
        <v>29</v>
      </c>
      <c r="E216">
        <v>30.35</v>
      </c>
      <c r="F216">
        <v>28.5</v>
      </c>
      <c r="G216">
        <v>29.9</v>
      </c>
      <c r="H216">
        <v>17838</v>
      </c>
      <c r="I216">
        <v>105.51</v>
      </c>
      <c r="J216">
        <v>0.31</v>
      </c>
      <c r="K216">
        <v>29.4375</v>
      </c>
    </row>
    <row r="217" spans="1:11" x14ac:dyDescent="0.25">
      <c r="A217" s="1" t="s">
        <v>10</v>
      </c>
      <c r="B217" s="1" t="s">
        <v>11</v>
      </c>
      <c r="C217" s="2">
        <v>44144</v>
      </c>
      <c r="D217">
        <v>30.95</v>
      </c>
      <c r="E217">
        <v>31.3</v>
      </c>
      <c r="F217">
        <v>29.55</v>
      </c>
      <c r="G217">
        <v>30.05</v>
      </c>
      <c r="H217">
        <v>12931</v>
      </c>
      <c r="I217">
        <v>106.04</v>
      </c>
      <c r="J217">
        <v>0.31</v>
      </c>
      <c r="K217">
        <v>30.462499999999999</v>
      </c>
    </row>
    <row r="218" spans="1:11" x14ac:dyDescent="0.25">
      <c r="A218" s="1" t="s">
        <v>10</v>
      </c>
      <c r="B218" s="1" t="s">
        <v>11</v>
      </c>
      <c r="C218" s="2">
        <v>44145</v>
      </c>
      <c r="D218">
        <v>30.7</v>
      </c>
      <c r="E218">
        <v>30.8</v>
      </c>
      <c r="F218">
        <v>29.1</v>
      </c>
      <c r="G218">
        <v>30.1</v>
      </c>
      <c r="H218">
        <v>21336</v>
      </c>
      <c r="I218">
        <v>106.21</v>
      </c>
      <c r="J218">
        <v>0.31</v>
      </c>
      <c r="K218">
        <v>30.175000000000001</v>
      </c>
    </row>
    <row r="219" spans="1:11" x14ac:dyDescent="0.25">
      <c r="A219" s="1" t="s">
        <v>10</v>
      </c>
      <c r="B219" s="1" t="s">
        <v>11</v>
      </c>
      <c r="C219" s="2">
        <v>44146</v>
      </c>
      <c r="D219">
        <v>31</v>
      </c>
      <c r="E219">
        <v>31.8</v>
      </c>
      <c r="F219">
        <v>29.75</v>
      </c>
      <c r="G219">
        <v>31.2</v>
      </c>
      <c r="H219">
        <v>27352</v>
      </c>
      <c r="I219">
        <v>110.09</v>
      </c>
      <c r="J219">
        <v>0.31</v>
      </c>
      <c r="K219">
        <v>30.9375</v>
      </c>
    </row>
    <row r="220" spans="1:11" x14ac:dyDescent="0.25">
      <c r="A220" s="1" t="s">
        <v>10</v>
      </c>
      <c r="B220" s="1" t="s">
        <v>11</v>
      </c>
      <c r="C220" s="2">
        <v>44147</v>
      </c>
      <c r="D220">
        <v>31.3</v>
      </c>
      <c r="E220">
        <v>32.450000000000003</v>
      </c>
      <c r="F220">
        <v>30.55</v>
      </c>
      <c r="G220">
        <v>30.7</v>
      </c>
      <c r="H220">
        <v>5903</v>
      </c>
      <c r="I220">
        <v>108.33</v>
      </c>
      <c r="J220">
        <v>0.31</v>
      </c>
      <c r="K220">
        <v>31.25</v>
      </c>
    </row>
    <row r="221" spans="1:11" x14ac:dyDescent="0.25">
      <c r="A221" s="1" t="s">
        <v>10</v>
      </c>
      <c r="B221" s="1" t="s">
        <v>11</v>
      </c>
      <c r="C221" s="2">
        <v>44148</v>
      </c>
      <c r="D221">
        <v>30.4</v>
      </c>
      <c r="E221">
        <v>31.35</v>
      </c>
      <c r="F221">
        <v>29.8</v>
      </c>
      <c r="G221">
        <v>30.85</v>
      </c>
      <c r="H221">
        <v>7835</v>
      </c>
      <c r="I221">
        <v>108.86</v>
      </c>
      <c r="J221">
        <v>0.31</v>
      </c>
      <c r="K221">
        <v>30.6</v>
      </c>
    </row>
    <row r="222" spans="1:11" x14ac:dyDescent="0.25">
      <c r="A222" s="1" t="s">
        <v>10</v>
      </c>
      <c r="B222" s="1" t="s">
        <v>11</v>
      </c>
      <c r="C222" s="2">
        <v>44149</v>
      </c>
      <c r="D222">
        <v>28.4</v>
      </c>
      <c r="E222">
        <v>31.4</v>
      </c>
      <c r="F222">
        <v>28.4</v>
      </c>
      <c r="G222">
        <v>31.1</v>
      </c>
      <c r="H222">
        <v>18111</v>
      </c>
      <c r="I222">
        <v>109.74</v>
      </c>
      <c r="J222">
        <v>0.31</v>
      </c>
      <c r="K222">
        <v>29.824999999999999</v>
      </c>
    </row>
    <row r="223" spans="1:11" x14ac:dyDescent="0.25">
      <c r="A223" s="1" t="s">
        <v>10</v>
      </c>
      <c r="B223" s="1" t="s">
        <v>11</v>
      </c>
      <c r="C223" s="2">
        <v>44152</v>
      </c>
      <c r="D223">
        <v>32.25</v>
      </c>
      <c r="E223">
        <v>32.25</v>
      </c>
      <c r="F223">
        <v>30.75</v>
      </c>
      <c r="G223">
        <v>31.15</v>
      </c>
      <c r="H223">
        <v>8046</v>
      </c>
      <c r="I223">
        <v>109.92</v>
      </c>
      <c r="J223">
        <v>0.31</v>
      </c>
      <c r="K223">
        <v>31.6</v>
      </c>
    </row>
    <row r="224" spans="1:11" x14ac:dyDescent="0.25">
      <c r="A224" s="1" t="s">
        <v>10</v>
      </c>
      <c r="B224" s="1" t="s">
        <v>11</v>
      </c>
      <c r="C224" s="2">
        <v>44153</v>
      </c>
      <c r="D224">
        <v>31.2</v>
      </c>
      <c r="E224">
        <v>32</v>
      </c>
      <c r="F224">
        <v>30.85</v>
      </c>
      <c r="G224">
        <v>31.8</v>
      </c>
      <c r="H224">
        <v>9507</v>
      </c>
      <c r="I224">
        <v>112.21</v>
      </c>
      <c r="J224">
        <v>0.31</v>
      </c>
      <c r="K224">
        <v>31.462499999999999</v>
      </c>
    </row>
    <row r="225" spans="1:11" x14ac:dyDescent="0.25">
      <c r="A225" s="1" t="s">
        <v>10</v>
      </c>
      <c r="B225" s="1" t="s">
        <v>11</v>
      </c>
      <c r="C225" s="2">
        <v>44154</v>
      </c>
      <c r="D225">
        <v>31.8</v>
      </c>
      <c r="E225">
        <v>34.4</v>
      </c>
      <c r="F225">
        <v>31.3</v>
      </c>
      <c r="G225">
        <v>32.65</v>
      </c>
      <c r="H225">
        <v>47426</v>
      </c>
      <c r="I225">
        <v>115.21</v>
      </c>
      <c r="J225">
        <v>0.31</v>
      </c>
      <c r="K225">
        <v>32.537500000000001</v>
      </c>
    </row>
    <row r="226" spans="1:11" x14ac:dyDescent="0.25">
      <c r="A226" s="1" t="s">
        <v>10</v>
      </c>
      <c r="B226" s="1" t="s">
        <v>11</v>
      </c>
      <c r="C226" s="2">
        <v>44155</v>
      </c>
      <c r="D226">
        <v>31.3</v>
      </c>
      <c r="E226">
        <v>34</v>
      </c>
      <c r="F226">
        <v>31.3</v>
      </c>
      <c r="G226">
        <v>32.299999999999997</v>
      </c>
      <c r="H226">
        <v>12629</v>
      </c>
      <c r="I226">
        <v>113.98</v>
      </c>
      <c r="J226">
        <v>0.31</v>
      </c>
      <c r="K226">
        <v>32.225000000000001</v>
      </c>
    </row>
    <row r="227" spans="1:11" x14ac:dyDescent="0.25">
      <c r="A227" s="1" t="s">
        <v>10</v>
      </c>
      <c r="B227" s="1" t="s">
        <v>11</v>
      </c>
      <c r="C227" s="2">
        <v>44158</v>
      </c>
      <c r="D227">
        <v>32.700000000000003</v>
      </c>
      <c r="E227">
        <v>32.700000000000003</v>
      </c>
      <c r="F227">
        <v>31.1</v>
      </c>
      <c r="G227">
        <v>31.55</v>
      </c>
      <c r="H227">
        <v>13565</v>
      </c>
      <c r="I227">
        <v>111.33</v>
      </c>
      <c r="J227">
        <v>0.31</v>
      </c>
      <c r="K227">
        <v>32.012500000000003</v>
      </c>
    </row>
    <row r="228" spans="1:11" x14ac:dyDescent="0.25">
      <c r="A228" s="1" t="s">
        <v>10</v>
      </c>
      <c r="B228" s="1" t="s">
        <v>11</v>
      </c>
      <c r="C228" s="2">
        <v>44159</v>
      </c>
      <c r="D228">
        <v>31.95</v>
      </c>
      <c r="E228">
        <v>32.35</v>
      </c>
      <c r="F228">
        <v>31.2</v>
      </c>
      <c r="G228">
        <v>31.9</v>
      </c>
      <c r="H228">
        <v>6779</v>
      </c>
      <c r="I228">
        <v>112.56</v>
      </c>
      <c r="J228">
        <v>0.31</v>
      </c>
      <c r="K228">
        <v>31.85</v>
      </c>
    </row>
    <row r="229" spans="1:11" x14ac:dyDescent="0.25">
      <c r="A229" s="1" t="s">
        <v>10</v>
      </c>
      <c r="B229" s="1" t="s">
        <v>11</v>
      </c>
      <c r="C229" s="2">
        <v>44160</v>
      </c>
      <c r="D229">
        <v>31.65</v>
      </c>
      <c r="E229">
        <v>32.4</v>
      </c>
      <c r="F229">
        <v>31</v>
      </c>
      <c r="G229">
        <v>32.1</v>
      </c>
      <c r="H229">
        <v>9786</v>
      </c>
      <c r="I229">
        <v>113.27</v>
      </c>
      <c r="J229">
        <v>0.31</v>
      </c>
      <c r="K229">
        <v>31.787500000000001</v>
      </c>
    </row>
    <row r="230" spans="1:11" x14ac:dyDescent="0.25">
      <c r="A230" s="1" t="s">
        <v>10</v>
      </c>
      <c r="B230" s="1" t="s">
        <v>11</v>
      </c>
      <c r="C230" s="2">
        <v>44161</v>
      </c>
      <c r="D230">
        <v>32.65</v>
      </c>
      <c r="E230">
        <v>32.65</v>
      </c>
      <c r="F230">
        <v>31.8</v>
      </c>
      <c r="G230">
        <v>32.1</v>
      </c>
      <c r="H230">
        <v>4464</v>
      </c>
      <c r="I230">
        <v>113.27</v>
      </c>
      <c r="J230">
        <v>0.31</v>
      </c>
      <c r="K230">
        <v>32.299999999999997</v>
      </c>
    </row>
    <row r="231" spans="1:11" x14ac:dyDescent="0.25">
      <c r="A231" s="1" t="s">
        <v>10</v>
      </c>
      <c r="B231" s="1" t="s">
        <v>11</v>
      </c>
      <c r="C231" s="2">
        <v>44162</v>
      </c>
      <c r="D231">
        <v>32.9</v>
      </c>
      <c r="E231">
        <v>32.950000000000003</v>
      </c>
      <c r="F231">
        <v>31.65</v>
      </c>
      <c r="G231">
        <v>32</v>
      </c>
      <c r="H231">
        <v>9518</v>
      </c>
      <c r="I231">
        <v>112.92</v>
      </c>
      <c r="J231">
        <v>0.31</v>
      </c>
      <c r="K231">
        <v>32.375</v>
      </c>
    </row>
    <row r="232" spans="1:11" x14ac:dyDescent="0.25">
      <c r="A232" s="1" t="s">
        <v>10</v>
      </c>
      <c r="B232" s="1" t="s">
        <v>11</v>
      </c>
      <c r="C232" s="2">
        <v>44166</v>
      </c>
      <c r="D232">
        <v>32.5</v>
      </c>
      <c r="E232">
        <v>33.200000000000003</v>
      </c>
      <c r="F232">
        <v>32.049999999999997</v>
      </c>
      <c r="G232">
        <v>32.799999999999997</v>
      </c>
      <c r="H232">
        <v>3868</v>
      </c>
      <c r="I232">
        <v>115.74</v>
      </c>
      <c r="J232">
        <v>0.31</v>
      </c>
      <c r="K232">
        <v>32.637500000000003</v>
      </c>
    </row>
    <row r="233" spans="1:11" x14ac:dyDescent="0.25">
      <c r="A233" s="1" t="s">
        <v>10</v>
      </c>
      <c r="B233" s="1" t="s">
        <v>11</v>
      </c>
      <c r="C233" s="2">
        <v>44167</v>
      </c>
      <c r="D233">
        <v>33.1</v>
      </c>
      <c r="E233">
        <v>34.5</v>
      </c>
      <c r="F233">
        <v>32.25</v>
      </c>
      <c r="G233">
        <v>32.75</v>
      </c>
      <c r="H233">
        <v>16765</v>
      </c>
      <c r="I233">
        <v>115.56</v>
      </c>
      <c r="J233">
        <v>0.31</v>
      </c>
      <c r="K233">
        <v>33.15</v>
      </c>
    </row>
    <row r="234" spans="1:11" x14ac:dyDescent="0.25">
      <c r="A234" s="1" t="s">
        <v>10</v>
      </c>
      <c r="B234" s="1" t="s">
        <v>11</v>
      </c>
      <c r="C234" s="2">
        <v>44168</v>
      </c>
      <c r="D234">
        <v>32.5</v>
      </c>
      <c r="E234">
        <v>33.9</v>
      </c>
      <c r="F234">
        <v>32.5</v>
      </c>
      <c r="G234">
        <v>32.85</v>
      </c>
      <c r="H234">
        <v>20107</v>
      </c>
      <c r="I234">
        <v>115.92</v>
      </c>
      <c r="J234">
        <v>0.31</v>
      </c>
      <c r="K234">
        <v>32.9375</v>
      </c>
    </row>
    <row r="235" spans="1:11" x14ac:dyDescent="0.25">
      <c r="A235" s="1" t="s">
        <v>10</v>
      </c>
      <c r="B235" s="1" t="s">
        <v>11</v>
      </c>
      <c r="C235" s="2">
        <v>44169</v>
      </c>
      <c r="D235">
        <v>34</v>
      </c>
      <c r="E235">
        <v>37.25</v>
      </c>
      <c r="F235">
        <v>33.15</v>
      </c>
      <c r="G235">
        <v>36.6</v>
      </c>
      <c r="H235">
        <v>82314</v>
      </c>
      <c r="I235">
        <v>129.15</v>
      </c>
      <c r="J235">
        <v>0.31</v>
      </c>
      <c r="K235">
        <v>35.25</v>
      </c>
    </row>
    <row r="236" spans="1:11" x14ac:dyDescent="0.25">
      <c r="A236" s="1" t="s">
        <v>10</v>
      </c>
      <c r="B236" s="1" t="s">
        <v>11</v>
      </c>
      <c r="C236" s="2">
        <v>44172</v>
      </c>
      <c r="D236">
        <v>36.549999999999997</v>
      </c>
      <c r="E236">
        <v>36.9</v>
      </c>
      <c r="F236">
        <v>34.799999999999997</v>
      </c>
      <c r="G236">
        <v>35.1</v>
      </c>
      <c r="H236">
        <v>31724</v>
      </c>
      <c r="I236">
        <v>123.86</v>
      </c>
      <c r="J236">
        <v>0.31</v>
      </c>
      <c r="K236">
        <v>35.837499999999999</v>
      </c>
    </row>
    <row r="237" spans="1:11" x14ac:dyDescent="0.25">
      <c r="A237" s="1" t="s">
        <v>10</v>
      </c>
      <c r="B237" s="1" t="s">
        <v>11</v>
      </c>
      <c r="C237" s="2">
        <v>44173</v>
      </c>
      <c r="D237">
        <v>35.549999999999997</v>
      </c>
      <c r="E237">
        <v>37.049999999999997</v>
      </c>
      <c r="F237">
        <v>35.049999999999997</v>
      </c>
      <c r="G237">
        <v>36.299999999999997</v>
      </c>
      <c r="H237">
        <v>32886</v>
      </c>
      <c r="I237">
        <v>128.09</v>
      </c>
      <c r="J237">
        <v>0.31</v>
      </c>
      <c r="K237">
        <v>35.987499999999997</v>
      </c>
    </row>
    <row r="238" spans="1:11" x14ac:dyDescent="0.25">
      <c r="A238" s="1" t="s">
        <v>10</v>
      </c>
      <c r="B238" s="1" t="s">
        <v>11</v>
      </c>
      <c r="C238" s="2">
        <v>44174</v>
      </c>
      <c r="D238">
        <v>36.299999999999997</v>
      </c>
      <c r="E238">
        <v>36.75</v>
      </c>
      <c r="F238">
        <v>35.4</v>
      </c>
      <c r="G238">
        <v>35.950000000000003</v>
      </c>
      <c r="H238">
        <v>24020</v>
      </c>
      <c r="I238">
        <v>126.85</v>
      </c>
      <c r="J238">
        <v>0.31</v>
      </c>
      <c r="K238">
        <v>36.1</v>
      </c>
    </row>
    <row r="239" spans="1:11" x14ac:dyDescent="0.25">
      <c r="A239" s="1" t="s">
        <v>10</v>
      </c>
      <c r="B239" s="1" t="s">
        <v>11</v>
      </c>
      <c r="C239" s="2">
        <v>44175</v>
      </c>
      <c r="D239">
        <v>38</v>
      </c>
      <c r="E239">
        <v>38</v>
      </c>
      <c r="F239">
        <v>34.9</v>
      </c>
      <c r="G239">
        <v>35.65</v>
      </c>
      <c r="H239">
        <v>6268</v>
      </c>
      <c r="I239">
        <v>125.8</v>
      </c>
      <c r="J239">
        <v>0.31</v>
      </c>
      <c r="K239">
        <v>36.637500000000003</v>
      </c>
    </row>
    <row r="240" spans="1:11" x14ac:dyDescent="0.25">
      <c r="A240" s="1" t="s">
        <v>10</v>
      </c>
      <c r="B240" s="1" t="s">
        <v>11</v>
      </c>
      <c r="C240" s="2">
        <v>44176</v>
      </c>
      <c r="D240">
        <v>36.200000000000003</v>
      </c>
      <c r="E240">
        <v>36.4</v>
      </c>
      <c r="F240">
        <v>35</v>
      </c>
      <c r="G240">
        <v>35.85</v>
      </c>
      <c r="H240">
        <v>15534</v>
      </c>
      <c r="I240">
        <v>126.5</v>
      </c>
      <c r="J240">
        <v>0.31</v>
      </c>
      <c r="K240">
        <v>35.862499999999997</v>
      </c>
    </row>
    <row r="241" spans="1:11" x14ac:dyDescent="0.25">
      <c r="A241" s="1" t="s">
        <v>10</v>
      </c>
      <c r="B241" s="1" t="s">
        <v>11</v>
      </c>
      <c r="C241" s="2">
        <v>44179</v>
      </c>
      <c r="D241">
        <v>38.5</v>
      </c>
      <c r="E241">
        <v>38.5</v>
      </c>
      <c r="F241">
        <v>35.75</v>
      </c>
      <c r="G241">
        <v>35.950000000000003</v>
      </c>
      <c r="H241">
        <v>29260</v>
      </c>
      <c r="I241">
        <v>126.85</v>
      </c>
      <c r="J241">
        <v>0.31</v>
      </c>
      <c r="K241">
        <v>37.174999999999997</v>
      </c>
    </row>
    <row r="242" spans="1:11" x14ac:dyDescent="0.25">
      <c r="A242" s="1" t="s">
        <v>10</v>
      </c>
      <c r="B242" s="1" t="s">
        <v>11</v>
      </c>
      <c r="C242" s="2">
        <v>44180</v>
      </c>
      <c r="D242">
        <v>36.299999999999997</v>
      </c>
      <c r="E242">
        <v>36.5</v>
      </c>
      <c r="F242">
        <v>35</v>
      </c>
      <c r="G242">
        <v>35.1</v>
      </c>
      <c r="H242">
        <v>8334</v>
      </c>
      <c r="I242">
        <v>123.86</v>
      </c>
      <c r="J242">
        <v>0.31</v>
      </c>
      <c r="K242">
        <v>35.725000000000001</v>
      </c>
    </row>
    <row r="243" spans="1:11" x14ac:dyDescent="0.25">
      <c r="A243" s="1" t="s">
        <v>10</v>
      </c>
      <c r="B243" s="1" t="s">
        <v>11</v>
      </c>
      <c r="C243" s="2">
        <v>44181</v>
      </c>
      <c r="D243">
        <v>36.25</v>
      </c>
      <c r="E243">
        <v>37</v>
      </c>
      <c r="F243">
        <v>35.450000000000003</v>
      </c>
      <c r="G243">
        <v>36.9</v>
      </c>
      <c r="H243">
        <v>14998</v>
      </c>
      <c r="I243">
        <v>130.21</v>
      </c>
      <c r="J243">
        <v>0.31</v>
      </c>
      <c r="K243">
        <v>36.4</v>
      </c>
    </row>
    <row r="244" spans="1:11" x14ac:dyDescent="0.25">
      <c r="A244" s="1" t="s">
        <v>10</v>
      </c>
      <c r="B244" s="1" t="s">
        <v>11</v>
      </c>
      <c r="C244" s="2">
        <v>44182</v>
      </c>
      <c r="D244">
        <v>37.35</v>
      </c>
      <c r="E244">
        <v>37.6</v>
      </c>
      <c r="F244">
        <v>35.950000000000003</v>
      </c>
      <c r="G244">
        <v>36.35</v>
      </c>
      <c r="H244">
        <v>15661</v>
      </c>
      <c r="I244">
        <v>128.27000000000001</v>
      </c>
      <c r="J244">
        <v>0.31</v>
      </c>
      <c r="K244">
        <v>36.8125</v>
      </c>
    </row>
    <row r="245" spans="1:11" x14ac:dyDescent="0.25">
      <c r="A245" s="1" t="s">
        <v>10</v>
      </c>
      <c r="B245" s="1" t="s">
        <v>11</v>
      </c>
      <c r="C245" s="2">
        <v>44183</v>
      </c>
      <c r="D245">
        <v>36.75</v>
      </c>
      <c r="E245">
        <v>40</v>
      </c>
      <c r="F245">
        <v>35.200000000000003</v>
      </c>
      <c r="G245">
        <v>39.700000000000003</v>
      </c>
      <c r="H245">
        <v>77641</v>
      </c>
      <c r="I245">
        <v>140.09</v>
      </c>
      <c r="J245">
        <v>0.31</v>
      </c>
      <c r="K245">
        <v>37.912500000000001</v>
      </c>
    </row>
    <row r="246" spans="1:11" x14ac:dyDescent="0.25">
      <c r="A246" s="1" t="s">
        <v>10</v>
      </c>
      <c r="B246" s="1" t="s">
        <v>11</v>
      </c>
      <c r="C246" s="2">
        <v>44186</v>
      </c>
      <c r="D246">
        <v>39.700000000000003</v>
      </c>
      <c r="E246">
        <v>42</v>
      </c>
      <c r="F246">
        <v>35.85</v>
      </c>
      <c r="G246">
        <v>36.549999999999997</v>
      </c>
      <c r="H246">
        <v>128294</v>
      </c>
      <c r="I246">
        <v>128.97</v>
      </c>
      <c r="J246">
        <v>0.31</v>
      </c>
      <c r="K246">
        <v>38.524999999999999</v>
      </c>
    </row>
    <row r="247" spans="1:11" x14ac:dyDescent="0.25">
      <c r="A247" s="1" t="s">
        <v>10</v>
      </c>
      <c r="B247" s="1" t="s">
        <v>11</v>
      </c>
      <c r="C247" s="2">
        <v>44187</v>
      </c>
      <c r="D247">
        <v>36.549999999999997</v>
      </c>
      <c r="E247">
        <v>40.450000000000003</v>
      </c>
      <c r="F247">
        <v>34.799999999999997</v>
      </c>
      <c r="G247">
        <v>39.950000000000003</v>
      </c>
      <c r="H247">
        <v>54349</v>
      </c>
      <c r="I247">
        <v>140.97</v>
      </c>
      <c r="J247">
        <v>0.31</v>
      </c>
      <c r="K247">
        <v>37.9375</v>
      </c>
    </row>
    <row r="248" spans="1:11" x14ac:dyDescent="0.25">
      <c r="A248" s="1" t="s">
        <v>10</v>
      </c>
      <c r="B248" s="1" t="s">
        <v>11</v>
      </c>
      <c r="C248" s="2">
        <v>44188</v>
      </c>
      <c r="D248">
        <v>40.799999999999997</v>
      </c>
      <c r="E248">
        <v>42.85</v>
      </c>
      <c r="F248">
        <v>39.700000000000003</v>
      </c>
      <c r="G248">
        <v>40.200000000000003</v>
      </c>
      <c r="H248">
        <v>87125</v>
      </c>
      <c r="I248">
        <v>141.85</v>
      </c>
      <c r="J248">
        <v>0.31</v>
      </c>
      <c r="K248">
        <v>40.887500000000003</v>
      </c>
    </row>
    <row r="249" spans="1:11" x14ac:dyDescent="0.25">
      <c r="A249" s="1" t="s">
        <v>10</v>
      </c>
      <c r="B249" s="1" t="s">
        <v>11</v>
      </c>
      <c r="C249" s="2">
        <v>44189</v>
      </c>
      <c r="D249">
        <v>40</v>
      </c>
      <c r="E249">
        <v>41</v>
      </c>
      <c r="F249">
        <v>37</v>
      </c>
      <c r="G249">
        <v>37.85</v>
      </c>
      <c r="H249">
        <v>46689</v>
      </c>
      <c r="I249">
        <v>133.56</v>
      </c>
      <c r="J249">
        <v>0.31</v>
      </c>
      <c r="K249">
        <v>38.962499999999999</v>
      </c>
    </row>
    <row r="250" spans="1:11" x14ac:dyDescent="0.25">
      <c r="A250" s="1" t="s">
        <v>10</v>
      </c>
      <c r="B250" s="1" t="s">
        <v>11</v>
      </c>
      <c r="C250" s="2">
        <v>44193</v>
      </c>
      <c r="D250">
        <v>37.799999999999997</v>
      </c>
      <c r="E250">
        <v>40.75</v>
      </c>
      <c r="F250">
        <v>37.799999999999997</v>
      </c>
      <c r="G250">
        <v>40.1</v>
      </c>
      <c r="H250">
        <v>89620</v>
      </c>
      <c r="I250">
        <v>141.5</v>
      </c>
      <c r="J250">
        <v>0.31</v>
      </c>
      <c r="K250">
        <v>39.112499999999997</v>
      </c>
    </row>
    <row r="251" spans="1:11" x14ac:dyDescent="0.25">
      <c r="A251" s="1" t="s">
        <v>10</v>
      </c>
      <c r="B251" s="1" t="s">
        <v>11</v>
      </c>
      <c r="C251" s="2">
        <v>44194</v>
      </c>
      <c r="D251">
        <v>41.75</v>
      </c>
      <c r="E251">
        <v>41.75</v>
      </c>
      <c r="F251">
        <v>38.5</v>
      </c>
      <c r="G251">
        <v>39.25</v>
      </c>
      <c r="H251">
        <v>59006</v>
      </c>
      <c r="I251">
        <v>138.5</v>
      </c>
      <c r="J251">
        <v>0.31</v>
      </c>
      <c r="K251">
        <v>40.3125</v>
      </c>
    </row>
    <row r="252" spans="1:11" x14ac:dyDescent="0.25">
      <c r="A252" s="1" t="s">
        <v>10</v>
      </c>
      <c r="B252" s="1" t="s">
        <v>11</v>
      </c>
      <c r="C252" s="2">
        <v>44195</v>
      </c>
      <c r="D252">
        <v>39.35</v>
      </c>
      <c r="E252">
        <v>40.25</v>
      </c>
      <c r="F252">
        <v>39</v>
      </c>
      <c r="G252">
        <v>39.5</v>
      </c>
      <c r="H252">
        <v>31059</v>
      </c>
      <c r="I252">
        <v>139.38</v>
      </c>
      <c r="J252">
        <v>0.31</v>
      </c>
      <c r="K252">
        <v>39.524999999999999</v>
      </c>
    </row>
    <row r="253" spans="1:11" x14ac:dyDescent="0.25">
      <c r="A253" s="1" t="s">
        <v>10</v>
      </c>
      <c r="B253" s="1" t="s">
        <v>11</v>
      </c>
      <c r="C253" s="2">
        <v>44196</v>
      </c>
      <c r="D253">
        <v>42.25</v>
      </c>
      <c r="E253">
        <v>42.25</v>
      </c>
      <c r="F253">
        <v>39.799999999999997</v>
      </c>
      <c r="G253">
        <v>40.200000000000003</v>
      </c>
      <c r="H253">
        <v>36606</v>
      </c>
      <c r="I253">
        <v>141.85</v>
      </c>
      <c r="J253">
        <v>0.31</v>
      </c>
      <c r="K253">
        <v>41.125</v>
      </c>
    </row>
    <row r="254" spans="1:11" x14ac:dyDescent="0.25">
      <c r="A254" s="1" t="s">
        <v>10</v>
      </c>
      <c r="B254" s="1" t="s">
        <v>11</v>
      </c>
      <c r="C254" s="2">
        <v>44197</v>
      </c>
      <c r="D254">
        <v>41</v>
      </c>
      <c r="E254">
        <v>41</v>
      </c>
      <c r="F254">
        <v>39.75</v>
      </c>
      <c r="G254">
        <v>40.15</v>
      </c>
      <c r="H254">
        <v>13136</v>
      </c>
      <c r="I254">
        <v>141.68</v>
      </c>
      <c r="J254">
        <v>0.31</v>
      </c>
      <c r="K254">
        <v>40.475000000000001</v>
      </c>
    </row>
    <row r="255" spans="1:11" x14ac:dyDescent="0.25">
      <c r="A255" s="1" t="s">
        <v>10</v>
      </c>
      <c r="B255" s="1" t="s">
        <v>11</v>
      </c>
      <c r="C255" s="2">
        <v>44200</v>
      </c>
      <c r="D255">
        <v>40.200000000000003</v>
      </c>
      <c r="E255">
        <v>40.549999999999997</v>
      </c>
      <c r="F255">
        <v>39.549999999999997</v>
      </c>
      <c r="G255">
        <v>39.85</v>
      </c>
      <c r="H255">
        <v>24967</v>
      </c>
      <c r="I255">
        <v>140.62</v>
      </c>
      <c r="J255">
        <v>0.31</v>
      </c>
      <c r="K255">
        <v>40.037500000000001</v>
      </c>
    </row>
    <row r="256" spans="1:11" x14ac:dyDescent="0.25">
      <c r="A256" s="1" t="s">
        <v>10</v>
      </c>
      <c r="B256" s="1" t="s">
        <v>11</v>
      </c>
      <c r="C256" s="2">
        <v>44201</v>
      </c>
      <c r="D256">
        <v>39.950000000000003</v>
      </c>
      <c r="E256">
        <v>41.8</v>
      </c>
      <c r="F256">
        <v>39.5</v>
      </c>
      <c r="G256">
        <v>40.85</v>
      </c>
      <c r="H256">
        <v>47510</v>
      </c>
      <c r="I256">
        <v>144.15</v>
      </c>
      <c r="J256">
        <v>0.31</v>
      </c>
      <c r="K256">
        <v>40.524999999999999</v>
      </c>
    </row>
    <row r="257" spans="1:11" x14ac:dyDescent="0.25">
      <c r="A257" s="1" t="s">
        <v>10</v>
      </c>
      <c r="B257" s="1" t="s">
        <v>11</v>
      </c>
      <c r="C257" s="2">
        <v>44202</v>
      </c>
      <c r="D257">
        <v>41</v>
      </c>
      <c r="E257">
        <v>41.8</v>
      </c>
      <c r="F257">
        <v>40.549999999999997</v>
      </c>
      <c r="G257">
        <v>40.700000000000003</v>
      </c>
      <c r="H257">
        <v>24678</v>
      </c>
      <c r="I257">
        <v>143.62</v>
      </c>
      <c r="J257">
        <v>0.31</v>
      </c>
      <c r="K257">
        <v>41.012500000000003</v>
      </c>
    </row>
    <row r="258" spans="1:11" x14ac:dyDescent="0.25">
      <c r="A258" s="1" t="s">
        <v>10</v>
      </c>
      <c r="B258" s="1" t="s">
        <v>11</v>
      </c>
      <c r="C258" s="2">
        <v>44203</v>
      </c>
      <c r="D258">
        <v>41.6</v>
      </c>
      <c r="E258">
        <v>41.65</v>
      </c>
      <c r="F258">
        <v>40</v>
      </c>
      <c r="G258">
        <v>40.65</v>
      </c>
      <c r="H258">
        <v>12208</v>
      </c>
      <c r="I258">
        <v>143.44</v>
      </c>
      <c r="J258">
        <v>0.31</v>
      </c>
      <c r="K258">
        <v>40.975000000000001</v>
      </c>
    </row>
    <row r="259" spans="1:11" x14ac:dyDescent="0.25">
      <c r="A259" s="1" t="s">
        <v>10</v>
      </c>
      <c r="B259" s="1" t="s">
        <v>11</v>
      </c>
      <c r="C259" s="2">
        <v>44204</v>
      </c>
      <c r="D259">
        <v>41.55</v>
      </c>
      <c r="E259">
        <v>42</v>
      </c>
      <c r="F259">
        <v>40.65</v>
      </c>
      <c r="G259">
        <v>41.6</v>
      </c>
      <c r="H259">
        <v>39596</v>
      </c>
      <c r="I259">
        <v>146.79</v>
      </c>
      <c r="J259">
        <v>0.31</v>
      </c>
      <c r="K259">
        <v>41.45</v>
      </c>
    </row>
    <row r="260" spans="1:11" x14ac:dyDescent="0.25">
      <c r="A260" s="1" t="s">
        <v>10</v>
      </c>
      <c r="B260" s="1" t="s">
        <v>11</v>
      </c>
      <c r="C260" s="2">
        <v>44207</v>
      </c>
      <c r="D260">
        <v>42.2</v>
      </c>
      <c r="E260">
        <v>42.2</v>
      </c>
      <c r="F260">
        <v>39.65</v>
      </c>
      <c r="G260">
        <v>39.950000000000003</v>
      </c>
      <c r="H260">
        <v>14133</v>
      </c>
      <c r="I260">
        <v>140.97</v>
      </c>
      <c r="J260">
        <v>0.31</v>
      </c>
      <c r="K260">
        <v>41</v>
      </c>
    </row>
    <row r="261" spans="1:11" x14ac:dyDescent="0.25">
      <c r="A261" s="1" t="s">
        <v>10</v>
      </c>
      <c r="B261" s="1" t="s">
        <v>11</v>
      </c>
      <c r="C261" s="2">
        <v>44208</v>
      </c>
      <c r="D261">
        <v>39</v>
      </c>
      <c r="E261">
        <v>41.6</v>
      </c>
      <c r="F261">
        <v>39</v>
      </c>
      <c r="G261">
        <v>39.799999999999997</v>
      </c>
      <c r="H261">
        <v>44198</v>
      </c>
      <c r="I261">
        <v>140.44</v>
      </c>
      <c r="J261">
        <v>0.31</v>
      </c>
      <c r="K261">
        <v>39.85</v>
      </c>
    </row>
    <row r="262" spans="1:11" x14ac:dyDescent="0.25">
      <c r="A262" s="1" t="s">
        <v>10</v>
      </c>
      <c r="B262" s="1" t="s">
        <v>11</v>
      </c>
      <c r="C262" s="2">
        <v>44209</v>
      </c>
      <c r="D262">
        <v>40.9</v>
      </c>
      <c r="E262">
        <v>40.9</v>
      </c>
      <c r="F262">
        <v>38.700000000000003</v>
      </c>
      <c r="G262">
        <v>38.950000000000003</v>
      </c>
      <c r="H262">
        <v>19017</v>
      </c>
      <c r="I262">
        <v>137.44</v>
      </c>
      <c r="J262">
        <v>0.31</v>
      </c>
      <c r="K262">
        <v>39.862499999999997</v>
      </c>
    </row>
    <row r="263" spans="1:11" x14ac:dyDescent="0.25">
      <c r="A263" s="1" t="s">
        <v>10</v>
      </c>
      <c r="B263" s="1" t="s">
        <v>11</v>
      </c>
      <c r="C263" s="2">
        <v>44210</v>
      </c>
      <c r="D263">
        <v>39.200000000000003</v>
      </c>
      <c r="E263">
        <v>40.799999999999997</v>
      </c>
      <c r="F263">
        <v>37.9</v>
      </c>
      <c r="G263">
        <v>39.85</v>
      </c>
      <c r="H263">
        <v>28194</v>
      </c>
      <c r="I263">
        <v>140.62</v>
      </c>
      <c r="J263">
        <v>0.31</v>
      </c>
      <c r="K263">
        <v>39.4375</v>
      </c>
    </row>
    <row r="264" spans="1:11" x14ac:dyDescent="0.25">
      <c r="A264" s="1" t="s">
        <v>10</v>
      </c>
      <c r="B264" s="1" t="s">
        <v>11</v>
      </c>
      <c r="C264" s="2">
        <v>44211</v>
      </c>
      <c r="D264">
        <v>39</v>
      </c>
      <c r="E264">
        <v>40</v>
      </c>
      <c r="F264">
        <v>38.5</v>
      </c>
      <c r="G264">
        <v>38.549999999999997</v>
      </c>
      <c r="H264">
        <v>13577</v>
      </c>
      <c r="I264">
        <v>136.03</v>
      </c>
      <c r="J264">
        <v>0.31</v>
      </c>
      <c r="K264">
        <v>39.012500000000003</v>
      </c>
    </row>
    <row r="265" spans="1:11" x14ac:dyDescent="0.25">
      <c r="A265" s="1" t="s">
        <v>10</v>
      </c>
      <c r="B265" s="1" t="s">
        <v>11</v>
      </c>
      <c r="C265" s="2">
        <v>44214</v>
      </c>
      <c r="D265">
        <v>38.950000000000003</v>
      </c>
      <c r="E265">
        <v>39.6</v>
      </c>
      <c r="F265">
        <v>36.6</v>
      </c>
      <c r="G265">
        <v>36.950000000000003</v>
      </c>
      <c r="H265">
        <v>26095</v>
      </c>
      <c r="I265">
        <v>130.38</v>
      </c>
      <c r="J265">
        <v>0.31</v>
      </c>
      <c r="K265">
        <v>38.024999999999999</v>
      </c>
    </row>
    <row r="266" spans="1:11" x14ac:dyDescent="0.25">
      <c r="A266" s="1" t="s">
        <v>10</v>
      </c>
      <c r="B266" s="1" t="s">
        <v>11</v>
      </c>
      <c r="C266" s="2">
        <v>44215</v>
      </c>
      <c r="D266">
        <v>37.799999999999997</v>
      </c>
      <c r="E266">
        <v>38.4</v>
      </c>
      <c r="F266">
        <v>36.799999999999997</v>
      </c>
      <c r="G266">
        <v>37.65</v>
      </c>
      <c r="H266">
        <v>23983</v>
      </c>
      <c r="I266">
        <v>132.85</v>
      </c>
      <c r="J266">
        <v>0.31</v>
      </c>
      <c r="K266">
        <v>37.662500000000001</v>
      </c>
    </row>
    <row r="267" spans="1:11" x14ac:dyDescent="0.25">
      <c r="A267" s="1" t="s">
        <v>10</v>
      </c>
      <c r="B267" s="1" t="s">
        <v>11</v>
      </c>
      <c r="C267" s="2">
        <v>44216</v>
      </c>
      <c r="D267">
        <v>37.35</v>
      </c>
      <c r="E267">
        <v>38.65</v>
      </c>
      <c r="F267">
        <v>37.35</v>
      </c>
      <c r="G267">
        <v>38.450000000000003</v>
      </c>
      <c r="H267">
        <v>9135</v>
      </c>
      <c r="I267">
        <v>135.68</v>
      </c>
      <c r="J267">
        <v>0.31</v>
      </c>
      <c r="K267">
        <v>37.950000000000003</v>
      </c>
    </row>
    <row r="268" spans="1:11" x14ac:dyDescent="0.25">
      <c r="A268" s="1" t="s">
        <v>10</v>
      </c>
      <c r="B268" s="1" t="s">
        <v>11</v>
      </c>
      <c r="C268" s="2">
        <v>44217</v>
      </c>
      <c r="D268">
        <v>39.299999999999997</v>
      </c>
      <c r="E268">
        <v>39.299999999999997</v>
      </c>
      <c r="F268">
        <v>37.4</v>
      </c>
      <c r="G268">
        <v>37.549999999999997</v>
      </c>
      <c r="H268">
        <v>20239</v>
      </c>
      <c r="I268">
        <v>132.5</v>
      </c>
      <c r="J268">
        <v>0.31</v>
      </c>
      <c r="K268">
        <v>38.387500000000003</v>
      </c>
    </row>
    <row r="269" spans="1:11" x14ac:dyDescent="0.25">
      <c r="A269" s="1" t="s">
        <v>10</v>
      </c>
      <c r="B269" s="1" t="s">
        <v>11</v>
      </c>
      <c r="C269" s="2">
        <v>44218</v>
      </c>
      <c r="D269">
        <v>37.35</v>
      </c>
      <c r="E269">
        <v>38.450000000000003</v>
      </c>
      <c r="F269">
        <v>37.049999999999997</v>
      </c>
      <c r="G269">
        <v>37.700000000000003</v>
      </c>
      <c r="H269">
        <v>19374</v>
      </c>
      <c r="I269">
        <v>133.03</v>
      </c>
      <c r="J269">
        <v>0.31</v>
      </c>
      <c r="K269">
        <v>37.637500000000003</v>
      </c>
    </row>
    <row r="270" spans="1:11" x14ac:dyDescent="0.25">
      <c r="A270" s="1" t="s">
        <v>10</v>
      </c>
      <c r="B270" s="1" t="s">
        <v>11</v>
      </c>
      <c r="C270" s="2">
        <v>44221</v>
      </c>
      <c r="D270">
        <v>37.85</v>
      </c>
      <c r="E270">
        <v>37.85</v>
      </c>
      <c r="F270">
        <v>36.15</v>
      </c>
      <c r="G270">
        <v>36.85</v>
      </c>
      <c r="H270">
        <v>19989</v>
      </c>
      <c r="I270">
        <v>130.03</v>
      </c>
      <c r="J270">
        <v>0.31</v>
      </c>
      <c r="K270">
        <v>37.174999999999997</v>
      </c>
    </row>
    <row r="271" spans="1:11" x14ac:dyDescent="0.25">
      <c r="A271" s="1" t="s">
        <v>10</v>
      </c>
      <c r="B271" s="1" t="s">
        <v>11</v>
      </c>
      <c r="C271" s="2">
        <v>44223</v>
      </c>
      <c r="D271">
        <v>36.549999999999997</v>
      </c>
      <c r="E271">
        <v>37.549999999999997</v>
      </c>
      <c r="F271">
        <v>36.5</v>
      </c>
      <c r="G271">
        <v>37.25</v>
      </c>
      <c r="H271">
        <v>3990</v>
      </c>
      <c r="I271">
        <v>131.44</v>
      </c>
      <c r="J271">
        <v>0.31</v>
      </c>
      <c r="K271">
        <v>36.962499999999999</v>
      </c>
    </row>
    <row r="272" spans="1:11" x14ac:dyDescent="0.25">
      <c r="A272" s="1" t="s">
        <v>10</v>
      </c>
      <c r="B272" s="1" t="s">
        <v>11</v>
      </c>
      <c r="C272" s="2">
        <v>44224</v>
      </c>
      <c r="D272">
        <v>36.700000000000003</v>
      </c>
      <c r="E272">
        <v>37.200000000000003</v>
      </c>
      <c r="F272">
        <v>36.65</v>
      </c>
      <c r="G272">
        <v>37.200000000000003</v>
      </c>
      <c r="H272">
        <v>892</v>
      </c>
      <c r="I272">
        <v>131.27000000000001</v>
      </c>
      <c r="J272">
        <v>0.31</v>
      </c>
      <c r="K272">
        <v>36.9375</v>
      </c>
    </row>
    <row r="273" spans="1:11" x14ac:dyDescent="0.25">
      <c r="A273" s="1" t="s">
        <v>10</v>
      </c>
      <c r="B273" s="1" t="s">
        <v>11</v>
      </c>
      <c r="C273" s="2">
        <v>44225</v>
      </c>
      <c r="D273">
        <v>37.799999999999997</v>
      </c>
      <c r="E273">
        <v>38</v>
      </c>
      <c r="F273">
        <v>36.5</v>
      </c>
      <c r="G273">
        <v>36.65</v>
      </c>
      <c r="H273">
        <v>11572</v>
      </c>
      <c r="I273">
        <v>129.33000000000001</v>
      </c>
      <c r="J273">
        <v>0.31</v>
      </c>
      <c r="K273">
        <v>37.237499999999997</v>
      </c>
    </row>
    <row r="274" spans="1:11" x14ac:dyDescent="0.25">
      <c r="A274" s="1" t="s">
        <v>10</v>
      </c>
      <c r="B274" s="1" t="s">
        <v>11</v>
      </c>
      <c r="C274" s="2">
        <v>44228</v>
      </c>
      <c r="D274">
        <v>36.799999999999997</v>
      </c>
      <c r="E274">
        <v>37.549999999999997</v>
      </c>
      <c r="F274">
        <v>36.5</v>
      </c>
      <c r="G274">
        <v>37.5</v>
      </c>
      <c r="H274">
        <v>4234</v>
      </c>
      <c r="I274">
        <v>132.32</v>
      </c>
      <c r="J274">
        <v>0.31</v>
      </c>
      <c r="K274">
        <v>37.087499999999999</v>
      </c>
    </row>
    <row r="275" spans="1:11" x14ac:dyDescent="0.25">
      <c r="A275" s="1" t="s">
        <v>10</v>
      </c>
      <c r="B275" s="1" t="s">
        <v>11</v>
      </c>
      <c r="C275" s="2">
        <v>44229</v>
      </c>
      <c r="D275">
        <v>38</v>
      </c>
      <c r="E275">
        <v>38.35</v>
      </c>
      <c r="F275">
        <v>37</v>
      </c>
      <c r="G275">
        <v>37.5</v>
      </c>
      <c r="H275">
        <v>16721</v>
      </c>
      <c r="I275">
        <v>132.32</v>
      </c>
      <c r="J275">
        <v>0.31</v>
      </c>
      <c r="K275">
        <v>37.712499999999999</v>
      </c>
    </row>
    <row r="276" spans="1:11" x14ac:dyDescent="0.25">
      <c r="A276" s="1" t="s">
        <v>10</v>
      </c>
      <c r="B276" s="1" t="s">
        <v>11</v>
      </c>
      <c r="C276" s="2">
        <v>44230</v>
      </c>
      <c r="D276">
        <v>37.5</v>
      </c>
      <c r="E276">
        <v>39.5</v>
      </c>
      <c r="F276">
        <v>36.950000000000003</v>
      </c>
      <c r="G276">
        <v>37.4</v>
      </c>
      <c r="H276">
        <v>15339</v>
      </c>
      <c r="I276">
        <v>131.97</v>
      </c>
      <c r="J276">
        <v>0.31</v>
      </c>
      <c r="K276">
        <v>37.837499999999999</v>
      </c>
    </row>
    <row r="277" spans="1:11" x14ac:dyDescent="0.25">
      <c r="A277" s="1" t="s">
        <v>10</v>
      </c>
      <c r="B277" s="1" t="s">
        <v>11</v>
      </c>
      <c r="C277" s="2">
        <v>44231</v>
      </c>
      <c r="D277">
        <v>37.75</v>
      </c>
      <c r="E277">
        <v>38.4</v>
      </c>
      <c r="F277">
        <v>37.4</v>
      </c>
      <c r="G277">
        <v>37.75</v>
      </c>
      <c r="H277">
        <v>7815</v>
      </c>
      <c r="I277">
        <v>133.21</v>
      </c>
      <c r="J277">
        <v>0.31</v>
      </c>
      <c r="K277">
        <v>37.825000000000003</v>
      </c>
    </row>
    <row r="278" spans="1:11" x14ac:dyDescent="0.25">
      <c r="A278" s="1" t="s">
        <v>10</v>
      </c>
      <c r="B278" s="1" t="s">
        <v>11</v>
      </c>
      <c r="C278" s="2">
        <v>44232</v>
      </c>
      <c r="D278">
        <v>38.049999999999997</v>
      </c>
      <c r="E278">
        <v>38.049999999999997</v>
      </c>
      <c r="F278">
        <v>36.85</v>
      </c>
      <c r="G278">
        <v>36.9</v>
      </c>
      <c r="H278">
        <v>3842</v>
      </c>
      <c r="I278">
        <v>130.21</v>
      </c>
      <c r="J278">
        <v>0.31</v>
      </c>
      <c r="K278">
        <v>37.462499999999999</v>
      </c>
    </row>
    <row r="279" spans="1:11" x14ac:dyDescent="0.25">
      <c r="A279" s="1" t="s">
        <v>10</v>
      </c>
      <c r="B279" s="1" t="s">
        <v>11</v>
      </c>
      <c r="C279" s="2">
        <v>44235</v>
      </c>
      <c r="D279">
        <v>37.049999999999997</v>
      </c>
      <c r="E279">
        <v>37.450000000000003</v>
      </c>
      <c r="F279">
        <v>36</v>
      </c>
      <c r="G279">
        <v>36.799999999999997</v>
      </c>
      <c r="H279">
        <v>16030</v>
      </c>
      <c r="I279">
        <v>129.85</v>
      </c>
      <c r="J279">
        <v>0.31</v>
      </c>
      <c r="K279">
        <v>36.825000000000003</v>
      </c>
    </row>
    <row r="280" spans="1:11" x14ac:dyDescent="0.25">
      <c r="A280" s="1" t="s">
        <v>10</v>
      </c>
      <c r="B280" s="1" t="s">
        <v>11</v>
      </c>
      <c r="C280" s="2">
        <v>44236</v>
      </c>
      <c r="D280">
        <v>37.75</v>
      </c>
      <c r="E280">
        <v>38.049999999999997</v>
      </c>
      <c r="F280">
        <v>36.799999999999997</v>
      </c>
      <c r="G280">
        <v>37.200000000000003</v>
      </c>
      <c r="H280">
        <v>30065</v>
      </c>
      <c r="I280">
        <v>131.27000000000001</v>
      </c>
      <c r="J280">
        <v>0.31</v>
      </c>
      <c r="K280">
        <v>37.450000000000003</v>
      </c>
    </row>
    <row r="281" spans="1:11" x14ac:dyDescent="0.25">
      <c r="A281" s="1" t="s">
        <v>10</v>
      </c>
      <c r="B281" s="1" t="s">
        <v>11</v>
      </c>
      <c r="C281" s="2">
        <v>44237</v>
      </c>
      <c r="D281">
        <v>37.85</v>
      </c>
      <c r="E281">
        <v>37.85</v>
      </c>
      <c r="F281">
        <v>36.549999999999997</v>
      </c>
      <c r="G281">
        <v>37.35</v>
      </c>
      <c r="H281">
        <v>15911</v>
      </c>
      <c r="I281">
        <v>131.80000000000001</v>
      </c>
      <c r="J281">
        <v>0.31</v>
      </c>
      <c r="K281">
        <v>37.4</v>
      </c>
    </row>
    <row r="282" spans="1:11" x14ac:dyDescent="0.25">
      <c r="A282" s="1" t="s">
        <v>10</v>
      </c>
      <c r="B282" s="1" t="s">
        <v>11</v>
      </c>
      <c r="C282" s="2">
        <v>44238</v>
      </c>
      <c r="D282">
        <v>38.35</v>
      </c>
      <c r="E282">
        <v>40</v>
      </c>
      <c r="F282">
        <v>37.299999999999997</v>
      </c>
      <c r="G282">
        <v>39</v>
      </c>
      <c r="H282">
        <v>61658</v>
      </c>
      <c r="I282">
        <v>137.62</v>
      </c>
      <c r="J282">
        <v>0.31</v>
      </c>
      <c r="K282">
        <v>38.662500000000001</v>
      </c>
    </row>
    <row r="283" spans="1:11" x14ac:dyDescent="0.25">
      <c r="A283" s="1" t="s">
        <v>10</v>
      </c>
      <c r="B283" s="1" t="s">
        <v>11</v>
      </c>
      <c r="C283" s="2">
        <v>44239</v>
      </c>
      <c r="D283">
        <v>39.049999999999997</v>
      </c>
      <c r="E283">
        <v>39.85</v>
      </c>
      <c r="F283">
        <v>37</v>
      </c>
      <c r="G283">
        <v>37.6</v>
      </c>
      <c r="H283">
        <v>32294</v>
      </c>
      <c r="I283">
        <v>132.68</v>
      </c>
      <c r="J283">
        <v>0.31</v>
      </c>
      <c r="K283">
        <v>38.375</v>
      </c>
    </row>
    <row r="284" spans="1:11" x14ac:dyDescent="0.25">
      <c r="A284" s="1" t="s">
        <v>10</v>
      </c>
      <c r="B284" s="1" t="s">
        <v>11</v>
      </c>
      <c r="C284" s="2">
        <v>44242</v>
      </c>
      <c r="D284">
        <v>37</v>
      </c>
      <c r="E284">
        <v>38.4</v>
      </c>
      <c r="F284">
        <v>37</v>
      </c>
      <c r="G284">
        <v>37.1</v>
      </c>
      <c r="H284">
        <v>16235</v>
      </c>
      <c r="I284">
        <v>130.91</v>
      </c>
      <c r="J284">
        <v>0.31</v>
      </c>
      <c r="K284">
        <v>37.375</v>
      </c>
    </row>
    <row r="285" spans="1:11" x14ac:dyDescent="0.25">
      <c r="A285" s="1" t="s">
        <v>10</v>
      </c>
      <c r="B285" s="1" t="s">
        <v>11</v>
      </c>
      <c r="C285" s="2">
        <v>44243</v>
      </c>
      <c r="D285">
        <v>37.299999999999997</v>
      </c>
      <c r="E285">
        <v>37.450000000000003</v>
      </c>
      <c r="F285">
        <v>36.549999999999997</v>
      </c>
      <c r="G285">
        <v>36.85</v>
      </c>
      <c r="H285">
        <v>7954</v>
      </c>
      <c r="I285">
        <v>130.03</v>
      </c>
      <c r="J285">
        <v>0.31</v>
      </c>
      <c r="K285">
        <v>37.037500000000001</v>
      </c>
    </row>
    <row r="286" spans="1:11" x14ac:dyDescent="0.25">
      <c r="A286" s="1" t="s">
        <v>10</v>
      </c>
      <c r="B286" s="1" t="s">
        <v>11</v>
      </c>
      <c r="C286" s="2">
        <v>44244</v>
      </c>
      <c r="D286">
        <v>36.65</v>
      </c>
      <c r="E286">
        <v>37.299999999999997</v>
      </c>
      <c r="F286">
        <v>36.15</v>
      </c>
      <c r="G286">
        <v>36.65</v>
      </c>
      <c r="H286">
        <v>10959</v>
      </c>
      <c r="I286">
        <v>129.33000000000001</v>
      </c>
      <c r="J286">
        <v>0.31</v>
      </c>
      <c r="K286">
        <v>36.6875</v>
      </c>
    </row>
    <row r="287" spans="1:11" x14ac:dyDescent="0.25">
      <c r="A287" s="1" t="s">
        <v>10</v>
      </c>
      <c r="B287" s="1" t="s">
        <v>11</v>
      </c>
      <c r="C287" s="2">
        <v>44245</v>
      </c>
      <c r="D287">
        <v>37</v>
      </c>
      <c r="E287">
        <v>37.15</v>
      </c>
      <c r="F287">
        <v>36.549999999999997</v>
      </c>
      <c r="G287">
        <v>36.65</v>
      </c>
      <c r="H287">
        <v>4874</v>
      </c>
      <c r="I287">
        <v>129.33000000000001</v>
      </c>
      <c r="J287">
        <v>0.31</v>
      </c>
      <c r="K287">
        <v>36.837499999999999</v>
      </c>
    </row>
    <row r="288" spans="1:11" x14ac:dyDescent="0.25">
      <c r="A288" s="1" t="s">
        <v>10</v>
      </c>
      <c r="B288" s="1" t="s">
        <v>11</v>
      </c>
      <c r="C288" s="2">
        <v>44246</v>
      </c>
      <c r="D288">
        <v>36</v>
      </c>
      <c r="E288">
        <v>37.75</v>
      </c>
      <c r="F288">
        <v>36</v>
      </c>
      <c r="G288">
        <v>36.75</v>
      </c>
      <c r="H288">
        <v>28593</v>
      </c>
      <c r="I288">
        <v>129.68</v>
      </c>
      <c r="J288">
        <v>0.31</v>
      </c>
      <c r="K288">
        <v>36.625</v>
      </c>
    </row>
    <row r="289" spans="1:11" x14ac:dyDescent="0.25">
      <c r="A289" s="1" t="s">
        <v>10</v>
      </c>
      <c r="B289" s="1" t="s">
        <v>11</v>
      </c>
      <c r="C289" s="2">
        <v>44249</v>
      </c>
      <c r="D289">
        <v>36.9</v>
      </c>
      <c r="E289">
        <v>43.7</v>
      </c>
      <c r="F289">
        <v>35.9</v>
      </c>
      <c r="G289">
        <v>38.5</v>
      </c>
      <c r="H289">
        <v>47552</v>
      </c>
      <c r="I289">
        <v>135.85</v>
      </c>
      <c r="J289">
        <v>0.31</v>
      </c>
      <c r="K289">
        <v>38.75</v>
      </c>
    </row>
    <row r="290" spans="1:11" x14ac:dyDescent="0.25">
      <c r="A290" s="1" t="s">
        <v>10</v>
      </c>
      <c r="B290" s="1" t="s">
        <v>11</v>
      </c>
      <c r="C290" s="2">
        <v>44250</v>
      </c>
      <c r="D290">
        <v>36.200000000000003</v>
      </c>
      <c r="E290">
        <v>36.75</v>
      </c>
      <c r="F290">
        <v>36.1</v>
      </c>
      <c r="G290">
        <v>36.299999999999997</v>
      </c>
      <c r="H290">
        <v>8870</v>
      </c>
      <c r="I290">
        <v>128.09</v>
      </c>
      <c r="J290">
        <v>0.31</v>
      </c>
      <c r="K290">
        <v>36.337499999999999</v>
      </c>
    </row>
    <row r="291" spans="1:11" x14ac:dyDescent="0.25">
      <c r="A291" s="1" t="s">
        <v>10</v>
      </c>
      <c r="B291" s="1" t="s">
        <v>11</v>
      </c>
      <c r="C291" s="2">
        <v>44251</v>
      </c>
      <c r="D291">
        <v>36.450000000000003</v>
      </c>
      <c r="E291">
        <v>37</v>
      </c>
      <c r="F291">
        <v>36.1</v>
      </c>
      <c r="G291">
        <v>36.450000000000003</v>
      </c>
      <c r="H291">
        <v>8022</v>
      </c>
      <c r="I291">
        <v>128.62</v>
      </c>
      <c r="J291">
        <v>0.31</v>
      </c>
      <c r="K291">
        <v>36.5</v>
      </c>
    </row>
    <row r="292" spans="1:11" x14ac:dyDescent="0.25">
      <c r="A292" s="1" t="s">
        <v>10</v>
      </c>
      <c r="B292" s="1" t="s">
        <v>11</v>
      </c>
      <c r="C292" s="2">
        <v>44252</v>
      </c>
      <c r="D292">
        <v>36.700000000000003</v>
      </c>
      <c r="E292">
        <v>37.6</v>
      </c>
      <c r="F292">
        <v>36.700000000000003</v>
      </c>
      <c r="G292">
        <v>37.1</v>
      </c>
      <c r="H292">
        <v>10850</v>
      </c>
      <c r="I292">
        <v>130.91</v>
      </c>
      <c r="J292">
        <v>0.31</v>
      </c>
      <c r="K292">
        <v>37.024999999999999</v>
      </c>
    </row>
    <row r="293" spans="1:11" x14ac:dyDescent="0.25">
      <c r="A293" s="1" t="s">
        <v>10</v>
      </c>
      <c r="B293" s="1" t="s">
        <v>11</v>
      </c>
      <c r="C293" s="2">
        <v>44253</v>
      </c>
      <c r="D293">
        <v>36.450000000000003</v>
      </c>
      <c r="E293">
        <v>37.200000000000003</v>
      </c>
      <c r="F293">
        <v>36.35</v>
      </c>
      <c r="G293">
        <v>36.549999999999997</v>
      </c>
      <c r="H293">
        <v>8757</v>
      </c>
      <c r="I293">
        <v>128.97</v>
      </c>
      <c r="J293">
        <v>0.31</v>
      </c>
      <c r="K293">
        <v>36.637500000000003</v>
      </c>
    </row>
    <row r="294" spans="1:11" x14ac:dyDescent="0.25">
      <c r="A294" s="1" t="s">
        <v>10</v>
      </c>
      <c r="B294" s="1" t="s">
        <v>11</v>
      </c>
      <c r="C294" s="2">
        <v>44256</v>
      </c>
      <c r="D294">
        <v>36.5</v>
      </c>
      <c r="E294">
        <v>37.65</v>
      </c>
      <c r="F294">
        <v>36.5</v>
      </c>
      <c r="G294">
        <v>37.4</v>
      </c>
      <c r="H294">
        <v>20480</v>
      </c>
      <c r="I294">
        <v>131.97</v>
      </c>
      <c r="J294">
        <v>0.31</v>
      </c>
      <c r="K294">
        <v>37.012500000000003</v>
      </c>
    </row>
    <row r="295" spans="1:11" x14ac:dyDescent="0.25">
      <c r="A295" s="1" t="s">
        <v>10</v>
      </c>
      <c r="B295" s="1" t="s">
        <v>11</v>
      </c>
      <c r="C295" s="2">
        <v>44257</v>
      </c>
      <c r="D295">
        <v>37.6</v>
      </c>
      <c r="E295">
        <v>37.6</v>
      </c>
      <c r="F295">
        <v>36.85</v>
      </c>
      <c r="G295">
        <v>37.049999999999997</v>
      </c>
      <c r="H295">
        <v>16297</v>
      </c>
      <c r="I295">
        <v>130.74</v>
      </c>
      <c r="J295">
        <v>0.31</v>
      </c>
      <c r="K295">
        <v>37.274999999999999</v>
      </c>
    </row>
    <row r="296" spans="1:11" x14ac:dyDescent="0.25">
      <c r="A296" s="1" t="s">
        <v>10</v>
      </c>
      <c r="B296" s="1" t="s">
        <v>11</v>
      </c>
      <c r="C296" s="2">
        <v>44258</v>
      </c>
      <c r="D296">
        <v>37.4</v>
      </c>
      <c r="E296">
        <v>39.1</v>
      </c>
      <c r="F296">
        <v>36.9</v>
      </c>
      <c r="G296">
        <v>38.15</v>
      </c>
      <c r="H296">
        <v>28052</v>
      </c>
      <c r="I296">
        <v>134.62</v>
      </c>
      <c r="J296">
        <v>0.31</v>
      </c>
      <c r="K296">
        <v>37.887500000000003</v>
      </c>
    </row>
    <row r="297" spans="1:11" x14ac:dyDescent="0.25">
      <c r="A297" s="1" t="s">
        <v>10</v>
      </c>
      <c r="B297" s="1" t="s">
        <v>11</v>
      </c>
      <c r="C297" s="2">
        <v>44259</v>
      </c>
      <c r="D297">
        <v>38</v>
      </c>
      <c r="E297">
        <v>38.799999999999997</v>
      </c>
      <c r="F297">
        <v>37.65</v>
      </c>
      <c r="G297">
        <v>38.200000000000003</v>
      </c>
      <c r="H297">
        <v>14885</v>
      </c>
      <c r="I297">
        <v>134.79</v>
      </c>
      <c r="J297">
        <v>0.31</v>
      </c>
      <c r="K297">
        <v>38.162500000000001</v>
      </c>
    </row>
    <row r="298" spans="1:11" x14ac:dyDescent="0.25">
      <c r="A298" s="1" t="s">
        <v>10</v>
      </c>
      <c r="B298" s="1" t="s">
        <v>11</v>
      </c>
      <c r="C298" s="2">
        <v>44260</v>
      </c>
      <c r="D298">
        <v>38.450000000000003</v>
      </c>
      <c r="E298">
        <v>39.200000000000003</v>
      </c>
      <c r="F298">
        <v>37.5</v>
      </c>
      <c r="G298">
        <v>38</v>
      </c>
      <c r="H298">
        <v>8485</v>
      </c>
      <c r="I298">
        <v>134.09</v>
      </c>
      <c r="J298">
        <v>0.31</v>
      </c>
      <c r="K298">
        <v>38.287500000000001</v>
      </c>
    </row>
    <row r="299" spans="1:11" x14ac:dyDescent="0.25">
      <c r="A299" s="1" t="s">
        <v>10</v>
      </c>
      <c r="B299" s="1" t="s">
        <v>11</v>
      </c>
      <c r="C299" s="2">
        <v>44263</v>
      </c>
      <c r="D299">
        <v>38.15</v>
      </c>
      <c r="E299">
        <v>38.5</v>
      </c>
      <c r="F299">
        <v>37</v>
      </c>
      <c r="G299">
        <v>37.450000000000003</v>
      </c>
      <c r="H299">
        <v>22972</v>
      </c>
      <c r="I299">
        <v>132.15</v>
      </c>
      <c r="J299">
        <v>0.31</v>
      </c>
      <c r="K299">
        <v>37.774999999999999</v>
      </c>
    </row>
    <row r="300" spans="1:11" x14ac:dyDescent="0.25">
      <c r="A300" s="1" t="s">
        <v>10</v>
      </c>
      <c r="B300" s="1" t="s">
        <v>11</v>
      </c>
      <c r="C300" s="2">
        <v>44264</v>
      </c>
      <c r="D300">
        <v>37.9</v>
      </c>
      <c r="E300">
        <v>38</v>
      </c>
      <c r="F300">
        <v>36.65</v>
      </c>
      <c r="G300">
        <v>37.25</v>
      </c>
      <c r="H300">
        <v>14307</v>
      </c>
      <c r="I300">
        <v>131.44</v>
      </c>
      <c r="J300">
        <v>0.31</v>
      </c>
      <c r="K300">
        <v>37.450000000000003</v>
      </c>
    </row>
    <row r="301" spans="1:11" x14ac:dyDescent="0.25">
      <c r="A301" s="1" t="s">
        <v>10</v>
      </c>
      <c r="B301" s="1" t="s">
        <v>11</v>
      </c>
      <c r="C301" s="2">
        <v>44265</v>
      </c>
      <c r="D301">
        <v>38.25</v>
      </c>
      <c r="E301">
        <v>39.4</v>
      </c>
      <c r="F301">
        <v>38</v>
      </c>
      <c r="G301">
        <v>38.5</v>
      </c>
      <c r="H301">
        <v>38367</v>
      </c>
      <c r="I301">
        <v>135.85</v>
      </c>
      <c r="J301">
        <v>0.31</v>
      </c>
      <c r="K301">
        <v>38.537500000000001</v>
      </c>
    </row>
    <row r="302" spans="1:11" x14ac:dyDescent="0.25">
      <c r="A302" s="1" t="s">
        <v>10</v>
      </c>
      <c r="B302" s="1" t="s">
        <v>11</v>
      </c>
      <c r="C302" s="2">
        <v>44267</v>
      </c>
      <c r="D302">
        <v>38.950000000000003</v>
      </c>
      <c r="E302">
        <v>38.950000000000003</v>
      </c>
      <c r="F302">
        <v>37.75</v>
      </c>
      <c r="G302">
        <v>37.75</v>
      </c>
      <c r="H302">
        <v>6828</v>
      </c>
      <c r="I302">
        <v>133.21</v>
      </c>
      <c r="J302">
        <v>0.31</v>
      </c>
      <c r="K302">
        <v>38.35</v>
      </c>
    </row>
    <row r="303" spans="1:11" x14ac:dyDescent="0.25">
      <c r="A303" s="1" t="s">
        <v>10</v>
      </c>
      <c r="B303" s="1" t="s">
        <v>11</v>
      </c>
      <c r="C303" s="2">
        <v>44270</v>
      </c>
      <c r="D303">
        <v>38.049999999999997</v>
      </c>
      <c r="E303">
        <v>38.15</v>
      </c>
      <c r="F303">
        <v>37</v>
      </c>
      <c r="G303">
        <v>37.549999999999997</v>
      </c>
      <c r="H303">
        <v>8445</v>
      </c>
      <c r="I303">
        <v>132.5</v>
      </c>
      <c r="J303">
        <v>0.31</v>
      </c>
      <c r="K303">
        <v>37.6875</v>
      </c>
    </row>
    <row r="304" spans="1:11" x14ac:dyDescent="0.25">
      <c r="A304" s="1" t="s">
        <v>10</v>
      </c>
      <c r="B304" s="1" t="s">
        <v>11</v>
      </c>
      <c r="C304" s="2">
        <v>44271</v>
      </c>
      <c r="D304">
        <v>37.950000000000003</v>
      </c>
      <c r="E304">
        <v>38.65</v>
      </c>
      <c r="F304">
        <v>37.700000000000003</v>
      </c>
      <c r="G304">
        <v>38.450000000000003</v>
      </c>
      <c r="H304">
        <v>7947</v>
      </c>
      <c r="I304">
        <v>135.68</v>
      </c>
      <c r="J304">
        <v>0.31</v>
      </c>
      <c r="K304">
        <v>38.1875</v>
      </c>
    </row>
    <row r="305" spans="1:11" x14ac:dyDescent="0.25">
      <c r="A305" s="1" t="s">
        <v>10</v>
      </c>
      <c r="B305" s="1" t="s">
        <v>11</v>
      </c>
      <c r="C305" s="2">
        <v>44272</v>
      </c>
      <c r="D305">
        <v>38.9</v>
      </c>
      <c r="E305">
        <v>39.1</v>
      </c>
      <c r="F305">
        <v>37.5</v>
      </c>
      <c r="G305">
        <v>38.049999999999997</v>
      </c>
      <c r="H305">
        <v>20656</v>
      </c>
      <c r="I305">
        <v>134.27000000000001</v>
      </c>
      <c r="J305">
        <v>0.31</v>
      </c>
      <c r="K305">
        <v>38.387500000000003</v>
      </c>
    </row>
    <row r="306" spans="1:11" x14ac:dyDescent="0.25">
      <c r="A306" s="1" t="s">
        <v>10</v>
      </c>
      <c r="B306" s="1" t="s">
        <v>11</v>
      </c>
      <c r="C306" s="2">
        <v>44273</v>
      </c>
      <c r="D306">
        <v>36.5</v>
      </c>
      <c r="E306">
        <v>38</v>
      </c>
      <c r="F306">
        <v>36.4</v>
      </c>
      <c r="G306">
        <v>36.700000000000003</v>
      </c>
      <c r="H306">
        <v>15282</v>
      </c>
      <c r="I306">
        <v>129.5</v>
      </c>
      <c r="J306">
        <v>0.31</v>
      </c>
      <c r="K306">
        <v>36.9</v>
      </c>
    </row>
    <row r="307" spans="1:11" x14ac:dyDescent="0.25">
      <c r="A307" s="1" t="s">
        <v>10</v>
      </c>
      <c r="B307" s="1" t="s">
        <v>11</v>
      </c>
      <c r="C307" s="2">
        <v>44274</v>
      </c>
      <c r="D307">
        <v>36</v>
      </c>
      <c r="E307">
        <v>36.299999999999997</v>
      </c>
      <c r="F307">
        <v>33.4</v>
      </c>
      <c r="G307">
        <v>35.700000000000003</v>
      </c>
      <c r="H307">
        <v>23384</v>
      </c>
      <c r="I307">
        <v>125.97</v>
      </c>
      <c r="J307">
        <v>0.31</v>
      </c>
      <c r="K307">
        <v>35.35</v>
      </c>
    </row>
    <row r="308" spans="1:11" x14ac:dyDescent="0.25">
      <c r="A308" s="1" t="s">
        <v>10</v>
      </c>
      <c r="B308" s="1" t="s">
        <v>11</v>
      </c>
      <c r="C308" s="2">
        <v>44277</v>
      </c>
      <c r="D308">
        <v>35.6</v>
      </c>
      <c r="E308">
        <v>36.799999999999997</v>
      </c>
      <c r="F308">
        <v>35.6</v>
      </c>
      <c r="G308">
        <v>36.1</v>
      </c>
      <c r="H308">
        <v>13848</v>
      </c>
      <c r="I308">
        <v>127.38</v>
      </c>
      <c r="J308">
        <v>0.31</v>
      </c>
      <c r="K308">
        <v>36.024999999999999</v>
      </c>
    </row>
    <row r="309" spans="1:11" x14ac:dyDescent="0.25">
      <c r="A309" s="1" t="s">
        <v>10</v>
      </c>
      <c r="B309" s="1" t="s">
        <v>11</v>
      </c>
      <c r="C309" s="2">
        <v>44278</v>
      </c>
      <c r="D309">
        <v>36.450000000000003</v>
      </c>
      <c r="E309">
        <v>36.5</v>
      </c>
      <c r="F309">
        <v>36</v>
      </c>
      <c r="G309">
        <v>36.15</v>
      </c>
      <c r="H309">
        <v>4233</v>
      </c>
      <c r="I309">
        <v>127.56</v>
      </c>
      <c r="J309">
        <v>0.31</v>
      </c>
      <c r="K309">
        <v>36.274999999999999</v>
      </c>
    </row>
    <row r="310" spans="1:11" x14ac:dyDescent="0.25">
      <c r="A310" s="1" t="s">
        <v>10</v>
      </c>
      <c r="B310" s="1" t="s">
        <v>11</v>
      </c>
      <c r="C310" s="2">
        <v>44279</v>
      </c>
      <c r="D310">
        <v>36.5</v>
      </c>
      <c r="E310">
        <v>36.5</v>
      </c>
      <c r="F310">
        <v>34.85</v>
      </c>
      <c r="G310">
        <v>35.25</v>
      </c>
      <c r="H310">
        <v>2479</v>
      </c>
      <c r="I310">
        <v>124.38</v>
      </c>
      <c r="J310">
        <v>0.31</v>
      </c>
      <c r="K310">
        <v>35.774999999999999</v>
      </c>
    </row>
    <row r="311" spans="1:11" x14ac:dyDescent="0.25">
      <c r="A311" s="1" t="s">
        <v>10</v>
      </c>
      <c r="B311" s="1" t="s">
        <v>11</v>
      </c>
      <c r="C311" s="2">
        <v>44280</v>
      </c>
      <c r="D311">
        <v>33.15</v>
      </c>
      <c r="E311">
        <v>35.200000000000003</v>
      </c>
      <c r="F311">
        <v>33.15</v>
      </c>
      <c r="G311">
        <v>33.9</v>
      </c>
      <c r="H311">
        <v>15726</v>
      </c>
      <c r="I311">
        <v>119.62</v>
      </c>
      <c r="J311">
        <v>0.31</v>
      </c>
      <c r="K311">
        <v>33.85</v>
      </c>
    </row>
    <row r="312" spans="1:11" x14ac:dyDescent="0.25">
      <c r="A312" s="1" t="s">
        <v>10</v>
      </c>
      <c r="B312" s="1" t="s">
        <v>11</v>
      </c>
      <c r="C312" s="2">
        <v>44281</v>
      </c>
      <c r="D312">
        <v>34.9</v>
      </c>
      <c r="E312">
        <v>35</v>
      </c>
      <c r="F312">
        <v>34.5</v>
      </c>
      <c r="G312">
        <v>34.5</v>
      </c>
      <c r="H312">
        <v>5032</v>
      </c>
      <c r="I312">
        <v>121.74</v>
      </c>
      <c r="J312">
        <v>0.31</v>
      </c>
      <c r="K312">
        <v>34.725000000000001</v>
      </c>
    </row>
    <row r="313" spans="1:11" x14ac:dyDescent="0.25">
      <c r="A313" s="1" t="s">
        <v>10</v>
      </c>
      <c r="B313" s="1" t="s">
        <v>11</v>
      </c>
      <c r="C313" s="2">
        <v>44285</v>
      </c>
      <c r="D313">
        <v>35.200000000000003</v>
      </c>
      <c r="E313">
        <v>35.700000000000003</v>
      </c>
      <c r="F313">
        <v>34.6</v>
      </c>
      <c r="G313">
        <v>35.049999999999997</v>
      </c>
      <c r="H313">
        <v>6075</v>
      </c>
      <c r="I313">
        <v>123.68</v>
      </c>
      <c r="J313">
        <v>0.31</v>
      </c>
      <c r="K313">
        <v>35.137500000000003</v>
      </c>
    </row>
    <row r="314" spans="1:11" x14ac:dyDescent="0.25">
      <c r="A314" s="1" t="s">
        <v>10</v>
      </c>
      <c r="B314" s="1" t="s">
        <v>11</v>
      </c>
      <c r="C314" s="2">
        <v>44286</v>
      </c>
      <c r="D314">
        <v>33.1</v>
      </c>
      <c r="E314">
        <v>35.75</v>
      </c>
      <c r="F314">
        <v>33.1</v>
      </c>
      <c r="G314">
        <v>35.200000000000003</v>
      </c>
      <c r="H314">
        <v>12355</v>
      </c>
      <c r="I314">
        <v>124.21</v>
      </c>
      <c r="J314">
        <v>0.31</v>
      </c>
      <c r="K314">
        <v>34.287500000000001</v>
      </c>
    </row>
    <row r="315" spans="1:11" x14ac:dyDescent="0.25">
      <c r="A315" s="1" t="s">
        <v>10</v>
      </c>
      <c r="B315" s="1" t="s">
        <v>11</v>
      </c>
      <c r="C315" s="2">
        <v>44287</v>
      </c>
      <c r="D315">
        <v>35.9</v>
      </c>
      <c r="E315">
        <v>35.9</v>
      </c>
      <c r="F315">
        <v>34.700000000000003</v>
      </c>
      <c r="G315">
        <v>35.5</v>
      </c>
      <c r="H315">
        <v>8642</v>
      </c>
      <c r="I315">
        <v>125.27</v>
      </c>
      <c r="J315">
        <v>0.31</v>
      </c>
      <c r="K315">
        <v>35.5</v>
      </c>
    </row>
    <row r="316" spans="1:11" x14ac:dyDescent="0.25">
      <c r="A316" s="1" t="s">
        <v>10</v>
      </c>
      <c r="B316" s="1" t="s">
        <v>11</v>
      </c>
      <c r="C316" s="2">
        <v>44291</v>
      </c>
      <c r="D316">
        <v>36.85</v>
      </c>
      <c r="E316">
        <v>36.85</v>
      </c>
      <c r="F316">
        <v>34.1</v>
      </c>
      <c r="G316">
        <v>35.299999999999997</v>
      </c>
      <c r="H316">
        <v>8276</v>
      </c>
      <c r="I316">
        <v>124.56</v>
      </c>
      <c r="J316">
        <v>0.31</v>
      </c>
      <c r="K316">
        <v>35.774999999999999</v>
      </c>
    </row>
    <row r="317" spans="1:11" x14ac:dyDescent="0.25">
      <c r="A317" s="1" t="s">
        <v>10</v>
      </c>
      <c r="B317" s="1" t="s">
        <v>11</v>
      </c>
      <c r="C317" s="2">
        <v>44292</v>
      </c>
      <c r="D317">
        <v>36.5</v>
      </c>
      <c r="E317">
        <v>37.35</v>
      </c>
      <c r="F317">
        <v>34.75</v>
      </c>
      <c r="G317">
        <v>35.5</v>
      </c>
      <c r="H317">
        <v>17657</v>
      </c>
      <c r="I317">
        <v>125.27</v>
      </c>
      <c r="J317">
        <v>0.31</v>
      </c>
      <c r="K317">
        <v>36.024999999999999</v>
      </c>
    </row>
    <row r="318" spans="1:11" x14ac:dyDescent="0.25">
      <c r="A318" s="1" t="s">
        <v>10</v>
      </c>
      <c r="B318" s="1" t="s">
        <v>11</v>
      </c>
      <c r="C318" s="2">
        <v>44293</v>
      </c>
      <c r="D318">
        <v>35.4</v>
      </c>
      <c r="E318">
        <v>37.450000000000003</v>
      </c>
      <c r="F318">
        <v>35.4</v>
      </c>
      <c r="G318">
        <v>36.9</v>
      </c>
      <c r="H318">
        <v>18890</v>
      </c>
      <c r="I318">
        <v>130.21</v>
      </c>
      <c r="J318">
        <v>0.31</v>
      </c>
      <c r="K318">
        <v>36.287500000000001</v>
      </c>
    </row>
    <row r="319" spans="1:11" x14ac:dyDescent="0.25">
      <c r="A319" s="1" t="s">
        <v>10</v>
      </c>
      <c r="B319" s="1" t="s">
        <v>11</v>
      </c>
      <c r="C319" s="2">
        <v>44294</v>
      </c>
      <c r="D319">
        <v>37.4</v>
      </c>
      <c r="E319">
        <v>38.9</v>
      </c>
      <c r="F319">
        <v>37.299999999999997</v>
      </c>
      <c r="G319">
        <v>37.6</v>
      </c>
      <c r="H319">
        <v>19084</v>
      </c>
      <c r="I319">
        <v>132.68</v>
      </c>
      <c r="J319">
        <v>0.31</v>
      </c>
      <c r="K319">
        <v>37.799999999999997</v>
      </c>
    </row>
    <row r="320" spans="1:11" x14ac:dyDescent="0.25">
      <c r="A320" s="1" t="s">
        <v>10</v>
      </c>
      <c r="B320" s="1" t="s">
        <v>11</v>
      </c>
      <c r="C320" s="2">
        <v>44295</v>
      </c>
      <c r="D320">
        <v>38</v>
      </c>
      <c r="E320">
        <v>38.15</v>
      </c>
      <c r="F320">
        <v>35.5</v>
      </c>
      <c r="G320">
        <v>37.25</v>
      </c>
      <c r="H320">
        <v>6778</v>
      </c>
      <c r="I320">
        <v>131.44</v>
      </c>
      <c r="J320">
        <v>0.31</v>
      </c>
      <c r="K320">
        <v>37.225000000000001</v>
      </c>
    </row>
    <row r="321" spans="1:11" x14ac:dyDescent="0.25">
      <c r="A321" s="1" t="s">
        <v>10</v>
      </c>
      <c r="B321" s="1" t="s">
        <v>11</v>
      </c>
      <c r="C321" s="2">
        <v>44298</v>
      </c>
      <c r="D321">
        <v>36.5</v>
      </c>
      <c r="E321">
        <v>36.5</v>
      </c>
      <c r="F321">
        <v>33.700000000000003</v>
      </c>
      <c r="G321">
        <v>35.299999999999997</v>
      </c>
      <c r="H321">
        <v>2256</v>
      </c>
      <c r="I321">
        <v>124.56</v>
      </c>
      <c r="J321">
        <v>0.31</v>
      </c>
      <c r="K321">
        <v>35.5</v>
      </c>
    </row>
    <row r="322" spans="1:11" x14ac:dyDescent="0.25">
      <c r="A322" s="1" t="s">
        <v>10</v>
      </c>
      <c r="B322" s="1" t="s">
        <v>11</v>
      </c>
      <c r="C322" s="2">
        <v>44299</v>
      </c>
      <c r="D322">
        <v>35.6</v>
      </c>
      <c r="E322">
        <v>36.75</v>
      </c>
      <c r="F322">
        <v>35</v>
      </c>
      <c r="G322">
        <v>36.25</v>
      </c>
      <c r="H322">
        <v>6869</v>
      </c>
      <c r="I322">
        <v>127.91</v>
      </c>
      <c r="J322">
        <v>0.31</v>
      </c>
      <c r="K322">
        <v>35.9</v>
      </c>
    </row>
    <row r="323" spans="1:11" x14ac:dyDescent="0.25">
      <c r="A323" s="1" t="s">
        <v>10</v>
      </c>
      <c r="B323" s="1" t="s">
        <v>11</v>
      </c>
      <c r="C323" s="2">
        <v>44301</v>
      </c>
      <c r="D323">
        <v>37</v>
      </c>
      <c r="E323">
        <v>37</v>
      </c>
      <c r="F323">
        <v>36</v>
      </c>
      <c r="G323">
        <v>36.049999999999997</v>
      </c>
      <c r="H323">
        <v>3363</v>
      </c>
      <c r="I323">
        <v>127.21</v>
      </c>
      <c r="J323">
        <v>0.31</v>
      </c>
      <c r="K323">
        <v>36.512500000000003</v>
      </c>
    </row>
    <row r="324" spans="1:11" x14ac:dyDescent="0.25">
      <c r="A324" s="1" t="s">
        <v>10</v>
      </c>
      <c r="B324" s="1" t="s">
        <v>11</v>
      </c>
      <c r="C324" s="2">
        <v>44302</v>
      </c>
      <c r="D324">
        <v>36.15</v>
      </c>
      <c r="E324">
        <v>36.4</v>
      </c>
      <c r="F324">
        <v>36</v>
      </c>
      <c r="G324">
        <v>36.049999999999997</v>
      </c>
      <c r="H324">
        <v>1076</v>
      </c>
      <c r="I324">
        <v>127.21</v>
      </c>
      <c r="J324">
        <v>0.31</v>
      </c>
      <c r="K324">
        <v>36.15</v>
      </c>
    </row>
    <row r="325" spans="1:11" x14ac:dyDescent="0.25">
      <c r="A325" s="1" t="s">
        <v>10</v>
      </c>
      <c r="B325" s="1" t="s">
        <v>11</v>
      </c>
      <c r="C325" s="2">
        <v>44305</v>
      </c>
      <c r="D325">
        <v>36</v>
      </c>
      <c r="E325">
        <v>36</v>
      </c>
      <c r="F325">
        <v>34</v>
      </c>
      <c r="G325">
        <v>34.85</v>
      </c>
      <c r="H325">
        <v>1717</v>
      </c>
      <c r="I325">
        <v>122.97</v>
      </c>
      <c r="J325">
        <v>0.31</v>
      </c>
      <c r="K325">
        <v>35.212499999999999</v>
      </c>
    </row>
    <row r="326" spans="1:11" x14ac:dyDescent="0.25">
      <c r="A326" s="1" t="s">
        <v>10</v>
      </c>
      <c r="B326" s="1" t="s">
        <v>11</v>
      </c>
      <c r="C326" s="2">
        <v>44306</v>
      </c>
      <c r="D326">
        <v>34.15</v>
      </c>
      <c r="E326">
        <v>36.200000000000003</v>
      </c>
      <c r="F326">
        <v>34.15</v>
      </c>
      <c r="G326">
        <v>35.25</v>
      </c>
      <c r="H326">
        <v>2883</v>
      </c>
      <c r="I326">
        <v>124.38</v>
      </c>
      <c r="J326">
        <v>0.31</v>
      </c>
      <c r="K326">
        <v>34.9375</v>
      </c>
    </row>
    <row r="327" spans="1:11" x14ac:dyDescent="0.25">
      <c r="A327" s="1" t="s">
        <v>10</v>
      </c>
      <c r="B327" s="1" t="s">
        <v>11</v>
      </c>
      <c r="C327" s="2">
        <v>44308</v>
      </c>
      <c r="D327">
        <v>36.1</v>
      </c>
      <c r="E327">
        <v>36.4</v>
      </c>
      <c r="F327">
        <v>35.6</v>
      </c>
      <c r="G327">
        <v>36.1</v>
      </c>
      <c r="H327">
        <v>1465</v>
      </c>
      <c r="I327">
        <v>127.38</v>
      </c>
      <c r="J327">
        <v>0.31</v>
      </c>
      <c r="K327">
        <v>36.049999999999997</v>
      </c>
    </row>
    <row r="328" spans="1:11" x14ac:dyDescent="0.25">
      <c r="A328" s="1" t="s">
        <v>10</v>
      </c>
      <c r="B328" s="1" t="s">
        <v>11</v>
      </c>
      <c r="C328" s="2">
        <v>44309</v>
      </c>
      <c r="D328">
        <v>36.1</v>
      </c>
      <c r="E328">
        <v>36.549999999999997</v>
      </c>
      <c r="F328">
        <v>29.25</v>
      </c>
      <c r="G328">
        <v>36.25</v>
      </c>
      <c r="H328">
        <v>33430</v>
      </c>
      <c r="I328">
        <v>127.91</v>
      </c>
      <c r="J328">
        <v>0.31</v>
      </c>
      <c r="K328">
        <v>34.537500000000001</v>
      </c>
    </row>
    <row r="329" spans="1:11" x14ac:dyDescent="0.25">
      <c r="A329" s="1" t="s">
        <v>10</v>
      </c>
      <c r="B329" s="1" t="s">
        <v>11</v>
      </c>
      <c r="C329" s="2">
        <v>44312</v>
      </c>
      <c r="D329">
        <v>36.299999999999997</v>
      </c>
      <c r="E329">
        <v>36.799999999999997</v>
      </c>
      <c r="F329">
        <v>36</v>
      </c>
      <c r="G329">
        <v>36.299999999999997</v>
      </c>
      <c r="H329">
        <v>2017</v>
      </c>
      <c r="I329">
        <v>128.09</v>
      </c>
      <c r="J329">
        <v>0.31</v>
      </c>
      <c r="K329">
        <v>36.35</v>
      </c>
    </row>
    <row r="330" spans="1:11" x14ac:dyDescent="0.25">
      <c r="A330" s="1" t="s">
        <v>10</v>
      </c>
      <c r="B330" s="1" t="s">
        <v>11</v>
      </c>
      <c r="C330" s="2">
        <v>44313</v>
      </c>
      <c r="D330">
        <v>36.450000000000003</v>
      </c>
      <c r="E330">
        <v>37.4</v>
      </c>
      <c r="F330">
        <v>36.1</v>
      </c>
      <c r="G330">
        <v>37.1</v>
      </c>
      <c r="H330">
        <v>9738</v>
      </c>
      <c r="I330">
        <v>130.91</v>
      </c>
      <c r="J330">
        <v>0.31</v>
      </c>
      <c r="K330">
        <v>36.762500000000003</v>
      </c>
    </row>
    <row r="331" spans="1:11" x14ac:dyDescent="0.25">
      <c r="A331" s="1" t="s">
        <v>10</v>
      </c>
      <c r="B331" s="1" t="s">
        <v>11</v>
      </c>
      <c r="C331" s="2">
        <v>44314</v>
      </c>
      <c r="D331">
        <v>37.1</v>
      </c>
      <c r="E331">
        <v>37.950000000000003</v>
      </c>
      <c r="F331">
        <v>36.5</v>
      </c>
      <c r="G331">
        <v>37.549999999999997</v>
      </c>
      <c r="H331">
        <v>8937</v>
      </c>
      <c r="I331">
        <v>132.5</v>
      </c>
      <c r="J331">
        <v>0.31</v>
      </c>
      <c r="K331">
        <v>37.274999999999999</v>
      </c>
    </row>
    <row r="332" spans="1:11" x14ac:dyDescent="0.25">
      <c r="A332" s="1" t="s">
        <v>10</v>
      </c>
      <c r="B332" s="1" t="s">
        <v>11</v>
      </c>
      <c r="C332" s="2">
        <v>44315</v>
      </c>
      <c r="D332">
        <v>38.299999999999997</v>
      </c>
      <c r="E332">
        <v>41.5</v>
      </c>
      <c r="F332">
        <v>37</v>
      </c>
      <c r="G332">
        <v>39.35</v>
      </c>
      <c r="H332">
        <v>10983</v>
      </c>
      <c r="I332">
        <v>138.85</v>
      </c>
      <c r="J332">
        <v>0.31</v>
      </c>
      <c r="K332">
        <v>39.037500000000001</v>
      </c>
    </row>
    <row r="333" spans="1:11" x14ac:dyDescent="0.25">
      <c r="A333" s="1" t="s">
        <v>10</v>
      </c>
      <c r="B333" s="1" t="s">
        <v>11</v>
      </c>
      <c r="C333" s="2">
        <v>44316</v>
      </c>
      <c r="D333">
        <v>39.049999999999997</v>
      </c>
      <c r="E333">
        <v>40.200000000000003</v>
      </c>
      <c r="F333">
        <v>37.75</v>
      </c>
      <c r="G333">
        <v>38.35</v>
      </c>
      <c r="H333">
        <v>30608</v>
      </c>
      <c r="I333">
        <v>135.32</v>
      </c>
      <c r="J333">
        <v>0.31</v>
      </c>
      <c r="K333">
        <v>38.837499999999999</v>
      </c>
    </row>
    <row r="334" spans="1:11" x14ac:dyDescent="0.25">
      <c r="A334" s="1" t="s">
        <v>10</v>
      </c>
      <c r="B334" s="1" t="s">
        <v>11</v>
      </c>
      <c r="C334" s="2">
        <v>44319</v>
      </c>
      <c r="D334">
        <v>38.25</v>
      </c>
      <c r="E334">
        <v>40.200000000000003</v>
      </c>
      <c r="F334">
        <v>37.85</v>
      </c>
      <c r="G334">
        <v>39.049999999999997</v>
      </c>
      <c r="H334">
        <v>26429</v>
      </c>
      <c r="I334">
        <v>137.79</v>
      </c>
      <c r="J334">
        <v>0.31</v>
      </c>
      <c r="K334">
        <v>38.837499999999999</v>
      </c>
    </row>
    <row r="335" spans="1:11" x14ac:dyDescent="0.25">
      <c r="A335" s="1" t="s">
        <v>10</v>
      </c>
      <c r="B335" s="1" t="s">
        <v>11</v>
      </c>
      <c r="C335" s="2">
        <v>44320</v>
      </c>
      <c r="D335">
        <v>41.45</v>
      </c>
      <c r="E335">
        <v>41.45</v>
      </c>
      <c r="F335">
        <v>37.450000000000003</v>
      </c>
      <c r="G335">
        <v>37.950000000000003</v>
      </c>
      <c r="H335">
        <v>23583</v>
      </c>
      <c r="I335">
        <v>133.91</v>
      </c>
      <c r="J335">
        <v>0.31</v>
      </c>
      <c r="K335">
        <v>39.575000000000003</v>
      </c>
    </row>
    <row r="336" spans="1:11" x14ac:dyDescent="0.25">
      <c r="A336" s="1" t="s">
        <v>10</v>
      </c>
      <c r="B336" s="1" t="s">
        <v>11</v>
      </c>
      <c r="C336" s="2">
        <v>44321</v>
      </c>
      <c r="D336">
        <v>38.5</v>
      </c>
      <c r="E336">
        <v>40</v>
      </c>
      <c r="F336">
        <v>37.799999999999997</v>
      </c>
      <c r="G336">
        <v>38.5</v>
      </c>
      <c r="H336">
        <v>7513</v>
      </c>
      <c r="I336">
        <v>135.85</v>
      </c>
      <c r="J336">
        <v>0.31</v>
      </c>
      <c r="K336">
        <v>38.700000000000003</v>
      </c>
    </row>
    <row r="337" spans="1:11" x14ac:dyDescent="0.25">
      <c r="A337" s="1" t="s">
        <v>10</v>
      </c>
      <c r="B337" s="1" t="s">
        <v>11</v>
      </c>
      <c r="C337" s="2">
        <v>44322</v>
      </c>
      <c r="D337">
        <v>38.5</v>
      </c>
      <c r="E337">
        <v>40.15</v>
      </c>
      <c r="F337">
        <v>37.25</v>
      </c>
      <c r="G337">
        <v>39.5</v>
      </c>
      <c r="H337">
        <v>34242</v>
      </c>
      <c r="I337">
        <v>139.38</v>
      </c>
      <c r="J337">
        <v>0.31</v>
      </c>
      <c r="K337">
        <v>38.85</v>
      </c>
    </row>
    <row r="338" spans="1:11" x14ac:dyDescent="0.25">
      <c r="A338" s="1" t="s">
        <v>10</v>
      </c>
      <c r="B338" s="1" t="s">
        <v>11</v>
      </c>
      <c r="C338" s="2">
        <v>44323</v>
      </c>
      <c r="D338">
        <v>40.299999999999997</v>
      </c>
      <c r="E338">
        <v>40.299999999999997</v>
      </c>
      <c r="F338">
        <v>38.5</v>
      </c>
      <c r="G338">
        <v>39.6</v>
      </c>
      <c r="H338">
        <v>9856</v>
      </c>
      <c r="I338">
        <v>139.72999999999999</v>
      </c>
      <c r="J338">
        <v>0.31</v>
      </c>
      <c r="K338">
        <v>39.674999999999997</v>
      </c>
    </row>
    <row r="339" spans="1:11" x14ac:dyDescent="0.25">
      <c r="A339" s="1" t="s">
        <v>10</v>
      </c>
      <c r="B339" s="1" t="s">
        <v>11</v>
      </c>
      <c r="C339" s="2">
        <v>44326</v>
      </c>
      <c r="D339">
        <v>40.5</v>
      </c>
      <c r="E339">
        <v>47.5</v>
      </c>
      <c r="F339">
        <v>39.700000000000003</v>
      </c>
      <c r="G339">
        <v>46.85</v>
      </c>
      <c r="H339">
        <v>143276</v>
      </c>
      <c r="I339">
        <v>165.32</v>
      </c>
      <c r="J339">
        <v>0.31</v>
      </c>
      <c r="K339">
        <v>43.637500000000003</v>
      </c>
    </row>
    <row r="340" spans="1:11" x14ac:dyDescent="0.25">
      <c r="A340" s="1" t="s">
        <v>10</v>
      </c>
      <c r="B340" s="1" t="s">
        <v>11</v>
      </c>
      <c r="C340" s="2">
        <v>44327</v>
      </c>
      <c r="D340">
        <v>46.85</v>
      </c>
      <c r="E340">
        <v>50</v>
      </c>
      <c r="F340">
        <v>45.8</v>
      </c>
      <c r="G340">
        <v>46.8</v>
      </c>
      <c r="H340">
        <v>121216</v>
      </c>
      <c r="I340">
        <v>165.14</v>
      </c>
      <c r="J340">
        <v>0.31</v>
      </c>
      <c r="K340">
        <v>47.362499999999997</v>
      </c>
    </row>
    <row r="341" spans="1:11" x14ac:dyDescent="0.25">
      <c r="A341" s="1" t="s">
        <v>10</v>
      </c>
      <c r="B341" s="1" t="s">
        <v>11</v>
      </c>
      <c r="C341" s="2">
        <v>44328</v>
      </c>
      <c r="D341">
        <v>47.5</v>
      </c>
      <c r="E341">
        <v>48.5</v>
      </c>
      <c r="F341">
        <v>43</v>
      </c>
      <c r="G341">
        <v>47.1</v>
      </c>
      <c r="H341">
        <v>96030</v>
      </c>
      <c r="I341">
        <v>166.2</v>
      </c>
      <c r="J341">
        <v>0.31</v>
      </c>
      <c r="K341">
        <v>46.524999999999999</v>
      </c>
    </row>
    <row r="342" spans="1:11" x14ac:dyDescent="0.25">
      <c r="A342" s="1" t="s">
        <v>10</v>
      </c>
      <c r="B342" s="1" t="s">
        <v>11</v>
      </c>
      <c r="C342" s="2">
        <v>44330</v>
      </c>
      <c r="D342">
        <v>47.1</v>
      </c>
      <c r="E342">
        <v>48.05</v>
      </c>
      <c r="F342">
        <v>45.1</v>
      </c>
      <c r="G342">
        <v>47</v>
      </c>
      <c r="H342">
        <v>66003</v>
      </c>
      <c r="I342">
        <v>165.85</v>
      </c>
      <c r="J342">
        <v>0.31</v>
      </c>
      <c r="K342">
        <v>46.8125</v>
      </c>
    </row>
    <row r="343" spans="1:11" x14ac:dyDescent="0.25">
      <c r="A343" s="1" t="s">
        <v>10</v>
      </c>
      <c r="B343" s="1" t="s">
        <v>11</v>
      </c>
      <c r="C343" s="2">
        <v>44333</v>
      </c>
      <c r="D343">
        <v>48</v>
      </c>
      <c r="E343">
        <v>51.3</v>
      </c>
      <c r="F343">
        <v>47</v>
      </c>
      <c r="G343">
        <v>48.95</v>
      </c>
      <c r="H343">
        <v>56342</v>
      </c>
      <c r="I343">
        <v>172.73</v>
      </c>
      <c r="J343">
        <v>0.31</v>
      </c>
      <c r="K343">
        <v>48.8125</v>
      </c>
    </row>
    <row r="344" spans="1:11" x14ac:dyDescent="0.25">
      <c r="A344" s="1" t="s">
        <v>10</v>
      </c>
      <c r="B344" s="1" t="s">
        <v>11</v>
      </c>
      <c r="C344" s="2">
        <v>44334</v>
      </c>
      <c r="D344">
        <v>49.95</v>
      </c>
      <c r="E344">
        <v>58.7</v>
      </c>
      <c r="F344">
        <v>47.85</v>
      </c>
      <c r="G344">
        <v>57.15</v>
      </c>
      <c r="H344">
        <v>474561</v>
      </c>
      <c r="I344">
        <v>201.66</v>
      </c>
      <c r="J344">
        <v>0.31</v>
      </c>
      <c r="K344">
        <v>53.412500000000001</v>
      </c>
    </row>
    <row r="345" spans="1:11" x14ac:dyDescent="0.25">
      <c r="A345" s="1" t="s">
        <v>10</v>
      </c>
      <c r="B345" s="1" t="s">
        <v>11</v>
      </c>
      <c r="C345" s="2">
        <v>44335</v>
      </c>
      <c r="D345">
        <v>55.55</v>
      </c>
      <c r="E345">
        <v>56.85</v>
      </c>
      <c r="F345">
        <v>53.1</v>
      </c>
      <c r="G345">
        <v>54.6</v>
      </c>
      <c r="H345">
        <v>116594</v>
      </c>
      <c r="I345">
        <v>192.66</v>
      </c>
      <c r="J345">
        <v>0.31</v>
      </c>
      <c r="K345">
        <v>55.024999999999999</v>
      </c>
    </row>
    <row r="346" spans="1:11" x14ac:dyDescent="0.25">
      <c r="A346" s="1" t="s">
        <v>10</v>
      </c>
      <c r="B346" s="1" t="s">
        <v>11</v>
      </c>
      <c r="C346" s="2">
        <v>44336</v>
      </c>
      <c r="D346">
        <v>55.9</v>
      </c>
      <c r="E346">
        <v>65.5</v>
      </c>
      <c r="F346">
        <v>55.8</v>
      </c>
      <c r="G346">
        <v>65.3</v>
      </c>
      <c r="H346">
        <v>253252</v>
      </c>
      <c r="I346">
        <v>230.42</v>
      </c>
      <c r="J346">
        <v>0.31</v>
      </c>
      <c r="K346">
        <v>60.625</v>
      </c>
    </row>
    <row r="347" spans="1:11" x14ac:dyDescent="0.25">
      <c r="A347" s="1" t="s">
        <v>10</v>
      </c>
      <c r="B347" s="1" t="s">
        <v>11</v>
      </c>
      <c r="C347" s="2">
        <v>44337</v>
      </c>
      <c r="D347">
        <v>66.05</v>
      </c>
      <c r="E347">
        <v>68.2</v>
      </c>
      <c r="F347">
        <v>61.65</v>
      </c>
      <c r="G347">
        <v>62.75</v>
      </c>
      <c r="H347">
        <v>234022</v>
      </c>
      <c r="I347">
        <v>221.42</v>
      </c>
      <c r="J347">
        <v>0.31</v>
      </c>
      <c r="K347">
        <v>64.662499999999994</v>
      </c>
    </row>
    <row r="348" spans="1:11" x14ac:dyDescent="0.25">
      <c r="A348" s="1" t="s">
        <v>10</v>
      </c>
      <c r="B348" s="1" t="s">
        <v>11</v>
      </c>
      <c r="C348" s="2">
        <v>44340</v>
      </c>
      <c r="D348">
        <v>64.05</v>
      </c>
      <c r="E348">
        <v>69</v>
      </c>
      <c r="F348">
        <v>63</v>
      </c>
      <c r="G348">
        <v>69</v>
      </c>
      <c r="H348">
        <v>155752</v>
      </c>
      <c r="I348">
        <v>243.48</v>
      </c>
      <c r="J348">
        <v>0.31</v>
      </c>
      <c r="K348">
        <v>66.262500000000003</v>
      </c>
    </row>
    <row r="349" spans="1:11" x14ac:dyDescent="0.25">
      <c r="A349" s="1" t="s">
        <v>10</v>
      </c>
      <c r="B349" s="1" t="s">
        <v>11</v>
      </c>
      <c r="C349" s="2">
        <v>44341</v>
      </c>
      <c r="D349">
        <v>71.75</v>
      </c>
      <c r="E349">
        <v>74.8</v>
      </c>
      <c r="F349">
        <v>68.400000000000006</v>
      </c>
      <c r="G349">
        <v>69.95</v>
      </c>
      <c r="H349">
        <v>179063</v>
      </c>
      <c r="I349">
        <v>246.83</v>
      </c>
      <c r="J349">
        <v>0.31</v>
      </c>
      <c r="K349">
        <v>71.224999999999994</v>
      </c>
    </row>
    <row r="350" spans="1:11" x14ac:dyDescent="0.25">
      <c r="A350" s="1" t="s">
        <v>10</v>
      </c>
      <c r="B350" s="1" t="s">
        <v>11</v>
      </c>
      <c r="C350" s="2">
        <v>44342</v>
      </c>
      <c r="D350">
        <v>72.75</v>
      </c>
      <c r="E350">
        <v>72.900000000000006</v>
      </c>
      <c r="F350">
        <v>67.55</v>
      </c>
      <c r="G350">
        <v>68.25</v>
      </c>
      <c r="H350">
        <v>94579</v>
      </c>
      <c r="I350">
        <v>240.83</v>
      </c>
      <c r="J350">
        <v>0.31</v>
      </c>
      <c r="K350">
        <v>70.362499999999997</v>
      </c>
    </row>
    <row r="351" spans="1:11" x14ac:dyDescent="0.25">
      <c r="A351" s="1" t="s">
        <v>10</v>
      </c>
      <c r="B351" s="1" t="s">
        <v>11</v>
      </c>
      <c r="C351" s="2">
        <v>44343</v>
      </c>
      <c r="D351">
        <v>70.900000000000006</v>
      </c>
      <c r="E351">
        <v>70.900000000000006</v>
      </c>
      <c r="F351">
        <v>66.05</v>
      </c>
      <c r="G351">
        <v>67.900000000000006</v>
      </c>
      <c r="H351">
        <v>66235</v>
      </c>
      <c r="I351">
        <v>239.6</v>
      </c>
      <c r="J351">
        <v>0.31</v>
      </c>
      <c r="K351">
        <v>68.9375</v>
      </c>
    </row>
    <row r="352" spans="1:11" x14ac:dyDescent="0.25">
      <c r="A352" s="1" t="s">
        <v>10</v>
      </c>
      <c r="B352" s="1" t="s">
        <v>11</v>
      </c>
      <c r="C352" s="2">
        <v>44344</v>
      </c>
      <c r="D352">
        <v>69.55</v>
      </c>
      <c r="E352">
        <v>69.55</v>
      </c>
      <c r="F352">
        <v>62.5</v>
      </c>
      <c r="G352">
        <v>63.65</v>
      </c>
      <c r="H352">
        <v>60769</v>
      </c>
      <c r="I352">
        <v>224.6</v>
      </c>
      <c r="J352">
        <v>0.31</v>
      </c>
      <c r="K352">
        <v>66.3125</v>
      </c>
    </row>
    <row r="353" spans="1:11" x14ac:dyDescent="0.25">
      <c r="A353" s="1" t="s">
        <v>10</v>
      </c>
      <c r="B353" s="1" t="s">
        <v>11</v>
      </c>
      <c r="C353" s="2">
        <v>44347</v>
      </c>
      <c r="D353">
        <v>65.25</v>
      </c>
      <c r="E353">
        <v>66.400000000000006</v>
      </c>
      <c r="F353">
        <v>63</v>
      </c>
      <c r="G353">
        <v>64.2</v>
      </c>
      <c r="H353">
        <v>24050</v>
      </c>
      <c r="I353">
        <v>226.54</v>
      </c>
      <c r="J353">
        <v>0.31</v>
      </c>
      <c r="K353">
        <v>64.712500000000006</v>
      </c>
    </row>
    <row r="354" spans="1:11" x14ac:dyDescent="0.25">
      <c r="A354" s="1" t="s">
        <v>10</v>
      </c>
      <c r="B354" s="1" t="s">
        <v>11</v>
      </c>
      <c r="C354" s="2">
        <v>44348</v>
      </c>
      <c r="D354">
        <v>64</v>
      </c>
      <c r="E354">
        <v>65</v>
      </c>
      <c r="F354">
        <v>58.75</v>
      </c>
      <c r="G354">
        <v>59.35</v>
      </c>
      <c r="H354">
        <v>77333</v>
      </c>
      <c r="I354">
        <v>209.43</v>
      </c>
      <c r="J354">
        <v>0.31</v>
      </c>
      <c r="K354">
        <v>61.774999999999999</v>
      </c>
    </row>
    <row r="355" spans="1:11" x14ac:dyDescent="0.25">
      <c r="A355" s="1" t="s">
        <v>10</v>
      </c>
      <c r="B355" s="1" t="s">
        <v>11</v>
      </c>
      <c r="C355" s="2">
        <v>44349</v>
      </c>
      <c r="D355">
        <v>59.35</v>
      </c>
      <c r="E355">
        <v>61.75</v>
      </c>
      <c r="F355">
        <v>59.35</v>
      </c>
      <c r="G355">
        <v>60.8</v>
      </c>
      <c r="H355">
        <v>71455</v>
      </c>
      <c r="I355">
        <v>214.54</v>
      </c>
      <c r="J355">
        <v>0.31</v>
      </c>
      <c r="K355">
        <v>60.3125</v>
      </c>
    </row>
    <row r="356" spans="1:11" x14ac:dyDescent="0.25">
      <c r="A356" s="1" t="s">
        <v>10</v>
      </c>
      <c r="B356" s="1" t="s">
        <v>11</v>
      </c>
      <c r="C356" s="2">
        <v>44350</v>
      </c>
      <c r="D356">
        <v>62</v>
      </c>
      <c r="E356">
        <v>64.400000000000006</v>
      </c>
      <c r="F356">
        <v>61.5</v>
      </c>
      <c r="G356">
        <v>62.65</v>
      </c>
      <c r="H356">
        <v>64552</v>
      </c>
      <c r="I356">
        <v>221.07</v>
      </c>
      <c r="J356">
        <v>0.31</v>
      </c>
      <c r="K356">
        <v>62.637500000000003</v>
      </c>
    </row>
    <row r="357" spans="1:11" x14ac:dyDescent="0.25">
      <c r="A357" s="1" t="s">
        <v>10</v>
      </c>
      <c r="B357" s="1" t="s">
        <v>11</v>
      </c>
      <c r="C357" s="2">
        <v>44351</v>
      </c>
      <c r="D357">
        <v>63.8</v>
      </c>
      <c r="E357">
        <v>64</v>
      </c>
      <c r="F357">
        <v>61.3</v>
      </c>
      <c r="G357">
        <v>61.75</v>
      </c>
      <c r="H357">
        <v>32870</v>
      </c>
      <c r="I357">
        <v>217.89</v>
      </c>
      <c r="J357">
        <v>0.31</v>
      </c>
      <c r="K357">
        <v>62.712499999999999</v>
      </c>
    </row>
    <row r="358" spans="1:11" x14ac:dyDescent="0.25">
      <c r="A358" s="1" t="s">
        <v>10</v>
      </c>
      <c r="B358" s="1" t="s">
        <v>11</v>
      </c>
      <c r="C358" s="2">
        <v>44354</v>
      </c>
      <c r="D358">
        <v>64</v>
      </c>
      <c r="E358">
        <v>64</v>
      </c>
      <c r="F358">
        <v>62.3</v>
      </c>
      <c r="G358">
        <v>63.4</v>
      </c>
      <c r="H358">
        <v>46666</v>
      </c>
      <c r="I358">
        <v>223.72</v>
      </c>
      <c r="J358">
        <v>0.31</v>
      </c>
      <c r="K358">
        <v>63.424999999999997</v>
      </c>
    </row>
    <row r="359" spans="1:11" x14ac:dyDescent="0.25">
      <c r="A359" s="1" t="s">
        <v>10</v>
      </c>
      <c r="B359" s="1" t="s">
        <v>11</v>
      </c>
      <c r="C359" s="2">
        <v>44355</v>
      </c>
      <c r="D359">
        <v>63.4</v>
      </c>
      <c r="E359">
        <v>69.45</v>
      </c>
      <c r="F359">
        <v>63.4</v>
      </c>
      <c r="G359">
        <v>65.849999999999994</v>
      </c>
      <c r="H359">
        <v>145236</v>
      </c>
      <c r="I359">
        <v>232.36</v>
      </c>
      <c r="J359">
        <v>0.31</v>
      </c>
      <c r="K359">
        <v>65.525000000000006</v>
      </c>
    </row>
    <row r="360" spans="1:11" x14ac:dyDescent="0.25">
      <c r="A360" s="1" t="s">
        <v>10</v>
      </c>
      <c r="B360" s="1" t="s">
        <v>11</v>
      </c>
      <c r="C360" s="2">
        <v>44356</v>
      </c>
      <c r="D360">
        <v>67.849999999999994</v>
      </c>
      <c r="E360">
        <v>69.849999999999994</v>
      </c>
      <c r="F360">
        <v>60.75</v>
      </c>
      <c r="G360">
        <v>62.65</v>
      </c>
      <c r="H360">
        <v>103192</v>
      </c>
      <c r="I360">
        <v>221.07</v>
      </c>
      <c r="J360">
        <v>0.31</v>
      </c>
      <c r="K360">
        <v>65.275000000000006</v>
      </c>
    </row>
    <row r="361" spans="1:11" x14ac:dyDescent="0.25">
      <c r="A361" s="1" t="s">
        <v>10</v>
      </c>
      <c r="B361" s="1" t="s">
        <v>11</v>
      </c>
      <c r="C361" s="2">
        <v>44357</v>
      </c>
      <c r="D361">
        <v>63.9</v>
      </c>
      <c r="E361">
        <v>66.349999999999994</v>
      </c>
      <c r="F361">
        <v>63.9</v>
      </c>
      <c r="G361">
        <v>65.099999999999994</v>
      </c>
      <c r="H361">
        <v>69677</v>
      </c>
      <c r="I361">
        <v>229.72</v>
      </c>
      <c r="J361">
        <v>0.31</v>
      </c>
      <c r="K361">
        <v>64.8125</v>
      </c>
    </row>
    <row r="362" spans="1:11" x14ac:dyDescent="0.25">
      <c r="A362" s="1" t="s">
        <v>10</v>
      </c>
      <c r="B362" s="1" t="s">
        <v>11</v>
      </c>
      <c r="C362" s="2">
        <v>44358</v>
      </c>
      <c r="D362">
        <v>66.900000000000006</v>
      </c>
      <c r="E362">
        <v>69.599999999999994</v>
      </c>
      <c r="F362">
        <v>65.2</v>
      </c>
      <c r="G362">
        <v>68.05</v>
      </c>
      <c r="H362">
        <v>116423</v>
      </c>
      <c r="I362">
        <v>240.12</v>
      </c>
      <c r="J362">
        <v>0.31</v>
      </c>
      <c r="K362">
        <v>67.4375</v>
      </c>
    </row>
    <row r="363" spans="1:11" x14ac:dyDescent="0.25">
      <c r="A363" s="1" t="s">
        <v>10</v>
      </c>
      <c r="B363" s="1" t="s">
        <v>11</v>
      </c>
      <c r="C363" s="2">
        <v>44361</v>
      </c>
      <c r="D363">
        <v>68.5</v>
      </c>
      <c r="E363">
        <v>68.900000000000006</v>
      </c>
      <c r="F363">
        <v>63.65</v>
      </c>
      <c r="G363">
        <v>66.8</v>
      </c>
      <c r="H363">
        <v>33526</v>
      </c>
      <c r="I363">
        <v>235.71</v>
      </c>
      <c r="J363">
        <v>0.31</v>
      </c>
      <c r="K363">
        <v>66.962500000000006</v>
      </c>
    </row>
    <row r="364" spans="1:11" x14ac:dyDescent="0.25">
      <c r="A364" s="1" t="s">
        <v>10</v>
      </c>
      <c r="B364" s="1" t="s">
        <v>11</v>
      </c>
      <c r="C364" s="2">
        <v>44362</v>
      </c>
      <c r="D364">
        <v>65.650000000000006</v>
      </c>
      <c r="E364">
        <v>69.8</v>
      </c>
      <c r="F364">
        <v>65.650000000000006</v>
      </c>
      <c r="G364">
        <v>67.150000000000006</v>
      </c>
      <c r="H364">
        <v>48952</v>
      </c>
      <c r="I364">
        <v>236.95</v>
      </c>
      <c r="J364">
        <v>0.31</v>
      </c>
      <c r="K364">
        <v>67.0625</v>
      </c>
    </row>
    <row r="365" spans="1:11" x14ac:dyDescent="0.25">
      <c r="A365" s="1" t="s">
        <v>10</v>
      </c>
      <c r="B365" s="1" t="s">
        <v>11</v>
      </c>
      <c r="C365" s="2">
        <v>44363</v>
      </c>
      <c r="D365">
        <v>68</v>
      </c>
      <c r="E365">
        <v>68.150000000000006</v>
      </c>
      <c r="F365">
        <v>65.099999999999994</v>
      </c>
      <c r="G365">
        <v>66.45</v>
      </c>
      <c r="H365">
        <v>28789</v>
      </c>
      <c r="I365">
        <v>234.48</v>
      </c>
      <c r="J365">
        <v>0.31</v>
      </c>
      <c r="K365">
        <v>66.924999999999997</v>
      </c>
    </row>
    <row r="366" spans="1:11" x14ac:dyDescent="0.25">
      <c r="A366" s="1" t="s">
        <v>10</v>
      </c>
      <c r="B366" s="1" t="s">
        <v>11</v>
      </c>
      <c r="C366" s="2">
        <v>44364</v>
      </c>
      <c r="D366">
        <v>62.1</v>
      </c>
      <c r="E366">
        <v>66.75</v>
      </c>
      <c r="F366">
        <v>62.1</v>
      </c>
      <c r="G366">
        <v>64.349999999999994</v>
      </c>
      <c r="H366">
        <v>32957</v>
      </c>
      <c r="I366">
        <v>227.07</v>
      </c>
      <c r="J366">
        <v>0.31</v>
      </c>
      <c r="K366">
        <v>63.825000000000003</v>
      </c>
    </row>
    <row r="367" spans="1:11" x14ac:dyDescent="0.25">
      <c r="A367" s="1" t="s">
        <v>10</v>
      </c>
      <c r="B367" s="1" t="s">
        <v>11</v>
      </c>
      <c r="C367" s="2">
        <v>44365</v>
      </c>
      <c r="D367">
        <v>66.7</v>
      </c>
      <c r="E367">
        <v>66.7</v>
      </c>
      <c r="F367">
        <v>60.05</v>
      </c>
      <c r="G367">
        <v>62</v>
      </c>
      <c r="H367">
        <v>38660</v>
      </c>
      <c r="I367">
        <v>218.78</v>
      </c>
      <c r="J367">
        <v>0.31</v>
      </c>
      <c r="K367">
        <v>63.862499999999997</v>
      </c>
    </row>
    <row r="368" spans="1:11" x14ac:dyDescent="0.25">
      <c r="A368" s="1" t="s">
        <v>10</v>
      </c>
      <c r="B368" s="1" t="s">
        <v>11</v>
      </c>
      <c r="C368" s="2">
        <v>44368</v>
      </c>
      <c r="D368">
        <v>58.45</v>
      </c>
      <c r="E368">
        <v>64</v>
      </c>
      <c r="F368">
        <v>58.45</v>
      </c>
      <c r="G368">
        <v>63.3</v>
      </c>
      <c r="H368">
        <v>29054</v>
      </c>
      <c r="I368">
        <v>223.36</v>
      </c>
      <c r="J368">
        <v>0.31</v>
      </c>
      <c r="K368">
        <v>61.05</v>
      </c>
    </row>
    <row r="369" spans="1:11" x14ac:dyDescent="0.25">
      <c r="A369" s="1" t="s">
        <v>10</v>
      </c>
      <c r="B369" s="1" t="s">
        <v>11</v>
      </c>
      <c r="C369" s="2">
        <v>44369</v>
      </c>
      <c r="D369">
        <v>62.6</v>
      </c>
      <c r="E369">
        <v>65.099999999999994</v>
      </c>
      <c r="F369">
        <v>62.6</v>
      </c>
      <c r="G369">
        <v>62.8</v>
      </c>
      <c r="H369">
        <v>22240</v>
      </c>
      <c r="I369">
        <v>221.6</v>
      </c>
      <c r="J369">
        <v>0.31</v>
      </c>
      <c r="K369">
        <v>63.274999999999999</v>
      </c>
    </row>
    <row r="370" spans="1:11" x14ac:dyDescent="0.25">
      <c r="A370" s="1" t="s">
        <v>10</v>
      </c>
      <c r="B370" s="1" t="s">
        <v>11</v>
      </c>
      <c r="C370" s="2">
        <v>44370</v>
      </c>
      <c r="D370">
        <v>63.85</v>
      </c>
      <c r="E370">
        <v>63.95</v>
      </c>
      <c r="F370">
        <v>61.8</v>
      </c>
      <c r="G370">
        <v>62.1</v>
      </c>
      <c r="H370">
        <v>15375</v>
      </c>
      <c r="I370">
        <v>219.13</v>
      </c>
      <c r="J370">
        <v>0.31</v>
      </c>
      <c r="K370">
        <v>62.924999999999997</v>
      </c>
    </row>
    <row r="371" spans="1:11" x14ac:dyDescent="0.25">
      <c r="A371" s="1" t="s">
        <v>10</v>
      </c>
      <c r="B371" s="1" t="s">
        <v>11</v>
      </c>
      <c r="C371" s="2">
        <v>44371</v>
      </c>
      <c r="D371">
        <v>61.95</v>
      </c>
      <c r="E371">
        <v>64.25</v>
      </c>
      <c r="F371">
        <v>61.95</v>
      </c>
      <c r="G371">
        <v>63.5</v>
      </c>
      <c r="H371">
        <v>31740</v>
      </c>
      <c r="I371">
        <v>224.07</v>
      </c>
      <c r="J371">
        <v>0.31</v>
      </c>
      <c r="K371">
        <v>62.912500000000001</v>
      </c>
    </row>
    <row r="372" spans="1:11" x14ac:dyDescent="0.25">
      <c r="A372" s="1" t="s">
        <v>10</v>
      </c>
      <c r="B372" s="1" t="s">
        <v>11</v>
      </c>
      <c r="C372" s="2">
        <v>44372</v>
      </c>
      <c r="D372">
        <v>64.150000000000006</v>
      </c>
      <c r="E372">
        <v>64.150000000000006</v>
      </c>
      <c r="F372">
        <v>62.45</v>
      </c>
      <c r="G372">
        <v>62.65</v>
      </c>
      <c r="H372">
        <v>14232</v>
      </c>
      <c r="I372">
        <v>221.07</v>
      </c>
      <c r="J372">
        <v>0.31</v>
      </c>
      <c r="K372">
        <v>63.35</v>
      </c>
    </row>
    <row r="373" spans="1:11" x14ac:dyDescent="0.25">
      <c r="A373" s="1" t="s">
        <v>10</v>
      </c>
      <c r="B373" s="1" t="s">
        <v>11</v>
      </c>
      <c r="C373" s="2">
        <v>44375</v>
      </c>
      <c r="D373">
        <v>63.2</v>
      </c>
      <c r="E373">
        <v>65.5</v>
      </c>
      <c r="F373">
        <v>63.05</v>
      </c>
      <c r="G373">
        <v>63.6</v>
      </c>
      <c r="H373">
        <v>39187</v>
      </c>
      <c r="I373">
        <v>224.42</v>
      </c>
      <c r="J373">
        <v>0.31</v>
      </c>
      <c r="K373">
        <v>63.837499999999999</v>
      </c>
    </row>
    <row r="374" spans="1:11" x14ac:dyDescent="0.25">
      <c r="A374" s="1" t="s">
        <v>10</v>
      </c>
      <c r="B374" s="1" t="s">
        <v>11</v>
      </c>
      <c r="C374" s="2">
        <v>44376</v>
      </c>
      <c r="D374">
        <v>66</v>
      </c>
      <c r="E374">
        <v>66</v>
      </c>
      <c r="F374">
        <v>59.55</v>
      </c>
      <c r="G374">
        <v>60.4</v>
      </c>
      <c r="H374">
        <v>42678</v>
      </c>
      <c r="I374">
        <v>213.13</v>
      </c>
      <c r="J374">
        <v>0.31</v>
      </c>
      <c r="K374">
        <v>62.987499999999997</v>
      </c>
    </row>
    <row r="375" spans="1:11" x14ac:dyDescent="0.25">
      <c r="A375" s="1" t="s">
        <v>10</v>
      </c>
      <c r="B375" s="1" t="s">
        <v>11</v>
      </c>
      <c r="C375" s="2">
        <v>44377</v>
      </c>
      <c r="D375">
        <v>60.05</v>
      </c>
      <c r="E375">
        <v>61.95</v>
      </c>
      <c r="F375">
        <v>59.7</v>
      </c>
      <c r="G375">
        <v>60.3</v>
      </c>
      <c r="H375">
        <v>15921</v>
      </c>
      <c r="I375">
        <v>212.78</v>
      </c>
      <c r="J375">
        <v>0.31</v>
      </c>
      <c r="K375">
        <v>60.5</v>
      </c>
    </row>
    <row r="376" spans="1:11" x14ac:dyDescent="0.25">
      <c r="A376" s="1" t="s">
        <v>10</v>
      </c>
      <c r="B376" s="1" t="s">
        <v>11</v>
      </c>
      <c r="C376" s="2">
        <v>44378</v>
      </c>
      <c r="D376">
        <v>61.55</v>
      </c>
      <c r="E376">
        <v>61.55</v>
      </c>
      <c r="F376">
        <v>59.1</v>
      </c>
      <c r="G376">
        <v>59.45</v>
      </c>
      <c r="H376">
        <v>17947</v>
      </c>
      <c r="I376">
        <v>209.78</v>
      </c>
      <c r="J376">
        <v>0.31</v>
      </c>
      <c r="K376">
        <v>60.412500000000001</v>
      </c>
    </row>
    <row r="377" spans="1:11" x14ac:dyDescent="0.25">
      <c r="A377" s="1" t="s">
        <v>10</v>
      </c>
      <c r="B377" s="1" t="s">
        <v>11</v>
      </c>
      <c r="C377" s="2">
        <v>44379</v>
      </c>
      <c r="D377">
        <v>58.45</v>
      </c>
      <c r="E377">
        <v>60.25</v>
      </c>
      <c r="F377">
        <v>58.45</v>
      </c>
      <c r="G377">
        <v>58.85</v>
      </c>
      <c r="H377">
        <v>19051</v>
      </c>
      <c r="I377">
        <v>207.66</v>
      </c>
      <c r="J377">
        <v>0.31</v>
      </c>
      <c r="K377">
        <v>59</v>
      </c>
    </row>
    <row r="378" spans="1:11" x14ac:dyDescent="0.25">
      <c r="A378" s="1" t="s">
        <v>10</v>
      </c>
      <c r="B378" s="1" t="s">
        <v>11</v>
      </c>
      <c r="C378" s="2">
        <v>44382</v>
      </c>
      <c r="D378">
        <v>60.25</v>
      </c>
      <c r="E378">
        <v>60.65</v>
      </c>
      <c r="F378">
        <v>58.7</v>
      </c>
      <c r="G378">
        <v>59.85</v>
      </c>
      <c r="H378">
        <v>21983</v>
      </c>
      <c r="I378">
        <v>211.19</v>
      </c>
      <c r="J378">
        <v>0.31</v>
      </c>
      <c r="K378">
        <v>59.862499999999997</v>
      </c>
    </row>
    <row r="379" spans="1:11" x14ac:dyDescent="0.25">
      <c r="A379" s="1" t="s">
        <v>10</v>
      </c>
      <c r="B379" s="1" t="s">
        <v>11</v>
      </c>
      <c r="C379" s="2">
        <v>44383</v>
      </c>
      <c r="D379">
        <v>62.95</v>
      </c>
      <c r="E379">
        <v>63.75</v>
      </c>
      <c r="F379">
        <v>60.05</v>
      </c>
      <c r="G379">
        <v>61.25</v>
      </c>
      <c r="H379">
        <v>47772</v>
      </c>
      <c r="I379">
        <v>216.13</v>
      </c>
      <c r="J379">
        <v>0.31</v>
      </c>
      <c r="K379">
        <v>62</v>
      </c>
    </row>
    <row r="380" spans="1:11" x14ac:dyDescent="0.25">
      <c r="A380" s="1" t="s">
        <v>10</v>
      </c>
      <c r="B380" s="1" t="s">
        <v>11</v>
      </c>
      <c r="C380" s="2">
        <v>44384</v>
      </c>
      <c r="D380">
        <v>64</v>
      </c>
      <c r="E380">
        <v>64</v>
      </c>
      <c r="F380">
        <v>61.3</v>
      </c>
      <c r="G380">
        <v>61.75</v>
      </c>
      <c r="H380">
        <v>8537</v>
      </c>
      <c r="I380">
        <v>217.89</v>
      </c>
      <c r="J380">
        <v>0.31</v>
      </c>
      <c r="K380">
        <v>62.762500000000003</v>
      </c>
    </row>
    <row r="381" spans="1:11" x14ac:dyDescent="0.25">
      <c r="A381" s="1" t="s">
        <v>10</v>
      </c>
      <c r="B381" s="1" t="s">
        <v>11</v>
      </c>
      <c r="C381" s="2">
        <v>44385</v>
      </c>
      <c r="D381">
        <v>60</v>
      </c>
      <c r="E381">
        <v>63.85</v>
      </c>
      <c r="F381">
        <v>60</v>
      </c>
      <c r="G381">
        <v>61.95</v>
      </c>
      <c r="H381">
        <v>17511</v>
      </c>
      <c r="I381">
        <v>218.6</v>
      </c>
      <c r="J381">
        <v>0.31</v>
      </c>
      <c r="K381">
        <v>61.45</v>
      </c>
    </row>
    <row r="382" spans="1:11" x14ac:dyDescent="0.25">
      <c r="A382" s="1" t="s">
        <v>10</v>
      </c>
      <c r="B382" s="1" t="s">
        <v>11</v>
      </c>
      <c r="C382" s="2">
        <v>44386</v>
      </c>
      <c r="D382">
        <v>62.4</v>
      </c>
      <c r="E382">
        <v>62.6</v>
      </c>
      <c r="F382">
        <v>60.2</v>
      </c>
      <c r="G382">
        <v>61</v>
      </c>
      <c r="H382">
        <v>13254</v>
      </c>
      <c r="I382">
        <v>215.25</v>
      </c>
      <c r="J382">
        <v>0.31</v>
      </c>
      <c r="K382">
        <v>61.55</v>
      </c>
    </row>
    <row r="383" spans="1:11" x14ac:dyDescent="0.25">
      <c r="A383" s="1" t="s">
        <v>10</v>
      </c>
      <c r="B383" s="1" t="s">
        <v>11</v>
      </c>
      <c r="C383" s="2">
        <v>44389</v>
      </c>
      <c r="D383">
        <v>62.25</v>
      </c>
      <c r="E383">
        <v>65.400000000000006</v>
      </c>
      <c r="F383">
        <v>62.25</v>
      </c>
      <c r="G383">
        <v>64.400000000000006</v>
      </c>
      <c r="H383">
        <v>20449</v>
      </c>
      <c r="I383">
        <v>227.25</v>
      </c>
      <c r="J383">
        <v>0.31</v>
      </c>
      <c r="K383">
        <v>63.575000000000003</v>
      </c>
    </row>
    <row r="384" spans="1:11" x14ac:dyDescent="0.25">
      <c r="A384" s="1" t="s">
        <v>10</v>
      </c>
      <c r="B384" s="1" t="s">
        <v>11</v>
      </c>
      <c r="C384" s="2">
        <v>44390</v>
      </c>
      <c r="D384">
        <v>65.599999999999994</v>
      </c>
      <c r="E384">
        <v>66.75</v>
      </c>
      <c r="F384">
        <v>65.05</v>
      </c>
      <c r="G384">
        <v>65.900000000000006</v>
      </c>
      <c r="H384">
        <v>75391</v>
      </c>
      <c r="I384">
        <v>232.54</v>
      </c>
      <c r="J384">
        <v>0.31</v>
      </c>
      <c r="K384">
        <v>65.825000000000003</v>
      </c>
    </row>
    <row r="385" spans="1:11" x14ac:dyDescent="0.25">
      <c r="A385" s="1" t="s">
        <v>10</v>
      </c>
      <c r="B385" s="1" t="s">
        <v>11</v>
      </c>
      <c r="C385" s="2">
        <v>44391</v>
      </c>
      <c r="D385">
        <v>65.900000000000006</v>
      </c>
      <c r="E385">
        <v>66.45</v>
      </c>
      <c r="F385">
        <v>63</v>
      </c>
      <c r="G385">
        <v>64.55</v>
      </c>
      <c r="H385">
        <v>34879</v>
      </c>
      <c r="I385">
        <v>227.77</v>
      </c>
      <c r="J385">
        <v>0.31</v>
      </c>
      <c r="K385">
        <v>64.974999999999994</v>
      </c>
    </row>
    <row r="386" spans="1:11" x14ac:dyDescent="0.25">
      <c r="A386" s="1" t="s">
        <v>10</v>
      </c>
      <c r="B386" s="1" t="s">
        <v>11</v>
      </c>
      <c r="C386" s="2">
        <v>44392</v>
      </c>
      <c r="D386">
        <v>63</v>
      </c>
      <c r="E386">
        <v>66.3</v>
      </c>
      <c r="F386">
        <v>63</v>
      </c>
      <c r="G386">
        <v>64.75</v>
      </c>
      <c r="H386">
        <v>46212</v>
      </c>
      <c r="I386">
        <v>228.48</v>
      </c>
      <c r="J386">
        <v>0.31</v>
      </c>
      <c r="K386">
        <v>64.262500000000003</v>
      </c>
    </row>
    <row r="387" spans="1:11" x14ac:dyDescent="0.25">
      <c r="A387" s="1" t="s">
        <v>10</v>
      </c>
      <c r="B387" s="1" t="s">
        <v>11</v>
      </c>
      <c r="C387" s="2">
        <v>44393</v>
      </c>
      <c r="D387">
        <v>66.2</v>
      </c>
      <c r="E387">
        <v>69.349999999999994</v>
      </c>
      <c r="F387">
        <v>63.8</v>
      </c>
      <c r="G387">
        <v>65.05</v>
      </c>
      <c r="H387">
        <v>108360</v>
      </c>
      <c r="I387">
        <v>229.54</v>
      </c>
      <c r="J387">
        <v>0.31</v>
      </c>
      <c r="K387">
        <v>66.099999999999994</v>
      </c>
    </row>
    <row r="388" spans="1:11" x14ac:dyDescent="0.25">
      <c r="A388" s="1" t="s">
        <v>10</v>
      </c>
      <c r="B388" s="1" t="s">
        <v>11</v>
      </c>
      <c r="C388" s="2">
        <v>44396</v>
      </c>
      <c r="D388">
        <v>68</v>
      </c>
      <c r="E388">
        <v>69.400000000000006</v>
      </c>
      <c r="F388">
        <v>66.3</v>
      </c>
      <c r="G388">
        <v>67.7</v>
      </c>
      <c r="H388">
        <v>167294</v>
      </c>
      <c r="I388">
        <v>238.89</v>
      </c>
      <c r="J388">
        <v>0.31</v>
      </c>
      <c r="K388">
        <v>67.849999999999994</v>
      </c>
    </row>
    <row r="389" spans="1:11" x14ac:dyDescent="0.25">
      <c r="A389" s="1" t="s">
        <v>10</v>
      </c>
      <c r="B389" s="1" t="s">
        <v>11</v>
      </c>
      <c r="C389" s="2">
        <v>44397</v>
      </c>
      <c r="D389">
        <v>68.45</v>
      </c>
      <c r="E389">
        <v>69.099999999999994</v>
      </c>
      <c r="F389">
        <v>64.900000000000006</v>
      </c>
      <c r="G389">
        <v>66.2</v>
      </c>
      <c r="H389">
        <v>47589</v>
      </c>
      <c r="I389">
        <v>233.6</v>
      </c>
      <c r="J389">
        <v>0.31</v>
      </c>
      <c r="K389">
        <v>67.162499999999994</v>
      </c>
    </row>
    <row r="390" spans="1:11" x14ac:dyDescent="0.25">
      <c r="A390" s="1" t="s">
        <v>10</v>
      </c>
      <c r="B390" s="1" t="s">
        <v>11</v>
      </c>
      <c r="C390" s="2">
        <v>44399</v>
      </c>
      <c r="D390">
        <v>66</v>
      </c>
      <c r="E390">
        <v>67.7</v>
      </c>
      <c r="F390">
        <v>66</v>
      </c>
      <c r="G390">
        <v>66.900000000000006</v>
      </c>
      <c r="H390">
        <v>20236</v>
      </c>
      <c r="I390">
        <v>236.07</v>
      </c>
      <c r="J390">
        <v>0.31</v>
      </c>
      <c r="K390">
        <v>66.650000000000006</v>
      </c>
    </row>
    <row r="391" spans="1:11" x14ac:dyDescent="0.25">
      <c r="A391" s="1" t="s">
        <v>10</v>
      </c>
      <c r="B391" s="1" t="s">
        <v>11</v>
      </c>
      <c r="C391" s="2">
        <v>44400</v>
      </c>
      <c r="D391">
        <v>68.849999999999994</v>
      </c>
      <c r="E391">
        <v>68.849999999999994</v>
      </c>
      <c r="F391">
        <v>64.5</v>
      </c>
      <c r="G391">
        <v>65.099999999999994</v>
      </c>
      <c r="H391">
        <v>30066</v>
      </c>
      <c r="I391">
        <v>229.72</v>
      </c>
      <c r="J391">
        <v>0.31</v>
      </c>
      <c r="K391">
        <v>66.825000000000003</v>
      </c>
    </row>
    <row r="392" spans="1:11" x14ac:dyDescent="0.25">
      <c r="A392" s="1" t="s">
        <v>10</v>
      </c>
      <c r="B392" s="1" t="s">
        <v>11</v>
      </c>
      <c r="C392" s="2">
        <v>44403</v>
      </c>
      <c r="D392">
        <v>65.099999999999994</v>
      </c>
      <c r="E392">
        <v>65.900000000000006</v>
      </c>
      <c r="F392">
        <v>63.5</v>
      </c>
      <c r="G392">
        <v>63.7</v>
      </c>
      <c r="H392">
        <v>14107</v>
      </c>
      <c r="I392">
        <v>224.78</v>
      </c>
      <c r="J392">
        <v>0.31</v>
      </c>
      <c r="K392">
        <v>64.55</v>
      </c>
    </row>
    <row r="393" spans="1:11" x14ac:dyDescent="0.25">
      <c r="A393" s="1" t="s">
        <v>10</v>
      </c>
      <c r="B393" s="1" t="s">
        <v>11</v>
      </c>
      <c r="C393" s="2">
        <v>44404</v>
      </c>
      <c r="D393">
        <v>64.3</v>
      </c>
      <c r="E393">
        <v>64.5</v>
      </c>
      <c r="F393">
        <v>62.45</v>
      </c>
      <c r="G393">
        <v>63</v>
      </c>
      <c r="H393">
        <v>12654</v>
      </c>
      <c r="I393">
        <v>222.3</v>
      </c>
      <c r="J393">
        <v>0.31</v>
      </c>
      <c r="K393">
        <v>63.5625</v>
      </c>
    </row>
    <row r="394" spans="1:11" x14ac:dyDescent="0.25">
      <c r="A394" s="1" t="s">
        <v>10</v>
      </c>
      <c r="B394" s="1" t="s">
        <v>11</v>
      </c>
      <c r="C394" s="2">
        <v>44405</v>
      </c>
      <c r="D394">
        <v>63.05</v>
      </c>
      <c r="E394">
        <v>63.35</v>
      </c>
      <c r="F394">
        <v>60.5</v>
      </c>
      <c r="G394">
        <v>62.85</v>
      </c>
      <c r="H394">
        <v>7037</v>
      </c>
      <c r="I394">
        <v>221.78</v>
      </c>
      <c r="J394">
        <v>0.31</v>
      </c>
      <c r="K394">
        <v>62.4375</v>
      </c>
    </row>
    <row r="395" spans="1:11" x14ac:dyDescent="0.25">
      <c r="A395" s="1" t="s">
        <v>10</v>
      </c>
      <c r="B395" s="1" t="s">
        <v>11</v>
      </c>
      <c r="C395" s="2">
        <v>44406</v>
      </c>
      <c r="D395">
        <v>64.150000000000006</v>
      </c>
      <c r="E395">
        <v>64.5</v>
      </c>
      <c r="F395">
        <v>62.95</v>
      </c>
      <c r="G395">
        <v>64.150000000000006</v>
      </c>
      <c r="H395">
        <v>3116</v>
      </c>
      <c r="I395">
        <v>226.36</v>
      </c>
      <c r="J395">
        <v>0.31</v>
      </c>
      <c r="K395">
        <v>63.9375</v>
      </c>
    </row>
    <row r="396" spans="1:11" x14ac:dyDescent="0.25">
      <c r="A396" s="1" t="s">
        <v>10</v>
      </c>
      <c r="B396" s="1" t="s">
        <v>11</v>
      </c>
      <c r="C396" s="2">
        <v>44407</v>
      </c>
      <c r="D396">
        <v>63.95</v>
      </c>
      <c r="E396">
        <v>68.5</v>
      </c>
      <c r="F396">
        <v>63.1</v>
      </c>
      <c r="G396">
        <v>67.25</v>
      </c>
      <c r="H396">
        <v>56123</v>
      </c>
      <c r="I396">
        <v>237.3</v>
      </c>
      <c r="J396">
        <v>0.31</v>
      </c>
      <c r="K396">
        <v>65.7</v>
      </c>
    </row>
    <row r="397" spans="1:11" x14ac:dyDescent="0.25">
      <c r="A397" s="1" t="s">
        <v>10</v>
      </c>
      <c r="B397" s="1" t="s">
        <v>11</v>
      </c>
      <c r="C397" s="2">
        <v>44410</v>
      </c>
      <c r="D397">
        <v>67.5</v>
      </c>
      <c r="E397">
        <v>68.25</v>
      </c>
      <c r="F397">
        <v>66.2</v>
      </c>
      <c r="G397">
        <v>66.55</v>
      </c>
      <c r="H397">
        <v>20790</v>
      </c>
      <c r="I397">
        <v>234.83</v>
      </c>
      <c r="J397">
        <v>0.31</v>
      </c>
      <c r="K397">
        <v>67.125</v>
      </c>
    </row>
    <row r="398" spans="1:11" x14ac:dyDescent="0.25">
      <c r="A398" s="1" t="s">
        <v>10</v>
      </c>
      <c r="B398" s="1" t="s">
        <v>11</v>
      </c>
      <c r="C398" s="2">
        <v>44411</v>
      </c>
      <c r="D398">
        <v>66.55</v>
      </c>
      <c r="E398">
        <v>70.05</v>
      </c>
      <c r="F398">
        <v>65.75</v>
      </c>
      <c r="G398">
        <v>67.599999999999994</v>
      </c>
      <c r="H398">
        <v>25111</v>
      </c>
      <c r="I398">
        <v>238.54</v>
      </c>
      <c r="J398">
        <v>0.31</v>
      </c>
      <c r="K398">
        <v>67.487499999999997</v>
      </c>
    </row>
    <row r="399" spans="1:11" x14ac:dyDescent="0.25">
      <c r="A399" s="1" t="s">
        <v>10</v>
      </c>
      <c r="B399" s="1" t="s">
        <v>11</v>
      </c>
      <c r="C399" s="2">
        <v>44412</v>
      </c>
      <c r="D399">
        <v>68.849999999999994</v>
      </c>
      <c r="E399">
        <v>68.95</v>
      </c>
      <c r="F399">
        <v>65.099999999999994</v>
      </c>
      <c r="G399">
        <v>65.8</v>
      </c>
      <c r="H399">
        <v>17324</v>
      </c>
      <c r="I399">
        <v>232.19</v>
      </c>
      <c r="J399">
        <v>0.31</v>
      </c>
      <c r="K399">
        <v>67.174999999999997</v>
      </c>
    </row>
    <row r="400" spans="1:11" x14ac:dyDescent="0.25">
      <c r="A400" s="1" t="s">
        <v>10</v>
      </c>
      <c r="B400" s="1" t="s">
        <v>11</v>
      </c>
      <c r="C400" s="2">
        <v>44413</v>
      </c>
      <c r="D400">
        <v>67.150000000000006</v>
      </c>
      <c r="E400">
        <v>67.150000000000006</v>
      </c>
      <c r="F400">
        <v>63.3</v>
      </c>
      <c r="G400">
        <v>63.9</v>
      </c>
      <c r="H400">
        <v>7308</v>
      </c>
      <c r="I400">
        <v>225.48</v>
      </c>
      <c r="J400">
        <v>0.31</v>
      </c>
      <c r="K400">
        <v>65.375</v>
      </c>
    </row>
    <row r="401" spans="1:11" x14ac:dyDescent="0.25">
      <c r="A401" s="1" t="s">
        <v>10</v>
      </c>
      <c r="B401" s="1" t="s">
        <v>11</v>
      </c>
      <c r="C401" s="2">
        <v>44414</v>
      </c>
      <c r="D401">
        <v>64.7</v>
      </c>
      <c r="E401">
        <v>66.5</v>
      </c>
      <c r="F401">
        <v>64.099999999999994</v>
      </c>
      <c r="G401">
        <v>66.150000000000006</v>
      </c>
      <c r="H401">
        <v>9156</v>
      </c>
      <c r="I401">
        <v>233.42</v>
      </c>
      <c r="J401">
        <v>0.31</v>
      </c>
      <c r="K401">
        <v>65.362499999999997</v>
      </c>
    </row>
    <row r="402" spans="1:11" x14ac:dyDescent="0.25">
      <c r="A402" s="1" t="s">
        <v>10</v>
      </c>
      <c r="B402" s="1" t="s">
        <v>11</v>
      </c>
      <c r="C402" s="2">
        <v>44417</v>
      </c>
      <c r="D402">
        <v>67</v>
      </c>
      <c r="E402">
        <v>67.25</v>
      </c>
      <c r="F402">
        <v>63.5</v>
      </c>
      <c r="G402">
        <v>63.65</v>
      </c>
      <c r="H402">
        <v>77268</v>
      </c>
      <c r="I402">
        <v>224.6</v>
      </c>
      <c r="J402">
        <v>0.31</v>
      </c>
      <c r="K402">
        <v>65.349999999999994</v>
      </c>
    </row>
    <row r="403" spans="1:11" x14ac:dyDescent="0.25">
      <c r="A403" s="1" t="s">
        <v>10</v>
      </c>
      <c r="B403" s="1" t="s">
        <v>11</v>
      </c>
      <c r="C403" s="2">
        <v>44418</v>
      </c>
      <c r="D403">
        <v>64.25</v>
      </c>
      <c r="E403">
        <v>64.25</v>
      </c>
      <c r="F403">
        <v>59.4</v>
      </c>
      <c r="G403">
        <v>60.35</v>
      </c>
      <c r="H403">
        <v>16140</v>
      </c>
      <c r="I403">
        <v>212.95</v>
      </c>
      <c r="J403">
        <v>0.31</v>
      </c>
      <c r="K403">
        <v>62.0625</v>
      </c>
    </row>
    <row r="404" spans="1:11" x14ac:dyDescent="0.25">
      <c r="A404" s="1" t="s">
        <v>10</v>
      </c>
      <c r="B404" s="1" t="s">
        <v>11</v>
      </c>
      <c r="C404" s="2">
        <v>44419</v>
      </c>
      <c r="D404">
        <v>61.55</v>
      </c>
      <c r="E404">
        <v>62.2</v>
      </c>
      <c r="F404">
        <v>55.35</v>
      </c>
      <c r="G404">
        <v>59.15</v>
      </c>
      <c r="H404">
        <v>46607</v>
      </c>
      <c r="I404">
        <v>208.72</v>
      </c>
      <c r="J404">
        <v>0.31</v>
      </c>
      <c r="K404">
        <v>59.5625</v>
      </c>
    </row>
    <row r="405" spans="1:11" x14ac:dyDescent="0.25">
      <c r="A405" s="1" t="s">
        <v>10</v>
      </c>
      <c r="B405" s="1" t="s">
        <v>11</v>
      </c>
      <c r="C405" s="2">
        <v>44420</v>
      </c>
      <c r="D405">
        <v>59.7</v>
      </c>
      <c r="E405">
        <v>61.3</v>
      </c>
      <c r="F405">
        <v>58.5</v>
      </c>
      <c r="G405">
        <v>61.1</v>
      </c>
      <c r="H405">
        <v>16831</v>
      </c>
      <c r="I405">
        <v>215.6</v>
      </c>
      <c r="J405">
        <v>0.31</v>
      </c>
      <c r="K405">
        <v>60.15</v>
      </c>
    </row>
    <row r="406" spans="1:11" x14ac:dyDescent="0.25">
      <c r="A406" s="1" t="s">
        <v>10</v>
      </c>
      <c r="B406" s="1" t="s">
        <v>11</v>
      </c>
      <c r="C406" s="2">
        <v>44421</v>
      </c>
      <c r="D406">
        <v>62.15</v>
      </c>
      <c r="E406">
        <v>62.15</v>
      </c>
      <c r="F406">
        <v>59.65</v>
      </c>
      <c r="G406">
        <v>59.75</v>
      </c>
      <c r="H406">
        <v>3380</v>
      </c>
      <c r="I406">
        <v>210.84</v>
      </c>
      <c r="J406">
        <v>0.31</v>
      </c>
      <c r="K406">
        <v>60.924999999999997</v>
      </c>
    </row>
    <row r="407" spans="1:11" x14ac:dyDescent="0.25">
      <c r="A407" s="1" t="s">
        <v>10</v>
      </c>
      <c r="B407" s="1" t="s">
        <v>11</v>
      </c>
      <c r="C407" s="2">
        <v>44424</v>
      </c>
      <c r="D407">
        <v>65</v>
      </c>
      <c r="E407">
        <v>65</v>
      </c>
      <c r="F407">
        <v>58.5</v>
      </c>
      <c r="G407">
        <v>58.55</v>
      </c>
      <c r="H407">
        <v>2672</v>
      </c>
      <c r="I407">
        <v>206.6</v>
      </c>
      <c r="J407">
        <v>0.31</v>
      </c>
      <c r="K407">
        <v>61.762500000000003</v>
      </c>
    </row>
    <row r="408" spans="1:11" x14ac:dyDescent="0.25">
      <c r="A408" s="1" t="s">
        <v>10</v>
      </c>
      <c r="B408" s="1" t="s">
        <v>11</v>
      </c>
      <c r="C408" s="2">
        <v>44425</v>
      </c>
      <c r="D408">
        <v>58.4</v>
      </c>
      <c r="E408">
        <v>58.8</v>
      </c>
      <c r="F408">
        <v>55.95</v>
      </c>
      <c r="G408">
        <v>56.5</v>
      </c>
      <c r="H408">
        <v>9079</v>
      </c>
      <c r="I408">
        <v>199.37</v>
      </c>
      <c r="J408">
        <v>0.31</v>
      </c>
      <c r="K408">
        <v>57.412500000000001</v>
      </c>
    </row>
    <row r="409" spans="1:11" x14ac:dyDescent="0.25">
      <c r="A409" s="1" t="s">
        <v>10</v>
      </c>
      <c r="B409" s="1" t="s">
        <v>11</v>
      </c>
      <c r="C409" s="2">
        <v>44426</v>
      </c>
      <c r="D409">
        <v>57.55</v>
      </c>
      <c r="E409">
        <v>57.9</v>
      </c>
      <c r="F409">
        <v>53.25</v>
      </c>
      <c r="G409">
        <v>54.4</v>
      </c>
      <c r="H409">
        <v>7842</v>
      </c>
      <c r="I409">
        <v>191.96</v>
      </c>
      <c r="J409">
        <v>0.31</v>
      </c>
      <c r="K409">
        <v>55.774999999999999</v>
      </c>
    </row>
    <row r="410" spans="1:11" x14ac:dyDescent="0.25">
      <c r="A410" s="1" t="s">
        <v>10</v>
      </c>
      <c r="B410" s="1" t="s">
        <v>11</v>
      </c>
      <c r="C410" s="2">
        <v>44428</v>
      </c>
      <c r="D410">
        <v>54</v>
      </c>
      <c r="E410">
        <v>54.05</v>
      </c>
      <c r="F410">
        <v>51.7</v>
      </c>
      <c r="G410">
        <v>52.7</v>
      </c>
      <c r="H410">
        <v>14638</v>
      </c>
      <c r="I410">
        <v>185.96</v>
      </c>
      <c r="J410">
        <v>0.31</v>
      </c>
      <c r="K410">
        <v>53.112499999999997</v>
      </c>
    </row>
    <row r="411" spans="1:11" x14ac:dyDescent="0.25">
      <c r="A411" s="1" t="s">
        <v>10</v>
      </c>
      <c r="B411" s="1" t="s">
        <v>11</v>
      </c>
      <c r="C411" s="2">
        <v>44431</v>
      </c>
      <c r="D411">
        <v>53.8</v>
      </c>
      <c r="E411">
        <v>54.1</v>
      </c>
      <c r="F411">
        <v>48.6</v>
      </c>
      <c r="G411">
        <v>49.75</v>
      </c>
      <c r="H411">
        <v>9104</v>
      </c>
      <c r="I411">
        <v>175.55</v>
      </c>
      <c r="J411">
        <v>0.31</v>
      </c>
      <c r="K411">
        <v>51.5625</v>
      </c>
    </row>
    <row r="412" spans="1:11" x14ac:dyDescent="0.25">
      <c r="A412" s="1" t="s">
        <v>10</v>
      </c>
      <c r="B412" s="1" t="s">
        <v>11</v>
      </c>
      <c r="C412" s="2">
        <v>44432</v>
      </c>
      <c r="D412">
        <v>49.95</v>
      </c>
      <c r="E412">
        <v>54.1</v>
      </c>
      <c r="F412">
        <v>49.9</v>
      </c>
      <c r="G412">
        <v>52.85</v>
      </c>
      <c r="H412">
        <v>9999</v>
      </c>
      <c r="I412">
        <v>186.49</v>
      </c>
      <c r="J412">
        <v>0.31</v>
      </c>
      <c r="K412">
        <v>51.7</v>
      </c>
    </row>
    <row r="413" spans="1:11" x14ac:dyDescent="0.25">
      <c r="A413" s="1" t="s">
        <v>10</v>
      </c>
      <c r="B413" s="1" t="s">
        <v>11</v>
      </c>
      <c r="C413" s="2">
        <v>44433</v>
      </c>
      <c r="D413">
        <v>57</v>
      </c>
      <c r="E413">
        <v>57</v>
      </c>
      <c r="F413">
        <v>52.65</v>
      </c>
      <c r="G413">
        <v>54.1</v>
      </c>
      <c r="H413">
        <v>7806</v>
      </c>
      <c r="I413">
        <v>190.9</v>
      </c>
      <c r="J413">
        <v>0.31</v>
      </c>
      <c r="K413">
        <v>55.1875</v>
      </c>
    </row>
    <row r="414" spans="1:11" x14ac:dyDescent="0.25">
      <c r="A414" s="1" t="s">
        <v>10</v>
      </c>
      <c r="B414" s="1" t="s">
        <v>11</v>
      </c>
      <c r="C414" s="2">
        <v>44434</v>
      </c>
      <c r="D414">
        <v>52.75</v>
      </c>
      <c r="E414">
        <v>54.55</v>
      </c>
      <c r="F414">
        <v>51.65</v>
      </c>
      <c r="G414">
        <v>52.55</v>
      </c>
      <c r="H414">
        <v>12779</v>
      </c>
      <c r="I414">
        <v>185.43</v>
      </c>
      <c r="J414">
        <v>0.31</v>
      </c>
      <c r="K414">
        <v>52.875</v>
      </c>
    </row>
    <row r="415" spans="1:11" x14ac:dyDescent="0.25">
      <c r="A415" s="1" t="s">
        <v>10</v>
      </c>
      <c r="B415" s="1" t="s">
        <v>11</v>
      </c>
      <c r="C415" s="2">
        <v>44435</v>
      </c>
      <c r="D415">
        <v>52.8</v>
      </c>
      <c r="E415">
        <v>54</v>
      </c>
      <c r="F415">
        <v>52.45</v>
      </c>
      <c r="G415">
        <v>53.3</v>
      </c>
      <c r="H415">
        <v>1571</v>
      </c>
      <c r="I415">
        <v>188.08</v>
      </c>
      <c r="J415">
        <v>0.31</v>
      </c>
      <c r="K415">
        <v>53.137500000000003</v>
      </c>
    </row>
    <row r="416" spans="1:11" x14ac:dyDescent="0.25">
      <c r="A416" s="1" t="s">
        <v>10</v>
      </c>
      <c r="B416" s="1" t="s">
        <v>11</v>
      </c>
      <c r="C416" s="2">
        <v>44438</v>
      </c>
      <c r="D416">
        <v>54.35</v>
      </c>
      <c r="E416">
        <v>54.9</v>
      </c>
      <c r="F416">
        <v>52.7</v>
      </c>
      <c r="G416">
        <v>53.55</v>
      </c>
      <c r="H416">
        <v>3608</v>
      </c>
      <c r="I416">
        <v>188.96</v>
      </c>
      <c r="J416">
        <v>0.31</v>
      </c>
      <c r="K416">
        <v>53.875</v>
      </c>
    </row>
    <row r="417" spans="1:11" x14ac:dyDescent="0.25">
      <c r="A417" s="1" t="s">
        <v>10</v>
      </c>
      <c r="B417" s="1" t="s">
        <v>11</v>
      </c>
      <c r="C417" s="2">
        <v>44439</v>
      </c>
      <c r="D417">
        <v>54.3</v>
      </c>
      <c r="E417">
        <v>54.8</v>
      </c>
      <c r="F417">
        <v>53.65</v>
      </c>
      <c r="G417">
        <v>53.95</v>
      </c>
      <c r="H417">
        <v>13130</v>
      </c>
      <c r="I417">
        <v>190.37</v>
      </c>
      <c r="J417">
        <v>0.31</v>
      </c>
      <c r="K417">
        <v>54.174999999999997</v>
      </c>
    </row>
    <row r="418" spans="1:11" x14ac:dyDescent="0.25">
      <c r="A418" s="1" t="s">
        <v>10</v>
      </c>
      <c r="B418" s="1" t="s">
        <v>11</v>
      </c>
      <c r="C418" s="2">
        <v>44440</v>
      </c>
      <c r="D418">
        <v>54.9</v>
      </c>
      <c r="E418">
        <v>54.9</v>
      </c>
      <c r="F418">
        <v>53</v>
      </c>
      <c r="G418">
        <v>54.3</v>
      </c>
      <c r="H418">
        <v>11295</v>
      </c>
      <c r="I418">
        <v>191.61</v>
      </c>
      <c r="J418">
        <v>0.31</v>
      </c>
      <c r="K418">
        <v>54.274999999999999</v>
      </c>
    </row>
    <row r="419" spans="1:11" x14ac:dyDescent="0.25">
      <c r="A419" s="1" t="s">
        <v>10</v>
      </c>
      <c r="B419" s="1" t="s">
        <v>11</v>
      </c>
      <c r="C419" s="2">
        <v>44441</v>
      </c>
      <c r="D419">
        <v>54.25</v>
      </c>
      <c r="E419">
        <v>54.95</v>
      </c>
      <c r="F419">
        <v>53.4</v>
      </c>
      <c r="G419">
        <v>54.2</v>
      </c>
      <c r="H419">
        <v>8253</v>
      </c>
      <c r="I419">
        <v>191.25</v>
      </c>
      <c r="J419">
        <v>0.31</v>
      </c>
      <c r="K419">
        <v>54.2</v>
      </c>
    </row>
    <row r="420" spans="1:11" x14ac:dyDescent="0.25">
      <c r="A420" s="1" t="s">
        <v>10</v>
      </c>
      <c r="B420" s="1" t="s">
        <v>11</v>
      </c>
      <c r="C420" s="2">
        <v>44442</v>
      </c>
      <c r="D420">
        <v>55.6</v>
      </c>
      <c r="E420">
        <v>55.6</v>
      </c>
      <c r="F420">
        <v>52.4</v>
      </c>
      <c r="G420">
        <v>53.35</v>
      </c>
      <c r="H420">
        <v>13073</v>
      </c>
      <c r="I420">
        <v>188.25</v>
      </c>
      <c r="J420">
        <v>0.31</v>
      </c>
      <c r="K420">
        <v>54.237499999999997</v>
      </c>
    </row>
    <row r="421" spans="1:11" x14ac:dyDescent="0.25">
      <c r="A421" s="1" t="s">
        <v>10</v>
      </c>
      <c r="B421" s="1" t="s">
        <v>11</v>
      </c>
      <c r="C421" s="2">
        <v>44445</v>
      </c>
      <c r="D421">
        <v>53.6</v>
      </c>
      <c r="E421">
        <v>54.6</v>
      </c>
      <c r="F421">
        <v>53.35</v>
      </c>
      <c r="G421">
        <v>53.8</v>
      </c>
      <c r="H421">
        <v>1820</v>
      </c>
      <c r="I421">
        <v>189.84</v>
      </c>
      <c r="J421">
        <v>0.31</v>
      </c>
      <c r="K421">
        <v>53.837499999999999</v>
      </c>
    </row>
    <row r="422" spans="1:11" x14ac:dyDescent="0.25">
      <c r="A422" s="1" t="s">
        <v>10</v>
      </c>
      <c r="B422" s="1" t="s">
        <v>11</v>
      </c>
      <c r="C422" s="2">
        <v>44446</v>
      </c>
      <c r="D422">
        <v>53.55</v>
      </c>
      <c r="E422">
        <v>53.55</v>
      </c>
      <c r="F422">
        <v>52.1</v>
      </c>
      <c r="G422">
        <v>53.3</v>
      </c>
      <c r="H422">
        <v>5010</v>
      </c>
      <c r="I422">
        <v>188.08</v>
      </c>
      <c r="J422">
        <v>0.31</v>
      </c>
      <c r="K422">
        <v>53.125</v>
      </c>
    </row>
    <row r="423" spans="1:11" x14ac:dyDescent="0.25">
      <c r="A423" s="1" t="s">
        <v>10</v>
      </c>
      <c r="B423" s="1" t="s">
        <v>11</v>
      </c>
      <c r="C423" s="2">
        <v>44447</v>
      </c>
      <c r="D423">
        <v>53.2</v>
      </c>
      <c r="E423">
        <v>57.45</v>
      </c>
      <c r="F423">
        <v>52.85</v>
      </c>
      <c r="G423">
        <v>54.6</v>
      </c>
      <c r="H423">
        <v>9452</v>
      </c>
      <c r="I423">
        <v>192.66</v>
      </c>
      <c r="J423">
        <v>0.31</v>
      </c>
      <c r="K423">
        <v>54.524999999999999</v>
      </c>
    </row>
    <row r="424" spans="1:11" x14ac:dyDescent="0.25">
      <c r="A424" s="1" t="s">
        <v>10</v>
      </c>
      <c r="B424" s="1" t="s">
        <v>11</v>
      </c>
      <c r="C424" s="2">
        <v>44448</v>
      </c>
      <c r="D424">
        <v>55.6</v>
      </c>
      <c r="E424">
        <v>55.7</v>
      </c>
      <c r="F424">
        <v>54</v>
      </c>
      <c r="G424">
        <v>54.6</v>
      </c>
      <c r="H424">
        <v>2962</v>
      </c>
      <c r="I424">
        <v>192.66</v>
      </c>
      <c r="J424">
        <v>0.31</v>
      </c>
      <c r="K424">
        <v>54.975000000000001</v>
      </c>
    </row>
    <row r="425" spans="1:11" x14ac:dyDescent="0.25">
      <c r="A425" s="1" t="s">
        <v>10</v>
      </c>
      <c r="B425" s="1" t="s">
        <v>11</v>
      </c>
      <c r="C425" s="2">
        <v>44452</v>
      </c>
      <c r="D425">
        <v>54</v>
      </c>
      <c r="E425">
        <v>54.35</v>
      </c>
      <c r="F425">
        <v>53.05</v>
      </c>
      <c r="G425">
        <v>53.9</v>
      </c>
      <c r="H425">
        <v>6994</v>
      </c>
      <c r="I425">
        <v>190.19</v>
      </c>
      <c r="J425">
        <v>0.31</v>
      </c>
      <c r="K425">
        <v>53.825000000000003</v>
      </c>
    </row>
    <row r="426" spans="1:11" x14ac:dyDescent="0.25">
      <c r="A426" s="1" t="s">
        <v>10</v>
      </c>
      <c r="B426" s="1" t="s">
        <v>11</v>
      </c>
      <c r="C426" s="2">
        <v>44453</v>
      </c>
      <c r="D426">
        <v>54.85</v>
      </c>
      <c r="E426">
        <v>54.9</v>
      </c>
      <c r="F426">
        <v>53.5</v>
      </c>
      <c r="G426">
        <v>53.9</v>
      </c>
      <c r="H426">
        <v>10699</v>
      </c>
      <c r="I426">
        <v>190.19</v>
      </c>
      <c r="J426">
        <v>0.31</v>
      </c>
      <c r="K426">
        <v>54.287500000000001</v>
      </c>
    </row>
    <row r="427" spans="1:11" x14ac:dyDescent="0.25">
      <c r="A427" s="1" t="s">
        <v>10</v>
      </c>
      <c r="B427" s="1" t="s">
        <v>11</v>
      </c>
      <c r="C427" s="2">
        <v>44454</v>
      </c>
      <c r="D427">
        <v>55</v>
      </c>
      <c r="E427">
        <v>64.650000000000006</v>
      </c>
      <c r="F427">
        <v>54.85</v>
      </c>
      <c r="G427">
        <v>64.650000000000006</v>
      </c>
      <c r="H427">
        <v>180408</v>
      </c>
      <c r="I427">
        <v>228.13</v>
      </c>
      <c r="J427">
        <v>0.31</v>
      </c>
      <c r="K427">
        <v>59.787500000000001</v>
      </c>
    </row>
    <row r="428" spans="1:11" x14ac:dyDescent="0.25">
      <c r="A428" s="1" t="s">
        <v>10</v>
      </c>
      <c r="B428" s="1" t="s">
        <v>11</v>
      </c>
      <c r="C428" s="2">
        <v>44455</v>
      </c>
      <c r="D428">
        <v>68.400000000000006</v>
      </c>
      <c r="E428">
        <v>68.400000000000006</v>
      </c>
      <c r="F428">
        <v>59.05</v>
      </c>
      <c r="G428">
        <v>60.25</v>
      </c>
      <c r="H428">
        <v>91079</v>
      </c>
      <c r="I428">
        <v>212.6</v>
      </c>
      <c r="J428">
        <v>0.31</v>
      </c>
      <c r="K428">
        <v>64.025000000000006</v>
      </c>
    </row>
    <row r="429" spans="1:11" x14ac:dyDescent="0.25">
      <c r="A429" s="1" t="s">
        <v>10</v>
      </c>
      <c r="B429" s="1" t="s">
        <v>11</v>
      </c>
      <c r="C429" s="2">
        <v>44456</v>
      </c>
      <c r="D429">
        <v>61.55</v>
      </c>
      <c r="E429">
        <v>62.85</v>
      </c>
      <c r="F429">
        <v>56</v>
      </c>
      <c r="G429">
        <v>57.55</v>
      </c>
      <c r="H429">
        <v>30399</v>
      </c>
      <c r="I429">
        <v>203.07</v>
      </c>
      <c r="J429">
        <v>0.31</v>
      </c>
      <c r="K429">
        <v>59.487499999999997</v>
      </c>
    </row>
    <row r="430" spans="1:11" x14ac:dyDescent="0.25">
      <c r="A430" s="1" t="s">
        <v>10</v>
      </c>
      <c r="B430" s="1" t="s">
        <v>11</v>
      </c>
      <c r="C430" s="2">
        <v>44459</v>
      </c>
      <c r="D430">
        <v>56.55</v>
      </c>
      <c r="E430">
        <v>59.65</v>
      </c>
      <c r="F430">
        <v>55</v>
      </c>
      <c r="G430">
        <v>56.4</v>
      </c>
      <c r="H430">
        <v>16587</v>
      </c>
      <c r="I430">
        <v>199.02</v>
      </c>
      <c r="J430">
        <v>0.31</v>
      </c>
      <c r="K430">
        <v>56.9</v>
      </c>
    </row>
    <row r="431" spans="1:11" x14ac:dyDescent="0.25">
      <c r="A431" s="1" t="s">
        <v>10</v>
      </c>
      <c r="B431" s="1" t="s">
        <v>11</v>
      </c>
      <c r="C431" s="2">
        <v>44460</v>
      </c>
      <c r="D431">
        <v>57</v>
      </c>
      <c r="E431">
        <v>57.5</v>
      </c>
      <c r="F431">
        <v>55.5</v>
      </c>
      <c r="G431">
        <v>56.7</v>
      </c>
      <c r="H431">
        <v>4612</v>
      </c>
      <c r="I431">
        <v>200.07</v>
      </c>
      <c r="J431">
        <v>0.31</v>
      </c>
      <c r="K431">
        <v>56.674999999999997</v>
      </c>
    </row>
    <row r="432" spans="1:11" x14ac:dyDescent="0.25">
      <c r="A432" s="1" t="s">
        <v>10</v>
      </c>
      <c r="B432" s="1" t="s">
        <v>11</v>
      </c>
      <c r="C432" s="2">
        <v>44461</v>
      </c>
      <c r="D432">
        <v>57.55</v>
      </c>
      <c r="E432">
        <v>58.65</v>
      </c>
      <c r="F432">
        <v>57.15</v>
      </c>
      <c r="G432">
        <v>57.95</v>
      </c>
      <c r="H432">
        <v>9009</v>
      </c>
      <c r="I432">
        <v>204.49</v>
      </c>
      <c r="J432">
        <v>0.31</v>
      </c>
      <c r="K432">
        <v>57.825000000000003</v>
      </c>
    </row>
    <row r="433" spans="1:11" x14ac:dyDescent="0.25">
      <c r="A433" s="1" t="s">
        <v>10</v>
      </c>
      <c r="B433" s="1" t="s">
        <v>11</v>
      </c>
      <c r="C433" s="2">
        <v>44462</v>
      </c>
      <c r="D433">
        <v>61.5</v>
      </c>
      <c r="E433">
        <v>62.5</v>
      </c>
      <c r="F433">
        <v>57</v>
      </c>
      <c r="G433">
        <v>60.15</v>
      </c>
      <c r="H433">
        <v>40429</v>
      </c>
      <c r="I433">
        <v>212.25</v>
      </c>
      <c r="J433">
        <v>0.31</v>
      </c>
      <c r="K433">
        <v>60.287500000000001</v>
      </c>
    </row>
    <row r="434" spans="1:11" x14ac:dyDescent="0.25">
      <c r="A434" s="1" t="s">
        <v>10</v>
      </c>
      <c r="B434" s="1" t="s">
        <v>11</v>
      </c>
      <c r="C434" s="2">
        <v>44463</v>
      </c>
      <c r="D434">
        <v>61.15</v>
      </c>
      <c r="E434">
        <v>61.15</v>
      </c>
      <c r="F434">
        <v>58.8</v>
      </c>
      <c r="G434">
        <v>60.05</v>
      </c>
      <c r="H434">
        <v>9801</v>
      </c>
      <c r="I434">
        <v>211.9</v>
      </c>
      <c r="J434">
        <v>0.31</v>
      </c>
      <c r="K434">
        <v>60.287500000000001</v>
      </c>
    </row>
    <row r="435" spans="1:11" x14ac:dyDescent="0.25">
      <c r="A435" s="1" t="s">
        <v>10</v>
      </c>
      <c r="B435" s="1" t="s">
        <v>11</v>
      </c>
      <c r="C435" s="2">
        <v>44466</v>
      </c>
      <c r="D435">
        <v>59.9</v>
      </c>
      <c r="E435">
        <v>60.75</v>
      </c>
      <c r="F435">
        <v>58.9</v>
      </c>
      <c r="G435">
        <v>59.55</v>
      </c>
      <c r="H435">
        <v>7760</v>
      </c>
      <c r="I435">
        <v>210.13</v>
      </c>
      <c r="J435">
        <v>0.31</v>
      </c>
      <c r="K435">
        <v>59.774999999999999</v>
      </c>
    </row>
    <row r="436" spans="1:11" x14ac:dyDescent="0.25">
      <c r="A436" s="1" t="s">
        <v>10</v>
      </c>
      <c r="B436" s="1" t="s">
        <v>11</v>
      </c>
      <c r="C436" s="2">
        <v>44467</v>
      </c>
      <c r="D436">
        <v>60.45</v>
      </c>
      <c r="E436">
        <v>61.75</v>
      </c>
      <c r="F436">
        <v>56.85</v>
      </c>
      <c r="G436">
        <v>58</v>
      </c>
      <c r="H436">
        <v>11428</v>
      </c>
      <c r="I436">
        <v>204.66</v>
      </c>
      <c r="J436">
        <v>0.31</v>
      </c>
      <c r="K436">
        <v>59.262500000000003</v>
      </c>
    </row>
    <row r="437" spans="1:11" x14ac:dyDescent="0.25">
      <c r="A437" s="1" t="s">
        <v>10</v>
      </c>
      <c r="B437" s="1" t="s">
        <v>11</v>
      </c>
      <c r="C437" s="2">
        <v>44468</v>
      </c>
      <c r="D437">
        <v>58.2</v>
      </c>
      <c r="E437">
        <v>59.25</v>
      </c>
      <c r="F437">
        <v>57.5</v>
      </c>
      <c r="G437">
        <v>58.2</v>
      </c>
      <c r="H437">
        <v>11606</v>
      </c>
      <c r="I437">
        <v>205.37</v>
      </c>
      <c r="J437">
        <v>0.31</v>
      </c>
      <c r="K437">
        <v>58.287500000000001</v>
      </c>
    </row>
    <row r="438" spans="1:11" x14ac:dyDescent="0.25">
      <c r="A438" s="1" t="s">
        <v>10</v>
      </c>
      <c r="B438" s="1" t="s">
        <v>11</v>
      </c>
      <c r="C438" s="2">
        <v>44469</v>
      </c>
      <c r="D438">
        <v>61</v>
      </c>
      <c r="E438">
        <v>65.05</v>
      </c>
      <c r="F438">
        <v>60.9</v>
      </c>
      <c r="G438">
        <v>61.35</v>
      </c>
      <c r="H438">
        <v>165334</v>
      </c>
      <c r="I438">
        <v>216.48</v>
      </c>
      <c r="J438">
        <v>0.31</v>
      </c>
      <c r="K438">
        <v>62.075000000000003</v>
      </c>
    </row>
    <row r="439" spans="1:11" x14ac:dyDescent="0.25">
      <c r="A439" s="1" t="s">
        <v>10</v>
      </c>
      <c r="B439" s="1" t="s">
        <v>11</v>
      </c>
      <c r="C439" s="2">
        <v>44470</v>
      </c>
      <c r="D439">
        <v>60</v>
      </c>
      <c r="E439">
        <v>62.5</v>
      </c>
      <c r="F439">
        <v>60</v>
      </c>
      <c r="G439">
        <v>60.9</v>
      </c>
      <c r="H439">
        <v>13807</v>
      </c>
      <c r="I439">
        <v>214.89</v>
      </c>
      <c r="J439">
        <v>0.31</v>
      </c>
      <c r="K439">
        <v>60.85</v>
      </c>
    </row>
    <row r="440" spans="1:11" x14ac:dyDescent="0.25">
      <c r="A440" s="1" t="s">
        <v>10</v>
      </c>
      <c r="B440" s="1" t="s">
        <v>11</v>
      </c>
      <c r="C440" s="2">
        <v>44473</v>
      </c>
      <c r="D440">
        <v>61.4</v>
      </c>
      <c r="E440">
        <v>62.1</v>
      </c>
      <c r="F440">
        <v>60</v>
      </c>
      <c r="G440">
        <v>60.9</v>
      </c>
      <c r="H440">
        <v>6334</v>
      </c>
      <c r="I440">
        <v>214.89</v>
      </c>
      <c r="J440">
        <v>0.31</v>
      </c>
      <c r="K440">
        <v>61.1</v>
      </c>
    </row>
    <row r="441" spans="1:11" x14ac:dyDescent="0.25">
      <c r="A441" s="1" t="s">
        <v>10</v>
      </c>
      <c r="B441" s="1" t="s">
        <v>11</v>
      </c>
      <c r="C441" s="2">
        <v>44474</v>
      </c>
      <c r="D441">
        <v>60.7</v>
      </c>
      <c r="E441">
        <v>61.45</v>
      </c>
      <c r="F441">
        <v>60.1</v>
      </c>
      <c r="G441">
        <v>60.2</v>
      </c>
      <c r="H441">
        <v>12622</v>
      </c>
      <c r="I441">
        <v>212.42</v>
      </c>
      <c r="J441">
        <v>0.31</v>
      </c>
      <c r="K441">
        <v>60.612499999999997</v>
      </c>
    </row>
    <row r="442" spans="1:11" x14ac:dyDescent="0.25">
      <c r="A442" s="1" t="s">
        <v>10</v>
      </c>
      <c r="B442" s="1" t="s">
        <v>11</v>
      </c>
      <c r="C442" s="2">
        <v>44475</v>
      </c>
      <c r="D442">
        <v>60.95</v>
      </c>
      <c r="E442">
        <v>64.25</v>
      </c>
      <c r="F442">
        <v>60.7</v>
      </c>
      <c r="G442">
        <v>61.25</v>
      </c>
      <c r="H442">
        <v>23454</v>
      </c>
      <c r="I442">
        <v>216.13</v>
      </c>
      <c r="J442">
        <v>0.31</v>
      </c>
      <c r="K442">
        <v>61.787500000000001</v>
      </c>
    </row>
    <row r="443" spans="1:11" x14ac:dyDescent="0.25">
      <c r="A443" s="1" t="s">
        <v>10</v>
      </c>
      <c r="B443" s="1" t="s">
        <v>11</v>
      </c>
      <c r="C443" s="2">
        <v>44476</v>
      </c>
      <c r="D443">
        <v>62.65</v>
      </c>
      <c r="E443">
        <v>63.4</v>
      </c>
      <c r="F443">
        <v>61.65</v>
      </c>
      <c r="G443">
        <v>61.75</v>
      </c>
      <c r="H443">
        <v>9000</v>
      </c>
      <c r="I443">
        <v>217.89</v>
      </c>
      <c r="J443">
        <v>0.31</v>
      </c>
      <c r="K443">
        <v>62.362499999999997</v>
      </c>
    </row>
    <row r="444" spans="1:11" x14ac:dyDescent="0.25">
      <c r="A444" s="1" t="s">
        <v>10</v>
      </c>
      <c r="B444" s="1" t="s">
        <v>11</v>
      </c>
      <c r="C444" s="2">
        <v>44477</v>
      </c>
      <c r="D444">
        <v>61.75</v>
      </c>
      <c r="E444">
        <v>63.85</v>
      </c>
      <c r="F444">
        <v>60.75</v>
      </c>
      <c r="G444">
        <v>61.7</v>
      </c>
      <c r="H444">
        <v>8072</v>
      </c>
      <c r="I444">
        <v>217.72</v>
      </c>
      <c r="J444">
        <v>0.31</v>
      </c>
      <c r="K444">
        <v>62.012500000000003</v>
      </c>
    </row>
    <row r="445" spans="1:11" x14ac:dyDescent="0.25">
      <c r="A445" s="1" t="s">
        <v>10</v>
      </c>
      <c r="B445" s="1" t="s">
        <v>11</v>
      </c>
      <c r="C445" s="2">
        <v>44480</v>
      </c>
      <c r="D445">
        <v>62</v>
      </c>
      <c r="E445">
        <v>62.45</v>
      </c>
      <c r="F445">
        <v>60.5</v>
      </c>
      <c r="G445">
        <v>60.55</v>
      </c>
      <c r="H445">
        <v>14445</v>
      </c>
      <c r="I445">
        <v>213.66</v>
      </c>
      <c r="J445">
        <v>0.31</v>
      </c>
      <c r="K445">
        <v>61.375</v>
      </c>
    </row>
    <row r="446" spans="1:11" x14ac:dyDescent="0.25">
      <c r="A446" s="1" t="s">
        <v>10</v>
      </c>
      <c r="B446" s="1" t="s">
        <v>11</v>
      </c>
      <c r="C446" s="2">
        <v>44481</v>
      </c>
      <c r="D446">
        <v>60.75</v>
      </c>
      <c r="E446">
        <v>63.7</v>
      </c>
      <c r="F446">
        <v>60.25</v>
      </c>
      <c r="G446">
        <v>62.8</v>
      </c>
      <c r="H446">
        <v>24489</v>
      </c>
      <c r="I446">
        <v>221.6</v>
      </c>
      <c r="J446">
        <v>0.31</v>
      </c>
      <c r="K446">
        <v>61.875</v>
      </c>
    </row>
    <row r="447" spans="1:11" x14ac:dyDescent="0.25">
      <c r="A447" s="1" t="s">
        <v>10</v>
      </c>
      <c r="B447" s="1" t="s">
        <v>11</v>
      </c>
      <c r="C447" s="2">
        <v>44482</v>
      </c>
      <c r="D447">
        <v>65.349999999999994</v>
      </c>
      <c r="E447">
        <v>65.7</v>
      </c>
      <c r="F447">
        <v>62.95</v>
      </c>
      <c r="G447">
        <v>63.25</v>
      </c>
      <c r="H447">
        <v>43708</v>
      </c>
      <c r="I447">
        <v>223.19</v>
      </c>
      <c r="J447">
        <v>0.31</v>
      </c>
      <c r="K447">
        <v>64.3125</v>
      </c>
    </row>
    <row r="448" spans="1:11" x14ac:dyDescent="0.25">
      <c r="A448" s="1" t="s">
        <v>10</v>
      </c>
      <c r="B448" s="1" t="s">
        <v>11</v>
      </c>
      <c r="C448" s="2">
        <v>44483</v>
      </c>
      <c r="D448">
        <v>62.45</v>
      </c>
      <c r="E448">
        <v>65</v>
      </c>
      <c r="F448">
        <v>62.15</v>
      </c>
      <c r="G448">
        <v>62.7</v>
      </c>
      <c r="H448">
        <v>12118</v>
      </c>
      <c r="I448">
        <v>221.25</v>
      </c>
      <c r="J448">
        <v>0.31</v>
      </c>
      <c r="K448">
        <v>63.075000000000003</v>
      </c>
    </row>
    <row r="449" spans="1:11" x14ac:dyDescent="0.25">
      <c r="A449" s="1" t="s">
        <v>10</v>
      </c>
      <c r="B449" s="1" t="s">
        <v>11</v>
      </c>
      <c r="C449" s="2">
        <v>44487</v>
      </c>
      <c r="D449">
        <v>63.1</v>
      </c>
      <c r="E449">
        <v>64.5</v>
      </c>
      <c r="F449">
        <v>61.6</v>
      </c>
      <c r="G449">
        <v>62.8</v>
      </c>
      <c r="H449">
        <v>22643</v>
      </c>
      <c r="I449">
        <v>221.6</v>
      </c>
      <c r="J449">
        <v>0.31</v>
      </c>
      <c r="K449">
        <v>63</v>
      </c>
    </row>
    <row r="450" spans="1:11" x14ac:dyDescent="0.25">
      <c r="A450" s="1" t="s">
        <v>10</v>
      </c>
      <c r="B450" s="1" t="s">
        <v>11</v>
      </c>
      <c r="C450" s="2">
        <v>44488</v>
      </c>
      <c r="D450">
        <v>63.8</v>
      </c>
      <c r="E450">
        <v>64.45</v>
      </c>
      <c r="F450">
        <v>60.6</v>
      </c>
      <c r="G450">
        <v>61.05</v>
      </c>
      <c r="H450">
        <v>41874</v>
      </c>
      <c r="I450">
        <v>215.42</v>
      </c>
      <c r="J450">
        <v>0.31</v>
      </c>
      <c r="K450">
        <v>62.475000000000001</v>
      </c>
    </row>
    <row r="451" spans="1:11" x14ac:dyDescent="0.25">
      <c r="A451" s="1" t="s">
        <v>10</v>
      </c>
      <c r="B451" s="1" t="s">
        <v>11</v>
      </c>
      <c r="C451" s="2">
        <v>44489</v>
      </c>
      <c r="D451">
        <v>61.25</v>
      </c>
      <c r="E451">
        <v>63.25</v>
      </c>
      <c r="F451">
        <v>60.05</v>
      </c>
      <c r="G451">
        <v>62.7</v>
      </c>
      <c r="H451">
        <v>7363</v>
      </c>
      <c r="I451">
        <v>221.25</v>
      </c>
      <c r="J451">
        <v>0.31</v>
      </c>
      <c r="K451">
        <v>61.8125</v>
      </c>
    </row>
    <row r="452" spans="1:11" x14ac:dyDescent="0.25">
      <c r="A452" s="1" t="s">
        <v>10</v>
      </c>
      <c r="B452" s="1" t="s">
        <v>11</v>
      </c>
      <c r="C452" s="2">
        <v>44490</v>
      </c>
      <c r="D452">
        <v>64.75</v>
      </c>
      <c r="E452">
        <v>64.8</v>
      </c>
      <c r="F452">
        <v>58.4</v>
      </c>
      <c r="G452">
        <v>59.35</v>
      </c>
      <c r="H452">
        <v>32635</v>
      </c>
      <c r="I452">
        <v>209.43</v>
      </c>
      <c r="J452">
        <v>0.31</v>
      </c>
      <c r="K452">
        <v>61.825000000000003</v>
      </c>
    </row>
    <row r="453" spans="1:11" x14ac:dyDescent="0.25">
      <c r="A453" s="1" t="s">
        <v>10</v>
      </c>
      <c r="B453" s="1" t="s">
        <v>11</v>
      </c>
      <c r="C453" s="2">
        <v>44491</v>
      </c>
      <c r="D453">
        <v>60.5</v>
      </c>
      <c r="E453">
        <v>61.8</v>
      </c>
      <c r="F453">
        <v>56.65</v>
      </c>
      <c r="G453">
        <v>58.35</v>
      </c>
      <c r="H453">
        <v>19074</v>
      </c>
      <c r="I453">
        <v>205.9</v>
      </c>
      <c r="J453">
        <v>0.31</v>
      </c>
      <c r="K453">
        <v>59.325000000000003</v>
      </c>
    </row>
    <row r="454" spans="1:11" x14ac:dyDescent="0.25">
      <c r="A454" s="1" t="s">
        <v>10</v>
      </c>
      <c r="B454" s="1" t="s">
        <v>11</v>
      </c>
      <c r="C454" s="2">
        <v>44494</v>
      </c>
      <c r="D454">
        <v>61.8</v>
      </c>
      <c r="E454">
        <v>61.8</v>
      </c>
      <c r="F454">
        <v>55.5</v>
      </c>
      <c r="G454">
        <v>56.95</v>
      </c>
      <c r="H454">
        <v>9350</v>
      </c>
      <c r="I454">
        <v>200.96</v>
      </c>
      <c r="J454">
        <v>0.31</v>
      </c>
      <c r="K454">
        <v>59.012500000000003</v>
      </c>
    </row>
    <row r="455" spans="1:11" x14ac:dyDescent="0.25">
      <c r="A455" s="1" t="s">
        <v>10</v>
      </c>
      <c r="B455" s="1" t="s">
        <v>11</v>
      </c>
      <c r="C455" s="2">
        <v>44495</v>
      </c>
      <c r="D455">
        <v>56</v>
      </c>
      <c r="E455">
        <v>58.8</v>
      </c>
      <c r="F455">
        <v>56</v>
      </c>
      <c r="G455">
        <v>57.95</v>
      </c>
      <c r="H455">
        <v>9339</v>
      </c>
      <c r="I455">
        <v>204.49</v>
      </c>
      <c r="J455">
        <v>0.31</v>
      </c>
      <c r="K455">
        <v>57.1875</v>
      </c>
    </row>
    <row r="456" spans="1:11" x14ac:dyDescent="0.25">
      <c r="A456" s="1" t="s">
        <v>10</v>
      </c>
      <c r="B456" s="1" t="s">
        <v>11</v>
      </c>
      <c r="C456" s="2">
        <v>44496</v>
      </c>
      <c r="D456">
        <v>61</v>
      </c>
      <c r="E456">
        <v>61</v>
      </c>
      <c r="F456">
        <v>57.3</v>
      </c>
      <c r="G456">
        <v>60.25</v>
      </c>
      <c r="H456">
        <v>12065</v>
      </c>
      <c r="I456">
        <v>212.6</v>
      </c>
      <c r="J456">
        <v>0.31</v>
      </c>
      <c r="K456">
        <v>59.887500000000003</v>
      </c>
    </row>
    <row r="457" spans="1:11" x14ac:dyDescent="0.25">
      <c r="A457" s="1" t="s">
        <v>10</v>
      </c>
      <c r="B457" s="1" t="s">
        <v>11</v>
      </c>
      <c r="C457" s="2">
        <v>44497</v>
      </c>
      <c r="D457">
        <v>58.55</v>
      </c>
      <c r="E457">
        <v>60.3</v>
      </c>
      <c r="F457">
        <v>58.5</v>
      </c>
      <c r="G457">
        <v>59.3</v>
      </c>
      <c r="H457">
        <v>13292</v>
      </c>
      <c r="I457">
        <v>209.25</v>
      </c>
      <c r="J457">
        <v>0.31</v>
      </c>
      <c r="K457">
        <v>59.162500000000001</v>
      </c>
    </row>
    <row r="458" spans="1:11" x14ac:dyDescent="0.25">
      <c r="A458" s="1" t="s">
        <v>10</v>
      </c>
      <c r="B458" s="1" t="s">
        <v>11</v>
      </c>
      <c r="C458" s="2">
        <v>44498</v>
      </c>
      <c r="D458">
        <v>59.05</v>
      </c>
      <c r="E458">
        <v>59.5</v>
      </c>
      <c r="F458">
        <v>58</v>
      </c>
      <c r="G458">
        <v>58.5</v>
      </c>
      <c r="H458">
        <v>2200</v>
      </c>
      <c r="I458">
        <v>206.43</v>
      </c>
      <c r="J458">
        <v>0.31</v>
      </c>
      <c r="K458">
        <v>58.762500000000003</v>
      </c>
    </row>
    <row r="459" spans="1:11" x14ac:dyDescent="0.25">
      <c r="A459" s="1" t="s">
        <v>10</v>
      </c>
      <c r="B459" s="1" t="s">
        <v>11</v>
      </c>
      <c r="C459" s="2">
        <v>44501</v>
      </c>
      <c r="D459">
        <v>58.8</v>
      </c>
      <c r="E459">
        <v>59.35</v>
      </c>
      <c r="F459">
        <v>57.5</v>
      </c>
      <c r="G459">
        <v>58.2</v>
      </c>
      <c r="H459">
        <v>4097</v>
      </c>
      <c r="I459">
        <v>205.37</v>
      </c>
      <c r="J459">
        <v>0.31</v>
      </c>
      <c r="K459">
        <v>58.462499999999999</v>
      </c>
    </row>
    <row r="460" spans="1:11" x14ac:dyDescent="0.25">
      <c r="A460" s="1" t="s">
        <v>10</v>
      </c>
      <c r="B460" s="1" t="s">
        <v>11</v>
      </c>
      <c r="C460" s="2">
        <v>44502</v>
      </c>
      <c r="D460">
        <v>58.7</v>
      </c>
      <c r="E460">
        <v>59</v>
      </c>
      <c r="F460">
        <v>58.15</v>
      </c>
      <c r="G460">
        <v>58.5</v>
      </c>
      <c r="H460">
        <v>4552</v>
      </c>
      <c r="I460">
        <v>206.43</v>
      </c>
      <c r="J460">
        <v>0.31</v>
      </c>
      <c r="K460">
        <v>58.587499999999999</v>
      </c>
    </row>
    <row r="461" spans="1:11" x14ac:dyDescent="0.25">
      <c r="A461" s="1" t="s">
        <v>10</v>
      </c>
      <c r="B461" s="1" t="s">
        <v>11</v>
      </c>
      <c r="C461" s="2">
        <v>44503</v>
      </c>
      <c r="D461">
        <v>59.4</v>
      </c>
      <c r="E461">
        <v>60</v>
      </c>
      <c r="F461">
        <v>56</v>
      </c>
      <c r="G461">
        <v>58.4</v>
      </c>
      <c r="H461">
        <v>5185</v>
      </c>
      <c r="I461">
        <v>206.07</v>
      </c>
      <c r="J461">
        <v>0.31</v>
      </c>
      <c r="K461">
        <v>58.45</v>
      </c>
    </row>
    <row r="462" spans="1:11" x14ac:dyDescent="0.25">
      <c r="A462" s="1" t="s">
        <v>10</v>
      </c>
      <c r="B462" s="1" t="s">
        <v>11</v>
      </c>
      <c r="C462" s="2">
        <v>44504</v>
      </c>
      <c r="D462">
        <v>59.7</v>
      </c>
      <c r="E462">
        <v>60.45</v>
      </c>
      <c r="F462">
        <v>58.35</v>
      </c>
      <c r="G462">
        <v>59.55</v>
      </c>
      <c r="H462">
        <v>10454</v>
      </c>
      <c r="I462">
        <v>210.13</v>
      </c>
      <c r="J462">
        <v>0.31</v>
      </c>
      <c r="K462">
        <v>59.512500000000003</v>
      </c>
    </row>
    <row r="463" spans="1:11" x14ac:dyDescent="0.25">
      <c r="A463" s="1" t="s">
        <v>10</v>
      </c>
      <c r="B463" s="1" t="s">
        <v>11</v>
      </c>
      <c r="C463" s="2">
        <v>44508</v>
      </c>
      <c r="D463">
        <v>60.85</v>
      </c>
      <c r="E463">
        <v>60.85</v>
      </c>
      <c r="F463">
        <v>59.1</v>
      </c>
      <c r="G463">
        <v>60.15</v>
      </c>
      <c r="H463">
        <v>3085</v>
      </c>
      <c r="I463">
        <v>212.25</v>
      </c>
      <c r="J463">
        <v>0.31</v>
      </c>
      <c r="K463">
        <v>60.237499999999997</v>
      </c>
    </row>
    <row r="464" spans="1:11" x14ac:dyDescent="0.25">
      <c r="A464" s="1" t="s">
        <v>10</v>
      </c>
      <c r="B464" s="1" t="s">
        <v>11</v>
      </c>
      <c r="C464" s="2">
        <v>44509</v>
      </c>
      <c r="D464">
        <v>59.55</v>
      </c>
      <c r="E464">
        <v>63</v>
      </c>
      <c r="F464">
        <v>59.05</v>
      </c>
      <c r="G464">
        <v>61.6</v>
      </c>
      <c r="H464">
        <v>73398</v>
      </c>
      <c r="I464">
        <v>217.36</v>
      </c>
      <c r="J464">
        <v>0.31</v>
      </c>
      <c r="K464">
        <v>60.8</v>
      </c>
    </row>
    <row r="465" spans="1:11" x14ac:dyDescent="0.25">
      <c r="A465" s="1" t="s">
        <v>10</v>
      </c>
      <c r="B465" s="1" t="s">
        <v>11</v>
      </c>
      <c r="C465" s="2">
        <v>44510</v>
      </c>
      <c r="D465">
        <v>61.35</v>
      </c>
      <c r="E465">
        <v>63.5</v>
      </c>
      <c r="F465">
        <v>60.8</v>
      </c>
      <c r="G465">
        <v>62.85</v>
      </c>
      <c r="H465">
        <v>13106</v>
      </c>
      <c r="I465">
        <v>221.78</v>
      </c>
      <c r="J465">
        <v>0.31</v>
      </c>
      <c r="K465">
        <v>62.125</v>
      </c>
    </row>
    <row r="466" spans="1:11" x14ac:dyDescent="0.25">
      <c r="A466" s="1" t="s">
        <v>10</v>
      </c>
      <c r="B466" s="1" t="s">
        <v>11</v>
      </c>
      <c r="C466" s="2">
        <v>44511</v>
      </c>
      <c r="D466">
        <v>61.65</v>
      </c>
      <c r="E466">
        <v>68.5</v>
      </c>
      <c r="F466">
        <v>61.65</v>
      </c>
      <c r="G466">
        <v>66</v>
      </c>
      <c r="H466">
        <v>171576</v>
      </c>
      <c r="I466">
        <v>232.89</v>
      </c>
      <c r="J466">
        <v>0.31</v>
      </c>
      <c r="K466">
        <v>64.45</v>
      </c>
    </row>
    <row r="467" spans="1:11" x14ac:dyDescent="0.25">
      <c r="A467" s="1" t="s">
        <v>10</v>
      </c>
      <c r="B467" s="1" t="s">
        <v>11</v>
      </c>
      <c r="C467" s="2">
        <v>44512</v>
      </c>
      <c r="D467">
        <v>67</v>
      </c>
      <c r="E467">
        <v>68</v>
      </c>
      <c r="F467">
        <v>64.2</v>
      </c>
      <c r="G467">
        <v>64.45</v>
      </c>
      <c r="H467">
        <v>21103</v>
      </c>
      <c r="I467">
        <v>227.42</v>
      </c>
      <c r="J467">
        <v>0.31</v>
      </c>
      <c r="K467">
        <v>65.912499999999994</v>
      </c>
    </row>
    <row r="468" spans="1:11" x14ac:dyDescent="0.25">
      <c r="A468" s="1" t="s">
        <v>10</v>
      </c>
      <c r="B468" s="1" t="s">
        <v>11</v>
      </c>
      <c r="C468" s="2">
        <v>44515</v>
      </c>
      <c r="D468">
        <v>64.3</v>
      </c>
      <c r="E468">
        <v>65</v>
      </c>
      <c r="F468">
        <v>60.3</v>
      </c>
      <c r="G468">
        <v>61.45</v>
      </c>
      <c r="H468">
        <v>23552</v>
      </c>
      <c r="I468">
        <v>216.84</v>
      </c>
      <c r="J468">
        <v>0.31</v>
      </c>
      <c r="K468">
        <v>62.762500000000003</v>
      </c>
    </row>
    <row r="469" spans="1:11" x14ac:dyDescent="0.25">
      <c r="A469" s="1" t="s">
        <v>10</v>
      </c>
      <c r="B469" s="1" t="s">
        <v>11</v>
      </c>
      <c r="C469" s="2">
        <v>44516</v>
      </c>
      <c r="D469">
        <v>61.4</v>
      </c>
      <c r="E469">
        <v>63.8</v>
      </c>
      <c r="F469">
        <v>61.4</v>
      </c>
      <c r="G469">
        <v>61.95</v>
      </c>
      <c r="H469">
        <v>13437</v>
      </c>
      <c r="I469">
        <v>218.6</v>
      </c>
      <c r="J469">
        <v>0.31</v>
      </c>
      <c r="K469">
        <v>62.137500000000003</v>
      </c>
    </row>
    <row r="470" spans="1:11" x14ac:dyDescent="0.25">
      <c r="A470" s="1" t="s">
        <v>10</v>
      </c>
      <c r="B470" s="1" t="s">
        <v>11</v>
      </c>
      <c r="C470" s="2">
        <v>44517</v>
      </c>
      <c r="D470">
        <v>61.95</v>
      </c>
      <c r="E470">
        <v>62.8</v>
      </c>
      <c r="F470">
        <v>60.1</v>
      </c>
      <c r="G470">
        <v>60.85</v>
      </c>
      <c r="H470">
        <v>7343</v>
      </c>
      <c r="I470">
        <v>214.72</v>
      </c>
      <c r="J470">
        <v>0.31</v>
      </c>
      <c r="K470">
        <v>61.424999999999997</v>
      </c>
    </row>
    <row r="471" spans="1:11" x14ac:dyDescent="0.25">
      <c r="A471" s="1" t="s">
        <v>10</v>
      </c>
      <c r="B471" s="1" t="s">
        <v>11</v>
      </c>
      <c r="C471" s="2">
        <v>44518</v>
      </c>
      <c r="D471">
        <v>61</v>
      </c>
      <c r="E471">
        <v>62.7</v>
      </c>
      <c r="F471">
        <v>59.35</v>
      </c>
      <c r="G471">
        <v>60.35</v>
      </c>
      <c r="H471">
        <v>7412</v>
      </c>
      <c r="I471">
        <v>212.95</v>
      </c>
      <c r="J471">
        <v>0.31</v>
      </c>
      <c r="K471">
        <v>60.85</v>
      </c>
    </row>
    <row r="472" spans="1:11" x14ac:dyDescent="0.25">
      <c r="A472" s="1" t="s">
        <v>10</v>
      </c>
      <c r="B472" s="1" t="s">
        <v>11</v>
      </c>
      <c r="C472" s="2">
        <v>44522</v>
      </c>
      <c r="D472">
        <v>61.75</v>
      </c>
      <c r="E472">
        <v>61.8</v>
      </c>
      <c r="F472">
        <v>57</v>
      </c>
      <c r="G472">
        <v>58.05</v>
      </c>
      <c r="H472">
        <v>32200</v>
      </c>
      <c r="I472">
        <v>204.84</v>
      </c>
      <c r="J472">
        <v>0.31</v>
      </c>
      <c r="K472">
        <v>59.65</v>
      </c>
    </row>
    <row r="473" spans="1:11" x14ac:dyDescent="0.25">
      <c r="A473" s="1" t="s">
        <v>10</v>
      </c>
      <c r="B473" s="1" t="s">
        <v>11</v>
      </c>
      <c r="C473" s="2">
        <v>44523</v>
      </c>
      <c r="D473">
        <v>56.2</v>
      </c>
      <c r="E473">
        <v>61.25</v>
      </c>
      <c r="F473">
        <v>56.2</v>
      </c>
      <c r="G473">
        <v>60.05</v>
      </c>
      <c r="H473">
        <v>22751</v>
      </c>
      <c r="I473">
        <v>211.9</v>
      </c>
      <c r="J473">
        <v>0.31</v>
      </c>
      <c r="K473">
        <v>58.424999999999997</v>
      </c>
    </row>
    <row r="474" spans="1:11" x14ac:dyDescent="0.25">
      <c r="A474" s="1" t="s">
        <v>10</v>
      </c>
      <c r="B474" s="1" t="s">
        <v>11</v>
      </c>
      <c r="C474" s="2">
        <v>44524</v>
      </c>
      <c r="D474">
        <v>61</v>
      </c>
      <c r="E474">
        <v>62</v>
      </c>
      <c r="F474">
        <v>59.35</v>
      </c>
      <c r="G474">
        <v>59.95</v>
      </c>
      <c r="H474">
        <v>14483</v>
      </c>
      <c r="I474">
        <v>211.54</v>
      </c>
      <c r="J474">
        <v>0.31</v>
      </c>
      <c r="K474">
        <v>60.575000000000003</v>
      </c>
    </row>
    <row r="475" spans="1:11" x14ac:dyDescent="0.25">
      <c r="A475" s="1" t="s">
        <v>10</v>
      </c>
      <c r="B475" s="1" t="s">
        <v>11</v>
      </c>
      <c r="C475" s="2">
        <v>44525</v>
      </c>
      <c r="D475">
        <v>60.9</v>
      </c>
      <c r="E475">
        <v>62</v>
      </c>
      <c r="F475">
        <v>60.4</v>
      </c>
      <c r="G475">
        <v>61.05</v>
      </c>
      <c r="H475">
        <v>14903</v>
      </c>
      <c r="I475">
        <v>215.42</v>
      </c>
      <c r="J475">
        <v>0.31</v>
      </c>
      <c r="K475">
        <v>61.087499999999999</v>
      </c>
    </row>
    <row r="476" spans="1:11" x14ac:dyDescent="0.25">
      <c r="A476" s="1" t="s">
        <v>10</v>
      </c>
      <c r="B476" s="1" t="s">
        <v>11</v>
      </c>
      <c r="C476" s="2">
        <v>44526</v>
      </c>
      <c r="D476">
        <v>60.8</v>
      </c>
      <c r="E476">
        <v>60.9</v>
      </c>
      <c r="F476">
        <v>58.3</v>
      </c>
      <c r="G476">
        <v>58.95</v>
      </c>
      <c r="H476">
        <v>7297</v>
      </c>
      <c r="I476">
        <v>208.01</v>
      </c>
      <c r="J476">
        <v>0.31</v>
      </c>
      <c r="K476">
        <v>59.737499999999997</v>
      </c>
    </row>
    <row r="477" spans="1:11" x14ac:dyDescent="0.25">
      <c r="A477" s="1" t="s">
        <v>10</v>
      </c>
      <c r="B477" s="1" t="s">
        <v>11</v>
      </c>
      <c r="C477" s="2">
        <v>44529</v>
      </c>
      <c r="D477">
        <v>60</v>
      </c>
      <c r="E477">
        <v>60</v>
      </c>
      <c r="F477">
        <v>55.9</v>
      </c>
      <c r="G477">
        <v>57.75</v>
      </c>
      <c r="H477">
        <v>10069</v>
      </c>
      <c r="I477">
        <v>203.78</v>
      </c>
      <c r="J477">
        <v>0.31</v>
      </c>
      <c r="K477">
        <v>58.412500000000001</v>
      </c>
    </row>
    <row r="478" spans="1:11" x14ac:dyDescent="0.25">
      <c r="A478" s="1" t="s">
        <v>10</v>
      </c>
      <c r="B478" s="1" t="s">
        <v>11</v>
      </c>
      <c r="C478" s="2">
        <v>44530</v>
      </c>
      <c r="D478">
        <v>56</v>
      </c>
      <c r="E478">
        <v>60</v>
      </c>
      <c r="F478">
        <v>56</v>
      </c>
      <c r="G478">
        <v>58.15</v>
      </c>
      <c r="H478">
        <v>11153</v>
      </c>
      <c r="I478">
        <v>205.19</v>
      </c>
      <c r="J478">
        <v>0.31</v>
      </c>
      <c r="K478">
        <v>57.537500000000001</v>
      </c>
    </row>
    <row r="479" spans="1:11" x14ac:dyDescent="0.25">
      <c r="A479" s="1" t="s">
        <v>10</v>
      </c>
      <c r="B479" s="1" t="s">
        <v>11</v>
      </c>
      <c r="C479" s="2">
        <v>44531</v>
      </c>
      <c r="D479">
        <v>59.5</v>
      </c>
      <c r="E479">
        <v>59.5</v>
      </c>
      <c r="F479">
        <v>57.25</v>
      </c>
      <c r="G479">
        <v>58.6</v>
      </c>
      <c r="H479">
        <v>7847</v>
      </c>
      <c r="I479">
        <v>206.78</v>
      </c>
      <c r="J479">
        <v>0.31</v>
      </c>
      <c r="K479">
        <v>58.712499999999999</v>
      </c>
    </row>
    <row r="480" spans="1:11" x14ac:dyDescent="0.25">
      <c r="A480" s="1" t="s">
        <v>10</v>
      </c>
      <c r="B480" s="1" t="s">
        <v>11</v>
      </c>
      <c r="C480" s="2">
        <v>44532</v>
      </c>
      <c r="D480">
        <v>56</v>
      </c>
      <c r="E480">
        <v>59</v>
      </c>
      <c r="F480">
        <v>56</v>
      </c>
      <c r="G480">
        <v>58.35</v>
      </c>
      <c r="H480">
        <v>6691</v>
      </c>
      <c r="I480">
        <v>205.9</v>
      </c>
      <c r="J480">
        <v>0.31</v>
      </c>
      <c r="K480">
        <v>57.337499999999999</v>
      </c>
    </row>
    <row r="481" spans="1:11" x14ac:dyDescent="0.25">
      <c r="A481" s="1" t="s">
        <v>10</v>
      </c>
      <c r="B481" s="1" t="s">
        <v>11</v>
      </c>
      <c r="C481" s="2">
        <v>44533</v>
      </c>
      <c r="D481">
        <v>58.05</v>
      </c>
      <c r="E481">
        <v>59.4</v>
      </c>
      <c r="F481">
        <v>58</v>
      </c>
      <c r="G481">
        <v>58.9</v>
      </c>
      <c r="H481">
        <v>1268</v>
      </c>
      <c r="I481">
        <v>207.84</v>
      </c>
      <c r="J481">
        <v>0.31</v>
      </c>
      <c r="K481">
        <v>58.587499999999999</v>
      </c>
    </row>
    <row r="482" spans="1:11" x14ac:dyDescent="0.25">
      <c r="A482" s="1" t="s">
        <v>10</v>
      </c>
      <c r="B482" s="1" t="s">
        <v>11</v>
      </c>
      <c r="C482" s="2">
        <v>44536</v>
      </c>
      <c r="D482">
        <v>59.95</v>
      </c>
      <c r="E482">
        <v>60</v>
      </c>
      <c r="F482">
        <v>58.1</v>
      </c>
      <c r="G482">
        <v>58.55</v>
      </c>
      <c r="H482">
        <v>13870</v>
      </c>
      <c r="I482">
        <v>206.6</v>
      </c>
      <c r="J482">
        <v>0.31</v>
      </c>
      <c r="K482">
        <v>59.15</v>
      </c>
    </row>
    <row r="483" spans="1:11" x14ac:dyDescent="0.25">
      <c r="A483" s="1" t="s">
        <v>10</v>
      </c>
      <c r="B483" s="1" t="s">
        <v>11</v>
      </c>
      <c r="C483" s="2">
        <v>44537</v>
      </c>
      <c r="D483">
        <v>58</v>
      </c>
      <c r="E483">
        <v>64</v>
      </c>
      <c r="F483">
        <v>58</v>
      </c>
      <c r="G483">
        <v>62.3</v>
      </c>
      <c r="H483">
        <v>22978</v>
      </c>
      <c r="I483">
        <v>219.83</v>
      </c>
      <c r="J483">
        <v>0.31</v>
      </c>
      <c r="K483">
        <v>60.575000000000003</v>
      </c>
    </row>
    <row r="484" spans="1:11" x14ac:dyDescent="0.25">
      <c r="A484" s="1" t="s">
        <v>10</v>
      </c>
      <c r="B484" s="1" t="s">
        <v>11</v>
      </c>
      <c r="C484" s="2">
        <v>44538</v>
      </c>
      <c r="D484">
        <v>62</v>
      </c>
      <c r="E484">
        <v>63</v>
      </c>
      <c r="F484">
        <v>61.1</v>
      </c>
      <c r="G484">
        <v>61.4</v>
      </c>
      <c r="H484">
        <v>8239</v>
      </c>
      <c r="I484">
        <v>216.66</v>
      </c>
      <c r="J484">
        <v>0.31</v>
      </c>
      <c r="K484">
        <v>61.875</v>
      </c>
    </row>
    <row r="485" spans="1:11" x14ac:dyDescent="0.25">
      <c r="A485" s="1" t="s">
        <v>10</v>
      </c>
      <c r="B485" s="1" t="s">
        <v>11</v>
      </c>
      <c r="C485" s="2">
        <v>44539</v>
      </c>
      <c r="D485">
        <v>62.3</v>
      </c>
      <c r="E485">
        <v>62.85</v>
      </c>
      <c r="F485">
        <v>61.35</v>
      </c>
      <c r="G485">
        <v>61.9</v>
      </c>
      <c r="H485">
        <v>4701</v>
      </c>
      <c r="I485">
        <v>218.42</v>
      </c>
      <c r="J485">
        <v>0.31</v>
      </c>
      <c r="K485">
        <v>62.1</v>
      </c>
    </row>
    <row r="486" spans="1:11" x14ac:dyDescent="0.25">
      <c r="A486" s="1" t="s">
        <v>10</v>
      </c>
      <c r="B486" s="1" t="s">
        <v>11</v>
      </c>
      <c r="C486" s="2">
        <v>44540</v>
      </c>
      <c r="D486">
        <v>61.15</v>
      </c>
      <c r="E486">
        <v>66</v>
      </c>
      <c r="F486">
        <v>61.15</v>
      </c>
      <c r="G486">
        <v>63.25</v>
      </c>
      <c r="H486">
        <v>40936</v>
      </c>
      <c r="I486">
        <v>223.19</v>
      </c>
      <c r="J486">
        <v>0.31</v>
      </c>
      <c r="K486">
        <v>62.887500000000003</v>
      </c>
    </row>
    <row r="487" spans="1:11" x14ac:dyDescent="0.25">
      <c r="A487" s="1" t="s">
        <v>10</v>
      </c>
      <c r="B487" s="1" t="s">
        <v>11</v>
      </c>
      <c r="C487" s="2">
        <v>44543</v>
      </c>
      <c r="D487">
        <v>63.25</v>
      </c>
      <c r="E487">
        <v>65</v>
      </c>
      <c r="F487">
        <v>62.85</v>
      </c>
      <c r="G487">
        <v>63.05</v>
      </c>
      <c r="H487">
        <v>7225</v>
      </c>
      <c r="I487">
        <v>222.48</v>
      </c>
      <c r="J487">
        <v>0.31</v>
      </c>
      <c r="K487">
        <v>63.537500000000001</v>
      </c>
    </row>
    <row r="488" spans="1:11" x14ac:dyDescent="0.25">
      <c r="A488" s="1" t="s">
        <v>10</v>
      </c>
      <c r="B488" s="1" t="s">
        <v>11</v>
      </c>
      <c r="C488" s="2">
        <v>44544</v>
      </c>
      <c r="D488">
        <v>65</v>
      </c>
      <c r="E488">
        <v>65</v>
      </c>
      <c r="F488">
        <v>61.4</v>
      </c>
      <c r="G488">
        <v>62.1</v>
      </c>
      <c r="H488">
        <v>2972</v>
      </c>
      <c r="I488">
        <v>219.13</v>
      </c>
      <c r="J488">
        <v>0.31</v>
      </c>
      <c r="K488">
        <v>63.375</v>
      </c>
    </row>
    <row r="489" spans="1:11" x14ac:dyDescent="0.25">
      <c r="A489" s="1" t="s">
        <v>10</v>
      </c>
      <c r="B489" s="1" t="s">
        <v>11</v>
      </c>
      <c r="C489" s="2">
        <v>44545</v>
      </c>
      <c r="D489">
        <v>62.7</v>
      </c>
      <c r="E489">
        <v>74.5</v>
      </c>
      <c r="F489">
        <v>61.85</v>
      </c>
      <c r="G489">
        <v>62.4</v>
      </c>
      <c r="H489">
        <v>425352</v>
      </c>
      <c r="I489">
        <v>220.19</v>
      </c>
      <c r="J489">
        <v>0.31</v>
      </c>
      <c r="K489">
        <v>65.362499999999997</v>
      </c>
    </row>
    <row r="490" spans="1:11" x14ac:dyDescent="0.25">
      <c r="A490" s="1" t="s">
        <v>10</v>
      </c>
      <c r="B490" s="1" t="s">
        <v>11</v>
      </c>
      <c r="C490" s="2">
        <v>44546</v>
      </c>
      <c r="D490">
        <v>63.8</v>
      </c>
      <c r="E490">
        <v>64.2</v>
      </c>
      <c r="F490">
        <v>60.4</v>
      </c>
      <c r="G490">
        <v>61.5</v>
      </c>
      <c r="H490">
        <v>78719</v>
      </c>
      <c r="I490">
        <v>217.01</v>
      </c>
      <c r="J490">
        <v>0.31</v>
      </c>
      <c r="K490">
        <v>62.475000000000001</v>
      </c>
    </row>
    <row r="491" spans="1:11" x14ac:dyDescent="0.25">
      <c r="A491" s="1" t="s">
        <v>10</v>
      </c>
      <c r="B491" s="1" t="s">
        <v>11</v>
      </c>
      <c r="C491" s="2">
        <v>44547</v>
      </c>
      <c r="D491">
        <v>60.55</v>
      </c>
      <c r="E491">
        <v>61.8</v>
      </c>
      <c r="F491">
        <v>58</v>
      </c>
      <c r="G491">
        <v>58.95</v>
      </c>
      <c r="H491">
        <v>84808</v>
      </c>
      <c r="I491">
        <v>208.01</v>
      </c>
      <c r="J491">
        <v>0.31</v>
      </c>
      <c r="K491">
        <v>59.825000000000003</v>
      </c>
    </row>
    <row r="492" spans="1:11" x14ac:dyDescent="0.25">
      <c r="A492" s="1" t="s">
        <v>10</v>
      </c>
      <c r="B492" s="1" t="s">
        <v>11</v>
      </c>
      <c r="C492" s="2">
        <v>44550</v>
      </c>
      <c r="D492">
        <v>58</v>
      </c>
      <c r="E492">
        <v>58.2</v>
      </c>
      <c r="F492">
        <v>54.5</v>
      </c>
      <c r="G492">
        <v>55.9</v>
      </c>
      <c r="H492">
        <v>28350</v>
      </c>
      <c r="I492">
        <v>197.25</v>
      </c>
      <c r="J492">
        <v>0.31</v>
      </c>
      <c r="K492">
        <v>56.65</v>
      </c>
    </row>
    <row r="493" spans="1:11" x14ac:dyDescent="0.25">
      <c r="A493" s="1" t="s">
        <v>10</v>
      </c>
      <c r="B493" s="1" t="s">
        <v>11</v>
      </c>
      <c r="C493" s="2">
        <v>44551</v>
      </c>
      <c r="D493">
        <v>54.5</v>
      </c>
      <c r="E493">
        <v>58.9</v>
      </c>
      <c r="F493">
        <v>54.5</v>
      </c>
      <c r="G493">
        <v>56.95</v>
      </c>
      <c r="H493">
        <v>68563</v>
      </c>
      <c r="I493">
        <v>200.96</v>
      </c>
      <c r="J493">
        <v>0.31</v>
      </c>
      <c r="K493">
        <v>56.212499999999999</v>
      </c>
    </row>
    <row r="494" spans="1:11" x14ac:dyDescent="0.25">
      <c r="A494" s="1" t="s">
        <v>10</v>
      </c>
      <c r="B494" s="1" t="s">
        <v>11</v>
      </c>
      <c r="C494" s="2">
        <v>44552</v>
      </c>
      <c r="D494">
        <v>58.05</v>
      </c>
      <c r="E494">
        <v>59.05</v>
      </c>
      <c r="F494">
        <v>57</v>
      </c>
      <c r="G494">
        <v>58</v>
      </c>
      <c r="H494">
        <v>19614</v>
      </c>
      <c r="I494">
        <v>204.66</v>
      </c>
      <c r="J494">
        <v>0.31</v>
      </c>
      <c r="K494">
        <v>58.024999999999999</v>
      </c>
    </row>
    <row r="495" spans="1:11" x14ac:dyDescent="0.25">
      <c r="A495" s="1" t="s">
        <v>10</v>
      </c>
      <c r="B495" s="1" t="s">
        <v>11</v>
      </c>
      <c r="C495" s="2">
        <v>44553</v>
      </c>
      <c r="D495">
        <v>57.15</v>
      </c>
      <c r="E495">
        <v>58.55</v>
      </c>
      <c r="F495">
        <v>57.15</v>
      </c>
      <c r="G495">
        <v>57.9</v>
      </c>
      <c r="H495">
        <v>16823</v>
      </c>
      <c r="I495">
        <v>204.31</v>
      </c>
      <c r="J495">
        <v>0.31</v>
      </c>
      <c r="K495">
        <v>57.6875</v>
      </c>
    </row>
    <row r="496" spans="1:11" x14ac:dyDescent="0.25">
      <c r="A496" s="1" t="s">
        <v>10</v>
      </c>
      <c r="B496" s="1" t="s">
        <v>11</v>
      </c>
      <c r="C496" s="2">
        <v>44554</v>
      </c>
      <c r="D496">
        <v>58</v>
      </c>
      <c r="E496">
        <v>58.45</v>
      </c>
      <c r="F496">
        <v>55.5</v>
      </c>
      <c r="G496">
        <v>55.85</v>
      </c>
      <c r="H496">
        <v>21578</v>
      </c>
      <c r="I496">
        <v>197.08</v>
      </c>
      <c r="J496">
        <v>0.31</v>
      </c>
      <c r="K496">
        <v>56.95</v>
      </c>
    </row>
    <row r="497" spans="1:11" x14ac:dyDescent="0.25">
      <c r="A497" s="1" t="s">
        <v>10</v>
      </c>
      <c r="B497" s="1" t="s">
        <v>11</v>
      </c>
      <c r="C497" s="2">
        <v>44557</v>
      </c>
      <c r="D497">
        <v>56.05</v>
      </c>
      <c r="E497">
        <v>61.15</v>
      </c>
      <c r="F497">
        <v>54.8</v>
      </c>
      <c r="G497">
        <v>57.15</v>
      </c>
      <c r="H497">
        <v>56532</v>
      </c>
      <c r="I497">
        <v>201.66</v>
      </c>
      <c r="J497">
        <v>0.31</v>
      </c>
      <c r="K497">
        <v>57.287500000000001</v>
      </c>
    </row>
    <row r="498" spans="1:11" x14ac:dyDescent="0.25">
      <c r="A498" s="1" t="s">
        <v>10</v>
      </c>
      <c r="B498" s="1" t="s">
        <v>11</v>
      </c>
      <c r="C498" s="2">
        <v>44558</v>
      </c>
      <c r="D498">
        <v>58.3</v>
      </c>
      <c r="E498">
        <v>60</v>
      </c>
      <c r="F498">
        <v>57.7</v>
      </c>
      <c r="G498">
        <v>59.75</v>
      </c>
      <c r="H498">
        <v>94288</v>
      </c>
      <c r="I498">
        <v>210.84</v>
      </c>
      <c r="J498">
        <v>0.31</v>
      </c>
      <c r="K498">
        <v>58.9375</v>
      </c>
    </row>
    <row r="499" spans="1:11" x14ac:dyDescent="0.25">
      <c r="A499" s="1" t="s">
        <v>10</v>
      </c>
      <c r="B499" s="1" t="s">
        <v>11</v>
      </c>
      <c r="C499" s="2">
        <v>44559</v>
      </c>
      <c r="D499">
        <v>59</v>
      </c>
      <c r="E499">
        <v>60.9</v>
      </c>
      <c r="F499">
        <v>58.05</v>
      </c>
      <c r="G499">
        <v>59.7</v>
      </c>
      <c r="H499">
        <v>55071</v>
      </c>
      <c r="I499">
        <v>210.66</v>
      </c>
      <c r="J499">
        <v>0.31</v>
      </c>
      <c r="K499">
        <v>59.412500000000001</v>
      </c>
    </row>
    <row r="500" spans="1:11" x14ac:dyDescent="0.25">
      <c r="A500" s="1" t="s">
        <v>10</v>
      </c>
      <c r="B500" s="1" t="s">
        <v>11</v>
      </c>
      <c r="C500" s="2">
        <v>44560</v>
      </c>
      <c r="D500">
        <v>58.5</v>
      </c>
      <c r="E500">
        <v>63.6</v>
      </c>
      <c r="F500">
        <v>58.5</v>
      </c>
      <c r="G500">
        <v>62.5</v>
      </c>
      <c r="H500">
        <v>235814</v>
      </c>
      <c r="I500">
        <v>220.54</v>
      </c>
      <c r="J500">
        <v>0.31</v>
      </c>
      <c r="K500">
        <v>60.774999999999999</v>
      </c>
    </row>
    <row r="501" spans="1:11" x14ac:dyDescent="0.25">
      <c r="A501" s="1" t="s">
        <v>10</v>
      </c>
      <c r="B501" s="1" t="s">
        <v>11</v>
      </c>
      <c r="C501" s="2">
        <v>44561</v>
      </c>
      <c r="D501">
        <v>64</v>
      </c>
      <c r="E501">
        <v>66.599999999999994</v>
      </c>
      <c r="F501">
        <v>63</v>
      </c>
      <c r="G501">
        <v>63.4</v>
      </c>
      <c r="H501">
        <v>163482</v>
      </c>
      <c r="I501">
        <v>223.72</v>
      </c>
      <c r="J501">
        <v>0.31</v>
      </c>
      <c r="K501">
        <v>64.25</v>
      </c>
    </row>
    <row r="502" spans="1:11" x14ac:dyDescent="0.25">
      <c r="A502" s="1" t="s">
        <v>10</v>
      </c>
      <c r="B502" s="1" t="s">
        <v>11</v>
      </c>
      <c r="C502" s="2">
        <v>44564</v>
      </c>
      <c r="D502">
        <v>66</v>
      </c>
      <c r="E502">
        <v>66</v>
      </c>
      <c r="F502">
        <v>60.1</v>
      </c>
      <c r="G502">
        <v>62.15</v>
      </c>
      <c r="H502">
        <v>76083</v>
      </c>
      <c r="I502">
        <v>219.31</v>
      </c>
      <c r="J502">
        <v>0.31</v>
      </c>
      <c r="K502">
        <v>63.5625</v>
      </c>
    </row>
    <row r="503" spans="1:11" x14ac:dyDescent="0.25">
      <c r="A503" s="1" t="s">
        <v>10</v>
      </c>
      <c r="B503" s="1" t="s">
        <v>11</v>
      </c>
      <c r="C503" s="2">
        <v>44565</v>
      </c>
      <c r="D503">
        <v>62.5</v>
      </c>
      <c r="E503">
        <v>63</v>
      </c>
      <c r="F503">
        <v>60.55</v>
      </c>
      <c r="G503">
        <v>60.75</v>
      </c>
      <c r="H503">
        <v>42322</v>
      </c>
      <c r="I503">
        <v>214.37</v>
      </c>
      <c r="J503">
        <v>0.31</v>
      </c>
      <c r="K503">
        <v>61.7</v>
      </c>
    </row>
    <row r="504" spans="1:11" x14ac:dyDescent="0.25">
      <c r="A504" s="1" t="s">
        <v>10</v>
      </c>
      <c r="B504" s="1" t="s">
        <v>11</v>
      </c>
      <c r="C504" s="2">
        <v>44566</v>
      </c>
      <c r="D504">
        <v>58.3</v>
      </c>
      <c r="E504">
        <v>61.95</v>
      </c>
      <c r="F504">
        <v>58.3</v>
      </c>
      <c r="G504">
        <v>60.4</v>
      </c>
      <c r="H504">
        <v>37265</v>
      </c>
      <c r="I504">
        <v>213.13</v>
      </c>
      <c r="J504">
        <v>0.31</v>
      </c>
      <c r="K504">
        <v>59.737499999999997</v>
      </c>
    </row>
    <row r="505" spans="1:11" x14ac:dyDescent="0.25">
      <c r="A505" s="1" t="s">
        <v>10</v>
      </c>
      <c r="B505" s="1" t="s">
        <v>11</v>
      </c>
      <c r="C505" s="2">
        <v>44567</v>
      </c>
      <c r="D505">
        <v>61.25</v>
      </c>
      <c r="E505">
        <v>64.2</v>
      </c>
      <c r="F505">
        <v>59.9</v>
      </c>
      <c r="G505">
        <v>62.1</v>
      </c>
      <c r="H505">
        <v>93539</v>
      </c>
      <c r="I505">
        <v>219.13</v>
      </c>
      <c r="J505">
        <v>0.31</v>
      </c>
      <c r="K505">
        <v>61.862499999999997</v>
      </c>
    </row>
    <row r="506" spans="1:11" x14ac:dyDescent="0.25">
      <c r="A506" s="1" t="s">
        <v>10</v>
      </c>
      <c r="B506" s="1" t="s">
        <v>11</v>
      </c>
      <c r="C506" s="2">
        <v>44568</v>
      </c>
      <c r="D506">
        <v>62.1</v>
      </c>
      <c r="E506">
        <v>74.5</v>
      </c>
      <c r="F506">
        <v>62</v>
      </c>
      <c r="G506">
        <v>74.5</v>
      </c>
      <c r="H506">
        <v>500384</v>
      </c>
      <c r="I506">
        <v>262.88</v>
      </c>
      <c r="J506">
        <v>0.31</v>
      </c>
      <c r="K506">
        <v>68.275000000000006</v>
      </c>
    </row>
    <row r="507" spans="1:11" x14ac:dyDescent="0.25">
      <c r="A507" s="1" t="s">
        <v>10</v>
      </c>
      <c r="B507" s="1" t="s">
        <v>11</v>
      </c>
      <c r="C507" s="2">
        <v>44571</v>
      </c>
      <c r="D507">
        <v>78.3</v>
      </c>
      <c r="E507">
        <v>89.4</v>
      </c>
      <c r="F507">
        <v>77</v>
      </c>
      <c r="G507">
        <v>89.4</v>
      </c>
      <c r="H507">
        <v>573647</v>
      </c>
      <c r="I507">
        <v>315.45999999999998</v>
      </c>
      <c r="J507">
        <v>0.31</v>
      </c>
      <c r="K507">
        <v>83.525000000000006</v>
      </c>
    </row>
    <row r="508" spans="1:11" x14ac:dyDescent="0.25">
      <c r="A508" s="1" t="s">
        <v>10</v>
      </c>
      <c r="B508" s="1" t="s">
        <v>11</v>
      </c>
      <c r="C508" s="2">
        <v>44572</v>
      </c>
      <c r="D508">
        <v>94.4</v>
      </c>
      <c r="E508">
        <v>94.4</v>
      </c>
      <c r="F508">
        <v>81.2</v>
      </c>
      <c r="G508">
        <v>81.849999999999994</v>
      </c>
      <c r="H508">
        <v>450579</v>
      </c>
      <c r="I508">
        <v>288.82</v>
      </c>
      <c r="J508">
        <v>0.31</v>
      </c>
      <c r="K508">
        <v>87.962500000000006</v>
      </c>
    </row>
    <row r="509" spans="1:11" x14ac:dyDescent="0.25">
      <c r="A509" s="1" t="s">
        <v>10</v>
      </c>
      <c r="B509" s="1" t="s">
        <v>11</v>
      </c>
      <c r="C509" s="2">
        <v>44573</v>
      </c>
      <c r="D509">
        <v>82.1</v>
      </c>
      <c r="E509">
        <v>87</v>
      </c>
      <c r="F509">
        <v>81.650000000000006</v>
      </c>
      <c r="G509">
        <v>83.5</v>
      </c>
      <c r="H509">
        <v>180210</v>
      </c>
      <c r="I509">
        <v>294.64</v>
      </c>
      <c r="J509">
        <v>0.31</v>
      </c>
      <c r="K509">
        <v>83.5625</v>
      </c>
    </row>
    <row r="510" spans="1:11" x14ac:dyDescent="0.25">
      <c r="A510" s="1" t="s">
        <v>10</v>
      </c>
      <c r="B510" s="1" t="s">
        <v>11</v>
      </c>
      <c r="C510" s="2">
        <v>44574</v>
      </c>
      <c r="D510">
        <v>81.3</v>
      </c>
      <c r="E510">
        <v>91.85</v>
      </c>
      <c r="F510">
        <v>81.3</v>
      </c>
      <c r="G510">
        <v>91.85</v>
      </c>
      <c r="H510">
        <v>612897</v>
      </c>
      <c r="I510">
        <v>324.11</v>
      </c>
      <c r="J510">
        <v>0.31</v>
      </c>
      <c r="K510">
        <v>86.575000000000003</v>
      </c>
    </row>
    <row r="511" spans="1:11" x14ac:dyDescent="0.25">
      <c r="A511" s="1" t="s">
        <v>10</v>
      </c>
      <c r="B511" s="1" t="s">
        <v>11</v>
      </c>
      <c r="C511" s="2">
        <v>44575</v>
      </c>
      <c r="D511">
        <v>91.65</v>
      </c>
      <c r="E511">
        <v>101</v>
      </c>
      <c r="F511">
        <v>88.7</v>
      </c>
      <c r="G511">
        <v>96.95</v>
      </c>
      <c r="H511">
        <v>343391</v>
      </c>
      <c r="I511">
        <v>342.1</v>
      </c>
      <c r="J511">
        <v>0.31</v>
      </c>
      <c r="K511">
        <v>94.575000000000003</v>
      </c>
    </row>
    <row r="512" spans="1:11" x14ac:dyDescent="0.25">
      <c r="A512" s="1" t="s">
        <v>10</v>
      </c>
      <c r="B512" s="1" t="s">
        <v>11</v>
      </c>
      <c r="C512" s="2">
        <v>44578</v>
      </c>
      <c r="D512">
        <v>97</v>
      </c>
      <c r="E512">
        <v>105.5</v>
      </c>
      <c r="F512">
        <v>96.55</v>
      </c>
      <c r="G512">
        <v>102.6</v>
      </c>
      <c r="H512">
        <v>372894</v>
      </c>
      <c r="I512">
        <v>362.04</v>
      </c>
      <c r="J512">
        <v>0.31</v>
      </c>
      <c r="K512">
        <v>100.41249999999999</v>
      </c>
    </row>
    <row r="513" spans="1:11" x14ac:dyDescent="0.25">
      <c r="A513" s="1" t="s">
        <v>10</v>
      </c>
      <c r="B513" s="1" t="s">
        <v>11</v>
      </c>
      <c r="C513" s="2">
        <v>44579</v>
      </c>
      <c r="D513">
        <v>103.95</v>
      </c>
      <c r="E513">
        <v>108.25</v>
      </c>
      <c r="F513">
        <v>94</v>
      </c>
      <c r="G513">
        <v>95.25</v>
      </c>
      <c r="H513">
        <v>229362</v>
      </c>
      <c r="I513">
        <v>336.1</v>
      </c>
      <c r="J513">
        <v>0.31</v>
      </c>
      <c r="K513">
        <v>100.3625</v>
      </c>
    </row>
    <row r="514" spans="1:11" x14ac:dyDescent="0.25">
      <c r="A514" s="1" t="s">
        <v>10</v>
      </c>
      <c r="B514" s="1" t="s">
        <v>11</v>
      </c>
      <c r="C514" s="2">
        <v>44580</v>
      </c>
      <c r="D514">
        <v>92.6</v>
      </c>
      <c r="E514">
        <v>102.5</v>
      </c>
      <c r="F514">
        <v>92.6</v>
      </c>
      <c r="G514">
        <v>100.55</v>
      </c>
      <c r="H514">
        <v>131937</v>
      </c>
      <c r="I514">
        <v>354.81</v>
      </c>
      <c r="J514">
        <v>0.31</v>
      </c>
      <c r="K514">
        <v>97.0625</v>
      </c>
    </row>
    <row r="515" spans="1:11" x14ac:dyDescent="0.25">
      <c r="A515" s="1" t="s">
        <v>10</v>
      </c>
      <c r="B515" s="1" t="s">
        <v>11</v>
      </c>
      <c r="C515" s="2">
        <v>44581</v>
      </c>
      <c r="D515">
        <v>99.6</v>
      </c>
      <c r="E515">
        <v>103.9</v>
      </c>
      <c r="F515">
        <v>95.8</v>
      </c>
      <c r="G515">
        <v>99.4</v>
      </c>
      <c r="H515">
        <v>219208</v>
      </c>
      <c r="I515">
        <v>350.75</v>
      </c>
      <c r="J515">
        <v>0.31</v>
      </c>
      <c r="K515">
        <v>99.674999999999997</v>
      </c>
    </row>
    <row r="516" spans="1:11" x14ac:dyDescent="0.25">
      <c r="A516" s="1" t="s">
        <v>10</v>
      </c>
      <c r="B516" s="1" t="s">
        <v>11</v>
      </c>
      <c r="C516" s="2">
        <v>44582</v>
      </c>
      <c r="D516">
        <v>99.3</v>
      </c>
      <c r="E516">
        <v>102</v>
      </c>
      <c r="F516">
        <v>91.35</v>
      </c>
      <c r="G516">
        <v>95.25</v>
      </c>
      <c r="H516">
        <v>97031</v>
      </c>
      <c r="I516">
        <v>336.1</v>
      </c>
      <c r="J516">
        <v>0.31</v>
      </c>
      <c r="K516">
        <v>96.974999999999994</v>
      </c>
    </row>
    <row r="517" spans="1:11" x14ac:dyDescent="0.25">
      <c r="A517" s="1" t="s">
        <v>10</v>
      </c>
      <c r="B517" s="1" t="s">
        <v>11</v>
      </c>
      <c r="C517" s="2">
        <v>44585</v>
      </c>
      <c r="D517">
        <v>95.25</v>
      </c>
      <c r="E517">
        <v>100.35</v>
      </c>
      <c r="F517">
        <v>88.45</v>
      </c>
      <c r="G517">
        <v>89.35</v>
      </c>
      <c r="H517">
        <v>92853</v>
      </c>
      <c r="I517">
        <v>315.27999999999997</v>
      </c>
      <c r="J517">
        <v>0.31</v>
      </c>
      <c r="K517">
        <v>93.35</v>
      </c>
    </row>
    <row r="518" spans="1:11" x14ac:dyDescent="0.25">
      <c r="A518" s="1" t="s">
        <v>10</v>
      </c>
      <c r="B518" s="1" t="s">
        <v>11</v>
      </c>
      <c r="C518" s="2">
        <v>44586</v>
      </c>
      <c r="D518">
        <v>92.45</v>
      </c>
      <c r="E518">
        <v>97</v>
      </c>
      <c r="F518">
        <v>85.4</v>
      </c>
      <c r="G518">
        <v>94.75</v>
      </c>
      <c r="H518">
        <v>67404</v>
      </c>
      <c r="I518">
        <v>334.34</v>
      </c>
      <c r="J518">
        <v>0.31</v>
      </c>
      <c r="K518">
        <v>92.4</v>
      </c>
    </row>
    <row r="519" spans="1:11" x14ac:dyDescent="0.25">
      <c r="A519" s="1" t="s">
        <v>10</v>
      </c>
      <c r="B519" s="1" t="s">
        <v>11</v>
      </c>
      <c r="C519" s="2">
        <v>44588</v>
      </c>
      <c r="D519">
        <v>91.25</v>
      </c>
      <c r="E519">
        <v>94</v>
      </c>
      <c r="F519">
        <v>88.9</v>
      </c>
      <c r="G519">
        <v>91.95</v>
      </c>
      <c r="H519">
        <v>60496</v>
      </c>
      <c r="I519">
        <v>324.45999999999998</v>
      </c>
      <c r="J519">
        <v>0.31</v>
      </c>
      <c r="K519">
        <v>91.525000000000006</v>
      </c>
    </row>
    <row r="520" spans="1:11" x14ac:dyDescent="0.25">
      <c r="A520" s="1" t="s">
        <v>10</v>
      </c>
      <c r="B520" s="1" t="s">
        <v>11</v>
      </c>
      <c r="C520" s="2">
        <v>44589</v>
      </c>
      <c r="D520">
        <v>92.5</v>
      </c>
      <c r="E520">
        <v>101.1</v>
      </c>
      <c r="F520">
        <v>92.5</v>
      </c>
      <c r="G520">
        <v>97.65</v>
      </c>
      <c r="H520">
        <v>268347</v>
      </c>
      <c r="I520">
        <v>344.57</v>
      </c>
      <c r="J520">
        <v>0.31</v>
      </c>
      <c r="K520">
        <v>95.9375</v>
      </c>
    </row>
    <row r="521" spans="1:11" x14ac:dyDescent="0.25">
      <c r="A521" s="1" t="s">
        <v>10</v>
      </c>
      <c r="B521" s="1" t="s">
        <v>11</v>
      </c>
      <c r="C521" s="2">
        <v>44592</v>
      </c>
      <c r="D521">
        <v>98.75</v>
      </c>
      <c r="E521">
        <v>99.8</v>
      </c>
      <c r="F521">
        <v>90.1</v>
      </c>
      <c r="G521">
        <v>91.5</v>
      </c>
      <c r="H521">
        <v>129623</v>
      </c>
      <c r="I521">
        <v>322.87</v>
      </c>
      <c r="J521">
        <v>0.31</v>
      </c>
      <c r="K521">
        <v>95.037499999999994</v>
      </c>
    </row>
    <row r="522" spans="1:11" x14ac:dyDescent="0.25">
      <c r="A522" s="1" t="s">
        <v>10</v>
      </c>
      <c r="B522" s="1" t="s">
        <v>11</v>
      </c>
      <c r="C522" s="2">
        <v>44593</v>
      </c>
      <c r="D522">
        <v>91.7</v>
      </c>
      <c r="E522">
        <v>94</v>
      </c>
      <c r="F522">
        <v>88</v>
      </c>
      <c r="G522">
        <v>91.95</v>
      </c>
      <c r="H522">
        <v>61048</v>
      </c>
      <c r="I522">
        <v>324.45999999999998</v>
      </c>
      <c r="J522">
        <v>0.31</v>
      </c>
      <c r="K522">
        <v>91.412499999999994</v>
      </c>
    </row>
    <row r="523" spans="1:11" x14ac:dyDescent="0.25">
      <c r="A523" s="1" t="s">
        <v>10</v>
      </c>
      <c r="B523" s="1" t="s">
        <v>11</v>
      </c>
      <c r="C523" s="2">
        <v>44594</v>
      </c>
      <c r="D523">
        <v>93.7</v>
      </c>
      <c r="E523">
        <v>94.25</v>
      </c>
      <c r="F523">
        <v>90.35</v>
      </c>
      <c r="G523">
        <v>91.05</v>
      </c>
      <c r="H523">
        <v>18338</v>
      </c>
      <c r="I523">
        <v>321.27999999999997</v>
      </c>
      <c r="J523">
        <v>0.31</v>
      </c>
      <c r="K523">
        <v>92.337500000000006</v>
      </c>
    </row>
    <row r="524" spans="1:11" x14ac:dyDescent="0.25">
      <c r="A524" s="1" t="s">
        <v>10</v>
      </c>
      <c r="B524" s="1" t="s">
        <v>11</v>
      </c>
      <c r="C524" s="2">
        <v>44595</v>
      </c>
      <c r="D524">
        <v>92.95</v>
      </c>
      <c r="E524">
        <v>93.4</v>
      </c>
      <c r="F524">
        <v>89.8</v>
      </c>
      <c r="G524">
        <v>90.6</v>
      </c>
      <c r="H524">
        <v>41672</v>
      </c>
      <c r="I524">
        <v>319.7</v>
      </c>
      <c r="J524">
        <v>0.31</v>
      </c>
      <c r="K524">
        <v>91.6875</v>
      </c>
    </row>
    <row r="525" spans="1:11" x14ac:dyDescent="0.25">
      <c r="A525" s="1" t="s">
        <v>10</v>
      </c>
      <c r="B525" s="1" t="s">
        <v>11</v>
      </c>
      <c r="C525" s="2">
        <v>44596</v>
      </c>
      <c r="D525">
        <v>92</v>
      </c>
      <c r="E525">
        <v>92</v>
      </c>
      <c r="F525">
        <v>87.35</v>
      </c>
      <c r="G525">
        <v>88.25</v>
      </c>
      <c r="H525">
        <v>37970</v>
      </c>
      <c r="I525">
        <v>311.39999999999998</v>
      </c>
      <c r="J525">
        <v>0.31</v>
      </c>
      <c r="K525">
        <v>89.9</v>
      </c>
    </row>
    <row r="526" spans="1:11" x14ac:dyDescent="0.25">
      <c r="A526" s="1" t="s">
        <v>10</v>
      </c>
      <c r="B526" s="1" t="s">
        <v>11</v>
      </c>
      <c r="C526" s="2">
        <v>44599</v>
      </c>
      <c r="D526">
        <v>85.25</v>
      </c>
      <c r="E526">
        <v>89.45</v>
      </c>
      <c r="F526">
        <v>83.65</v>
      </c>
      <c r="G526">
        <v>85</v>
      </c>
      <c r="H526">
        <v>78326</v>
      </c>
      <c r="I526">
        <v>299.94</v>
      </c>
      <c r="J526">
        <v>0.31</v>
      </c>
      <c r="K526">
        <v>85.837500000000006</v>
      </c>
    </row>
    <row r="527" spans="1:11" x14ac:dyDescent="0.25">
      <c r="A527" s="1" t="s">
        <v>10</v>
      </c>
      <c r="B527" s="1" t="s">
        <v>11</v>
      </c>
      <c r="C527" s="2">
        <v>44600</v>
      </c>
      <c r="D527">
        <v>87.5</v>
      </c>
      <c r="E527">
        <v>87.5</v>
      </c>
      <c r="F527">
        <v>82.3</v>
      </c>
      <c r="G527">
        <v>83.4</v>
      </c>
      <c r="H527">
        <v>44939</v>
      </c>
      <c r="I527">
        <v>294.29000000000002</v>
      </c>
      <c r="J527">
        <v>0.31</v>
      </c>
      <c r="K527">
        <v>85.174999999999997</v>
      </c>
    </row>
    <row r="528" spans="1:11" x14ac:dyDescent="0.25">
      <c r="A528" s="1" t="s">
        <v>10</v>
      </c>
      <c r="B528" s="1" t="s">
        <v>11</v>
      </c>
      <c r="C528" s="2">
        <v>44601</v>
      </c>
      <c r="D528">
        <v>86.65</v>
      </c>
      <c r="E528">
        <v>86.65</v>
      </c>
      <c r="F528">
        <v>83.7</v>
      </c>
      <c r="G528">
        <v>85.4</v>
      </c>
      <c r="H528">
        <v>23419</v>
      </c>
      <c r="I528">
        <v>301.35000000000002</v>
      </c>
      <c r="J528">
        <v>0.31</v>
      </c>
      <c r="K528">
        <v>85.6</v>
      </c>
    </row>
    <row r="529" spans="1:11" x14ac:dyDescent="0.25">
      <c r="A529" s="1" t="s">
        <v>10</v>
      </c>
      <c r="B529" s="1" t="s">
        <v>11</v>
      </c>
      <c r="C529" s="2">
        <v>44602</v>
      </c>
      <c r="D529">
        <v>86</v>
      </c>
      <c r="E529">
        <v>92</v>
      </c>
      <c r="F529">
        <v>84.45</v>
      </c>
      <c r="G529">
        <v>89.15</v>
      </c>
      <c r="H529">
        <v>40273</v>
      </c>
      <c r="I529">
        <v>314.58</v>
      </c>
      <c r="J529">
        <v>0.31</v>
      </c>
      <c r="K529">
        <v>87.9</v>
      </c>
    </row>
    <row r="530" spans="1:11" x14ac:dyDescent="0.25">
      <c r="A530" s="1" t="s">
        <v>10</v>
      </c>
      <c r="B530" s="1" t="s">
        <v>11</v>
      </c>
      <c r="C530" s="2">
        <v>44603</v>
      </c>
      <c r="D530">
        <v>88.9</v>
      </c>
      <c r="E530">
        <v>88.9</v>
      </c>
      <c r="F530">
        <v>84.6</v>
      </c>
      <c r="G530">
        <v>85.15</v>
      </c>
      <c r="H530">
        <v>50011</v>
      </c>
      <c r="I530">
        <v>300.45999999999998</v>
      </c>
      <c r="J530">
        <v>0.31</v>
      </c>
      <c r="K530">
        <v>86.887500000000003</v>
      </c>
    </row>
    <row r="531" spans="1:11" x14ac:dyDescent="0.25">
      <c r="A531" s="1" t="s">
        <v>10</v>
      </c>
      <c r="B531" s="1" t="s">
        <v>11</v>
      </c>
      <c r="C531" s="2">
        <v>44606</v>
      </c>
      <c r="D531">
        <v>84.5</v>
      </c>
      <c r="E531">
        <v>84.5</v>
      </c>
      <c r="F531">
        <v>76.650000000000006</v>
      </c>
      <c r="G531">
        <v>76.650000000000006</v>
      </c>
      <c r="H531">
        <v>45300</v>
      </c>
      <c r="I531">
        <v>270.47000000000003</v>
      </c>
      <c r="J531">
        <v>0.31</v>
      </c>
      <c r="K531">
        <v>80.575000000000003</v>
      </c>
    </row>
    <row r="532" spans="1:11" x14ac:dyDescent="0.25">
      <c r="A532" s="1" t="s">
        <v>10</v>
      </c>
      <c r="B532" s="1" t="s">
        <v>11</v>
      </c>
      <c r="C532" s="2">
        <v>44607</v>
      </c>
      <c r="D532">
        <v>77.25</v>
      </c>
      <c r="E532">
        <v>80.05</v>
      </c>
      <c r="F532">
        <v>74.599999999999994</v>
      </c>
      <c r="G532">
        <v>79.150000000000006</v>
      </c>
      <c r="H532">
        <v>78259</v>
      </c>
      <c r="I532">
        <v>279.29000000000002</v>
      </c>
      <c r="J532">
        <v>0.31</v>
      </c>
      <c r="K532">
        <v>77.762500000000003</v>
      </c>
    </row>
    <row r="533" spans="1:11" x14ac:dyDescent="0.25">
      <c r="A533" s="1" t="s">
        <v>10</v>
      </c>
      <c r="B533" s="1" t="s">
        <v>11</v>
      </c>
      <c r="C533" s="2">
        <v>44608</v>
      </c>
      <c r="D533">
        <v>81.400000000000006</v>
      </c>
      <c r="E533">
        <v>83.35</v>
      </c>
      <c r="F533">
        <v>79.400000000000006</v>
      </c>
      <c r="G533">
        <v>79.599999999999994</v>
      </c>
      <c r="H533">
        <v>47390</v>
      </c>
      <c r="I533">
        <v>280.88</v>
      </c>
      <c r="J533">
        <v>0.31</v>
      </c>
      <c r="K533">
        <v>80.9375</v>
      </c>
    </row>
    <row r="534" spans="1:11" x14ac:dyDescent="0.25">
      <c r="A534" s="1" t="s">
        <v>10</v>
      </c>
      <c r="B534" s="1" t="s">
        <v>11</v>
      </c>
      <c r="C534" s="2">
        <v>44609</v>
      </c>
      <c r="D534">
        <v>79.5</v>
      </c>
      <c r="E534">
        <v>81.5</v>
      </c>
      <c r="F534">
        <v>76.849999999999994</v>
      </c>
      <c r="G534">
        <v>77.900000000000006</v>
      </c>
      <c r="H534">
        <v>36614</v>
      </c>
      <c r="I534">
        <v>274.88</v>
      </c>
      <c r="J534">
        <v>0.31</v>
      </c>
      <c r="K534">
        <v>78.9375</v>
      </c>
    </row>
    <row r="535" spans="1:11" x14ac:dyDescent="0.25">
      <c r="A535" s="1" t="s">
        <v>10</v>
      </c>
      <c r="B535" s="1" t="s">
        <v>11</v>
      </c>
      <c r="C535" s="2">
        <v>44610</v>
      </c>
      <c r="D535">
        <v>76.2</v>
      </c>
      <c r="E535">
        <v>79.5</v>
      </c>
      <c r="F535">
        <v>76.2</v>
      </c>
      <c r="G535">
        <v>77.3</v>
      </c>
      <c r="H535">
        <v>34750</v>
      </c>
      <c r="I535">
        <v>272.76</v>
      </c>
      <c r="J535">
        <v>0.31</v>
      </c>
      <c r="K535">
        <v>77.3</v>
      </c>
    </row>
    <row r="536" spans="1:11" x14ac:dyDescent="0.25">
      <c r="A536" s="1" t="s">
        <v>10</v>
      </c>
      <c r="B536" s="1" t="s">
        <v>11</v>
      </c>
      <c r="C536" s="2">
        <v>44613</v>
      </c>
      <c r="D536">
        <v>75</v>
      </c>
      <c r="E536">
        <v>77.3</v>
      </c>
      <c r="F536">
        <v>73.3</v>
      </c>
      <c r="G536">
        <v>74.349999999999994</v>
      </c>
      <c r="H536">
        <v>34624</v>
      </c>
      <c r="I536">
        <v>262.36</v>
      </c>
      <c r="J536">
        <v>0.31</v>
      </c>
      <c r="K536">
        <v>74.987499999999997</v>
      </c>
    </row>
    <row r="537" spans="1:11" x14ac:dyDescent="0.25">
      <c r="A537" s="1" t="s">
        <v>10</v>
      </c>
      <c r="B537" s="1" t="s">
        <v>11</v>
      </c>
      <c r="C537" s="2">
        <v>44614</v>
      </c>
      <c r="D537">
        <v>69.05</v>
      </c>
      <c r="E537">
        <v>72.849999999999994</v>
      </c>
      <c r="F537">
        <v>69.05</v>
      </c>
      <c r="G537">
        <v>69.55</v>
      </c>
      <c r="H537">
        <v>58277</v>
      </c>
      <c r="I537">
        <v>245.42</v>
      </c>
      <c r="J537">
        <v>0.31</v>
      </c>
      <c r="K537">
        <v>70.125</v>
      </c>
    </row>
    <row r="538" spans="1:11" x14ac:dyDescent="0.25">
      <c r="A538" s="1" t="s">
        <v>10</v>
      </c>
      <c r="B538" s="1" t="s">
        <v>11</v>
      </c>
      <c r="C538" s="2">
        <v>44615</v>
      </c>
      <c r="D538">
        <v>69.5</v>
      </c>
      <c r="E538">
        <v>76.5</v>
      </c>
      <c r="F538">
        <v>69.5</v>
      </c>
      <c r="G538">
        <v>75.599999999999994</v>
      </c>
      <c r="H538">
        <v>57323</v>
      </c>
      <c r="I538">
        <v>266.77</v>
      </c>
      <c r="J538">
        <v>0.31</v>
      </c>
      <c r="K538">
        <v>72.775000000000006</v>
      </c>
    </row>
    <row r="539" spans="1:11" x14ac:dyDescent="0.25">
      <c r="A539" s="1" t="s">
        <v>10</v>
      </c>
      <c r="B539" s="1" t="s">
        <v>11</v>
      </c>
      <c r="C539" s="2">
        <v>44616</v>
      </c>
      <c r="D539">
        <v>68.5</v>
      </c>
      <c r="E539">
        <v>71.55</v>
      </c>
      <c r="F539">
        <v>68.05</v>
      </c>
      <c r="G539">
        <v>68.05</v>
      </c>
      <c r="H539">
        <v>53502</v>
      </c>
      <c r="I539">
        <v>240.12</v>
      </c>
      <c r="J539">
        <v>0.31</v>
      </c>
      <c r="K539">
        <v>69.037499999999994</v>
      </c>
    </row>
    <row r="540" spans="1:11" x14ac:dyDescent="0.25">
      <c r="A540" s="1" t="s">
        <v>10</v>
      </c>
      <c r="B540" s="1" t="s">
        <v>11</v>
      </c>
      <c r="C540" s="2">
        <v>44617</v>
      </c>
      <c r="D540">
        <v>70.099999999999994</v>
      </c>
      <c r="E540">
        <v>71.849999999999994</v>
      </c>
      <c r="F540">
        <v>69.25</v>
      </c>
      <c r="G540">
        <v>70.400000000000006</v>
      </c>
      <c r="H540">
        <v>33272</v>
      </c>
      <c r="I540">
        <v>248.42</v>
      </c>
      <c r="J540">
        <v>0.31</v>
      </c>
      <c r="K540">
        <v>70.400000000000006</v>
      </c>
    </row>
    <row r="541" spans="1:11" x14ac:dyDescent="0.25">
      <c r="A541" s="1" t="s">
        <v>10</v>
      </c>
      <c r="B541" s="1" t="s">
        <v>11</v>
      </c>
      <c r="C541" s="2">
        <v>44620</v>
      </c>
      <c r="D541">
        <v>72.849999999999994</v>
      </c>
      <c r="E541">
        <v>72.849999999999994</v>
      </c>
      <c r="F541">
        <v>67.349999999999994</v>
      </c>
      <c r="G541">
        <v>71.25</v>
      </c>
      <c r="H541">
        <v>46361</v>
      </c>
      <c r="I541">
        <v>251.42</v>
      </c>
      <c r="J541">
        <v>0.31</v>
      </c>
      <c r="K541">
        <v>71.075000000000003</v>
      </c>
    </row>
    <row r="542" spans="1:11" x14ac:dyDescent="0.25">
      <c r="A542" s="1" t="s">
        <v>10</v>
      </c>
      <c r="B542" s="1" t="s">
        <v>11</v>
      </c>
      <c r="C542" s="2">
        <v>44622</v>
      </c>
      <c r="D542">
        <v>71</v>
      </c>
      <c r="E542">
        <v>73.45</v>
      </c>
      <c r="F542">
        <v>69.900000000000006</v>
      </c>
      <c r="G542">
        <v>71.8</v>
      </c>
      <c r="H542">
        <v>52010</v>
      </c>
      <c r="I542">
        <v>253.36</v>
      </c>
      <c r="J542">
        <v>0.31</v>
      </c>
      <c r="K542">
        <v>71.537499999999994</v>
      </c>
    </row>
    <row r="543" spans="1:11" x14ac:dyDescent="0.25">
      <c r="A543" s="1" t="s">
        <v>10</v>
      </c>
      <c r="B543" s="1" t="s">
        <v>11</v>
      </c>
      <c r="C543" s="2">
        <v>44623</v>
      </c>
      <c r="D543">
        <v>73.5</v>
      </c>
      <c r="E543">
        <v>74.849999999999994</v>
      </c>
      <c r="F543">
        <v>71.5</v>
      </c>
      <c r="G543">
        <v>71.900000000000006</v>
      </c>
      <c r="H543">
        <v>18363</v>
      </c>
      <c r="I543">
        <v>253.71</v>
      </c>
      <c r="J543">
        <v>0.31</v>
      </c>
      <c r="K543">
        <v>72.9375</v>
      </c>
    </row>
    <row r="544" spans="1:11" x14ac:dyDescent="0.25">
      <c r="A544" s="1" t="s">
        <v>10</v>
      </c>
      <c r="B544" s="1" t="s">
        <v>11</v>
      </c>
      <c r="C544" s="2">
        <v>44624</v>
      </c>
      <c r="D544">
        <v>72</v>
      </c>
      <c r="E544">
        <v>72.75</v>
      </c>
      <c r="F544">
        <v>70.650000000000006</v>
      </c>
      <c r="G544">
        <v>71.849999999999994</v>
      </c>
      <c r="H544">
        <v>11787</v>
      </c>
      <c r="I544">
        <v>253.53</v>
      </c>
      <c r="J544">
        <v>0.31</v>
      </c>
      <c r="K544">
        <v>71.8125</v>
      </c>
    </row>
    <row r="545" spans="1:11" x14ac:dyDescent="0.25">
      <c r="A545" s="1" t="s">
        <v>10</v>
      </c>
      <c r="B545" s="1" t="s">
        <v>11</v>
      </c>
      <c r="C545" s="2">
        <v>44627</v>
      </c>
      <c r="D545">
        <v>68.599999999999994</v>
      </c>
      <c r="E545">
        <v>70.900000000000006</v>
      </c>
      <c r="F545">
        <v>68.5</v>
      </c>
      <c r="G545">
        <v>70.099999999999994</v>
      </c>
      <c r="H545">
        <v>21461</v>
      </c>
      <c r="I545">
        <v>247.36</v>
      </c>
      <c r="J545">
        <v>0.31</v>
      </c>
      <c r="K545">
        <v>69.525000000000006</v>
      </c>
    </row>
    <row r="546" spans="1:11" x14ac:dyDescent="0.25">
      <c r="A546" s="1" t="s">
        <v>10</v>
      </c>
      <c r="B546" s="1" t="s">
        <v>11</v>
      </c>
      <c r="C546" s="2">
        <v>44628</v>
      </c>
      <c r="D546">
        <v>70</v>
      </c>
      <c r="E546">
        <v>73.849999999999994</v>
      </c>
      <c r="F546">
        <v>69.849999999999994</v>
      </c>
      <c r="G546">
        <v>71.400000000000006</v>
      </c>
      <c r="H546">
        <v>21194</v>
      </c>
      <c r="I546">
        <v>251.95</v>
      </c>
      <c r="J546">
        <v>0.31</v>
      </c>
      <c r="K546">
        <v>71.275000000000006</v>
      </c>
    </row>
    <row r="547" spans="1:11" x14ac:dyDescent="0.25">
      <c r="A547" s="1" t="s">
        <v>10</v>
      </c>
      <c r="B547" s="1" t="s">
        <v>11</v>
      </c>
      <c r="C547" s="2">
        <v>44629</v>
      </c>
      <c r="D547">
        <v>74</v>
      </c>
      <c r="E547">
        <v>74</v>
      </c>
      <c r="F547">
        <v>72</v>
      </c>
      <c r="G547">
        <v>72.400000000000006</v>
      </c>
      <c r="H547">
        <v>27522</v>
      </c>
      <c r="I547">
        <v>255.47</v>
      </c>
      <c r="J547">
        <v>0.31</v>
      </c>
      <c r="K547">
        <v>73.099999999999994</v>
      </c>
    </row>
    <row r="548" spans="1:11" x14ac:dyDescent="0.25">
      <c r="A548" s="1" t="s">
        <v>10</v>
      </c>
      <c r="B548" s="1" t="s">
        <v>11</v>
      </c>
      <c r="C548" s="2">
        <v>44630</v>
      </c>
      <c r="D548">
        <v>73.75</v>
      </c>
      <c r="E548">
        <v>76</v>
      </c>
      <c r="F548">
        <v>72.75</v>
      </c>
      <c r="G548">
        <v>73.2</v>
      </c>
      <c r="H548">
        <v>19525</v>
      </c>
      <c r="I548">
        <v>258.3</v>
      </c>
      <c r="J548">
        <v>0.31</v>
      </c>
      <c r="K548">
        <v>73.924999999999997</v>
      </c>
    </row>
    <row r="549" spans="1:11" x14ac:dyDescent="0.25">
      <c r="A549" s="1" t="s">
        <v>10</v>
      </c>
      <c r="B549" s="1" t="s">
        <v>11</v>
      </c>
      <c r="C549" s="2">
        <v>44631</v>
      </c>
      <c r="D549">
        <v>73.95</v>
      </c>
      <c r="E549">
        <v>78.599999999999994</v>
      </c>
      <c r="F549">
        <v>73.25</v>
      </c>
      <c r="G549">
        <v>76.05</v>
      </c>
      <c r="H549">
        <v>63073</v>
      </c>
      <c r="I549">
        <v>268.35000000000002</v>
      </c>
      <c r="J549">
        <v>0.31</v>
      </c>
      <c r="K549">
        <v>75.462500000000006</v>
      </c>
    </row>
    <row r="550" spans="1:11" x14ac:dyDescent="0.25">
      <c r="A550" s="1" t="s">
        <v>10</v>
      </c>
      <c r="B550" s="1" t="s">
        <v>11</v>
      </c>
      <c r="C550" s="2">
        <v>44634</v>
      </c>
      <c r="D550">
        <v>74.150000000000006</v>
      </c>
      <c r="E550">
        <v>76.400000000000006</v>
      </c>
      <c r="F550">
        <v>73.099999999999994</v>
      </c>
      <c r="G550">
        <v>74</v>
      </c>
      <c r="H550">
        <v>25201</v>
      </c>
      <c r="I550">
        <v>261.12</v>
      </c>
      <c r="J550">
        <v>0.31</v>
      </c>
      <c r="K550">
        <v>74.412499999999994</v>
      </c>
    </row>
    <row r="551" spans="1:11" x14ac:dyDescent="0.25">
      <c r="A551" s="1" t="s">
        <v>10</v>
      </c>
      <c r="B551" s="1" t="s">
        <v>11</v>
      </c>
      <c r="C551" s="2">
        <v>44635</v>
      </c>
      <c r="D551">
        <v>73</v>
      </c>
      <c r="E551">
        <v>75</v>
      </c>
      <c r="F551">
        <v>71.55</v>
      </c>
      <c r="G551">
        <v>72</v>
      </c>
      <c r="H551">
        <v>15666</v>
      </c>
      <c r="I551">
        <v>254.06</v>
      </c>
      <c r="J551">
        <v>0.31</v>
      </c>
      <c r="K551">
        <v>72.887500000000003</v>
      </c>
    </row>
    <row r="552" spans="1:11" x14ac:dyDescent="0.25">
      <c r="A552" s="1" t="s">
        <v>10</v>
      </c>
      <c r="B552" s="1" t="s">
        <v>11</v>
      </c>
      <c r="C552" s="2">
        <v>44636</v>
      </c>
      <c r="D552">
        <v>73.400000000000006</v>
      </c>
      <c r="E552">
        <v>75.55</v>
      </c>
      <c r="F552">
        <v>72.349999999999994</v>
      </c>
      <c r="G552">
        <v>73.099999999999994</v>
      </c>
      <c r="H552">
        <v>13072</v>
      </c>
      <c r="I552">
        <v>257.94</v>
      </c>
      <c r="J552">
        <v>0.31</v>
      </c>
      <c r="K552">
        <v>73.599999999999994</v>
      </c>
    </row>
    <row r="553" spans="1:11" x14ac:dyDescent="0.25">
      <c r="A553" s="1" t="s">
        <v>10</v>
      </c>
      <c r="B553" s="1" t="s">
        <v>11</v>
      </c>
      <c r="C553" s="2">
        <v>44637</v>
      </c>
      <c r="D553">
        <v>74.05</v>
      </c>
      <c r="E553">
        <v>76</v>
      </c>
      <c r="F553">
        <v>73.599999999999994</v>
      </c>
      <c r="G553">
        <v>74.900000000000006</v>
      </c>
      <c r="H553">
        <v>26285</v>
      </c>
      <c r="I553">
        <v>264.3</v>
      </c>
      <c r="J553">
        <v>0.31</v>
      </c>
      <c r="K553">
        <v>74.637500000000003</v>
      </c>
    </row>
    <row r="554" spans="1:11" x14ac:dyDescent="0.25">
      <c r="A554" s="1" t="s">
        <v>10</v>
      </c>
      <c r="B554" s="1" t="s">
        <v>11</v>
      </c>
      <c r="C554" s="2">
        <v>44641</v>
      </c>
      <c r="D554">
        <v>74.900000000000006</v>
      </c>
      <c r="E554">
        <v>79.55</v>
      </c>
      <c r="F554">
        <v>74.5</v>
      </c>
      <c r="G554">
        <v>77.599999999999994</v>
      </c>
      <c r="H554">
        <v>38368</v>
      </c>
      <c r="I554">
        <v>273.82</v>
      </c>
      <c r="J554">
        <v>0.31</v>
      </c>
      <c r="K554">
        <v>76.637500000000003</v>
      </c>
    </row>
    <row r="555" spans="1:11" x14ac:dyDescent="0.25">
      <c r="A555" s="1" t="s">
        <v>10</v>
      </c>
      <c r="B555" s="1" t="s">
        <v>11</v>
      </c>
      <c r="C555" s="2">
        <v>44642</v>
      </c>
      <c r="D555">
        <v>79</v>
      </c>
      <c r="E555">
        <v>79</v>
      </c>
      <c r="F555">
        <v>75.5</v>
      </c>
      <c r="G555">
        <v>76.599999999999994</v>
      </c>
      <c r="H555">
        <v>10972</v>
      </c>
      <c r="I555">
        <v>270.29000000000002</v>
      </c>
      <c r="J555">
        <v>0.31</v>
      </c>
      <c r="K555">
        <v>77.525000000000006</v>
      </c>
    </row>
    <row r="556" spans="1:11" x14ac:dyDescent="0.25">
      <c r="A556" s="1" t="s">
        <v>10</v>
      </c>
      <c r="B556" s="1" t="s">
        <v>11</v>
      </c>
      <c r="C556" s="2">
        <v>44643</v>
      </c>
      <c r="D556">
        <v>77.05</v>
      </c>
      <c r="E556">
        <v>79.7</v>
      </c>
      <c r="F556">
        <v>76.05</v>
      </c>
      <c r="G556">
        <v>76.650000000000006</v>
      </c>
      <c r="H556">
        <v>30358</v>
      </c>
      <c r="I556">
        <v>270.47000000000003</v>
      </c>
      <c r="J556">
        <v>0.31</v>
      </c>
      <c r="K556">
        <v>77.362499999999997</v>
      </c>
    </row>
    <row r="557" spans="1:11" x14ac:dyDescent="0.25">
      <c r="A557" s="1" t="s">
        <v>10</v>
      </c>
      <c r="B557" s="1" t="s">
        <v>11</v>
      </c>
      <c r="C557" s="2">
        <v>44644</v>
      </c>
      <c r="D557">
        <v>78</v>
      </c>
      <c r="E557">
        <v>78</v>
      </c>
      <c r="F557">
        <v>75.55</v>
      </c>
      <c r="G557">
        <v>76.7</v>
      </c>
      <c r="H557">
        <v>32599</v>
      </c>
      <c r="I557">
        <v>270.64999999999998</v>
      </c>
      <c r="J557">
        <v>0.31</v>
      </c>
      <c r="K557">
        <v>77.0625</v>
      </c>
    </row>
    <row r="558" spans="1:11" x14ac:dyDescent="0.25">
      <c r="A558" s="1" t="s">
        <v>10</v>
      </c>
      <c r="B558" s="1" t="s">
        <v>11</v>
      </c>
      <c r="C558" s="2">
        <v>44645</v>
      </c>
      <c r="D558">
        <v>76.8</v>
      </c>
      <c r="E558">
        <v>80.400000000000006</v>
      </c>
      <c r="F558">
        <v>76.75</v>
      </c>
      <c r="G558">
        <v>78.8</v>
      </c>
      <c r="H558">
        <v>53278</v>
      </c>
      <c r="I558">
        <v>278.06</v>
      </c>
      <c r="J558">
        <v>0.31</v>
      </c>
      <c r="K558">
        <v>78.1875</v>
      </c>
    </row>
    <row r="559" spans="1:11" x14ac:dyDescent="0.25">
      <c r="A559" s="1" t="s">
        <v>10</v>
      </c>
      <c r="B559" s="1" t="s">
        <v>11</v>
      </c>
      <c r="C559" s="2">
        <v>44648</v>
      </c>
      <c r="D559">
        <v>78.900000000000006</v>
      </c>
      <c r="E559">
        <v>79.900000000000006</v>
      </c>
      <c r="F559">
        <v>74.8</v>
      </c>
      <c r="G559">
        <v>75.650000000000006</v>
      </c>
      <c r="H559">
        <v>35885</v>
      </c>
      <c r="I559">
        <v>266.94</v>
      </c>
      <c r="J559">
        <v>0.31</v>
      </c>
      <c r="K559">
        <v>77.3125</v>
      </c>
    </row>
    <row r="560" spans="1:11" x14ac:dyDescent="0.25">
      <c r="A560" s="1" t="s">
        <v>10</v>
      </c>
      <c r="B560" s="1" t="s">
        <v>11</v>
      </c>
      <c r="C560" s="2">
        <v>44649</v>
      </c>
      <c r="D560">
        <v>76.150000000000006</v>
      </c>
      <c r="E560">
        <v>76.900000000000006</v>
      </c>
      <c r="F560">
        <v>72.5</v>
      </c>
      <c r="G560">
        <v>72.900000000000006</v>
      </c>
      <c r="H560">
        <v>33864</v>
      </c>
      <c r="I560">
        <v>257.24</v>
      </c>
      <c r="J560">
        <v>0.31</v>
      </c>
      <c r="K560">
        <v>74.612499999999997</v>
      </c>
    </row>
    <row r="561" spans="1:11" x14ac:dyDescent="0.25">
      <c r="A561" s="1" t="s">
        <v>10</v>
      </c>
      <c r="B561" s="1" t="s">
        <v>11</v>
      </c>
      <c r="C561" s="2">
        <v>44650</v>
      </c>
      <c r="D561">
        <v>73.099999999999994</v>
      </c>
      <c r="E561">
        <v>77.5</v>
      </c>
      <c r="F561">
        <v>73.099999999999994</v>
      </c>
      <c r="G561">
        <v>75.099999999999994</v>
      </c>
      <c r="H561">
        <v>39626</v>
      </c>
      <c r="I561">
        <v>265</v>
      </c>
      <c r="J561">
        <v>0.31</v>
      </c>
      <c r="K561">
        <v>74.7</v>
      </c>
    </row>
    <row r="562" spans="1:11" x14ac:dyDescent="0.25">
      <c r="A562" s="1" t="s">
        <v>10</v>
      </c>
      <c r="B562" s="1" t="s">
        <v>11</v>
      </c>
      <c r="C562" s="2">
        <v>44651</v>
      </c>
      <c r="D562">
        <v>76</v>
      </c>
      <c r="E562">
        <v>77.25</v>
      </c>
      <c r="F562">
        <v>73</v>
      </c>
      <c r="G562">
        <v>74</v>
      </c>
      <c r="H562">
        <v>32718</v>
      </c>
      <c r="I562">
        <v>261.12</v>
      </c>
      <c r="J562">
        <v>0.31</v>
      </c>
      <c r="K562">
        <v>75.0625</v>
      </c>
    </row>
    <row r="563" spans="1:11" x14ac:dyDescent="0.25">
      <c r="A563" s="1" t="s">
        <v>10</v>
      </c>
      <c r="B563" s="1" t="s">
        <v>11</v>
      </c>
      <c r="C563" s="2">
        <v>44652</v>
      </c>
      <c r="D563">
        <v>74</v>
      </c>
      <c r="E563">
        <v>81.400000000000006</v>
      </c>
      <c r="F563">
        <v>73.3</v>
      </c>
      <c r="G563">
        <v>81.400000000000006</v>
      </c>
      <c r="H563">
        <v>143721</v>
      </c>
      <c r="I563">
        <v>287.23</v>
      </c>
      <c r="J563">
        <v>0.31</v>
      </c>
      <c r="K563">
        <v>77.525000000000006</v>
      </c>
    </row>
    <row r="564" spans="1:11" x14ac:dyDescent="0.25">
      <c r="A564" s="1" t="s">
        <v>10</v>
      </c>
      <c r="B564" s="1" t="s">
        <v>11</v>
      </c>
      <c r="C564" s="2">
        <v>44655</v>
      </c>
      <c r="D564">
        <v>84</v>
      </c>
      <c r="E564">
        <v>86</v>
      </c>
      <c r="F564">
        <v>81.3</v>
      </c>
      <c r="G564">
        <v>84.6</v>
      </c>
      <c r="H564">
        <v>80712</v>
      </c>
      <c r="I564">
        <v>298.52</v>
      </c>
      <c r="J564">
        <v>0.31</v>
      </c>
      <c r="K564">
        <v>83.974999999999994</v>
      </c>
    </row>
    <row r="565" spans="1:11" x14ac:dyDescent="0.25">
      <c r="A565" s="1" t="s">
        <v>10</v>
      </c>
      <c r="B565" s="1" t="s">
        <v>11</v>
      </c>
      <c r="C565" s="2">
        <v>44656</v>
      </c>
      <c r="D565">
        <v>85.5</v>
      </c>
      <c r="E565">
        <v>88.05</v>
      </c>
      <c r="F565">
        <v>84.2</v>
      </c>
      <c r="G565">
        <v>85.85</v>
      </c>
      <c r="H565">
        <v>23319</v>
      </c>
      <c r="I565">
        <v>302.93</v>
      </c>
      <c r="J565">
        <v>0.31</v>
      </c>
      <c r="K565">
        <v>85.9</v>
      </c>
    </row>
    <row r="566" spans="1:11" x14ac:dyDescent="0.25">
      <c r="A566" s="1" t="s">
        <v>10</v>
      </c>
      <c r="B566" s="1" t="s">
        <v>11</v>
      </c>
      <c r="C566" s="2">
        <v>44657</v>
      </c>
      <c r="D566">
        <v>85.5</v>
      </c>
      <c r="E566">
        <v>90.5</v>
      </c>
      <c r="F566">
        <v>84.2</v>
      </c>
      <c r="G566">
        <v>87.55</v>
      </c>
      <c r="H566">
        <v>107392</v>
      </c>
      <c r="I566">
        <v>308.93</v>
      </c>
      <c r="J566">
        <v>0.31</v>
      </c>
      <c r="K566">
        <v>86.9375</v>
      </c>
    </row>
    <row r="567" spans="1:11" x14ac:dyDescent="0.25">
      <c r="A567" s="1" t="s">
        <v>10</v>
      </c>
      <c r="B567" s="1" t="s">
        <v>11</v>
      </c>
      <c r="C567" s="2">
        <v>44658</v>
      </c>
      <c r="D567">
        <v>90.8</v>
      </c>
      <c r="E567">
        <v>94.5</v>
      </c>
      <c r="F567">
        <v>88.1</v>
      </c>
      <c r="G567">
        <v>89.65</v>
      </c>
      <c r="H567">
        <v>123289</v>
      </c>
      <c r="I567">
        <v>316.33999999999997</v>
      </c>
      <c r="J567">
        <v>0.31</v>
      </c>
      <c r="K567">
        <v>90.762500000000003</v>
      </c>
    </row>
    <row r="568" spans="1:11" x14ac:dyDescent="0.25">
      <c r="A568" s="1" t="s">
        <v>10</v>
      </c>
      <c r="B568" s="1" t="s">
        <v>11</v>
      </c>
      <c r="C568" s="2">
        <v>44659</v>
      </c>
      <c r="D568">
        <v>90</v>
      </c>
      <c r="E568">
        <v>91.45</v>
      </c>
      <c r="F568">
        <v>88</v>
      </c>
      <c r="G568">
        <v>88.5</v>
      </c>
      <c r="H568">
        <v>19978</v>
      </c>
      <c r="I568">
        <v>312.29000000000002</v>
      </c>
      <c r="J568">
        <v>0.31</v>
      </c>
      <c r="K568">
        <v>89.487499999999997</v>
      </c>
    </row>
    <row r="569" spans="1:11" x14ac:dyDescent="0.25">
      <c r="A569" s="1" t="s">
        <v>10</v>
      </c>
      <c r="B569" s="1" t="s">
        <v>11</v>
      </c>
      <c r="C569" s="2">
        <v>44662</v>
      </c>
      <c r="D569">
        <v>94</v>
      </c>
      <c r="E569">
        <v>94.1</v>
      </c>
      <c r="F569">
        <v>88.9</v>
      </c>
      <c r="G569">
        <v>93.15</v>
      </c>
      <c r="H569">
        <v>32096</v>
      </c>
      <c r="I569">
        <v>328.69</v>
      </c>
      <c r="J569">
        <v>0.31</v>
      </c>
      <c r="K569">
        <v>92.537499999999994</v>
      </c>
    </row>
    <row r="570" spans="1:11" x14ac:dyDescent="0.25">
      <c r="A570" s="1" t="s">
        <v>10</v>
      </c>
      <c r="B570" s="1" t="s">
        <v>11</v>
      </c>
      <c r="C570" s="2">
        <v>44663</v>
      </c>
      <c r="D570">
        <v>94</v>
      </c>
      <c r="E570">
        <v>94</v>
      </c>
      <c r="F570">
        <v>88</v>
      </c>
      <c r="G570">
        <v>90.35</v>
      </c>
      <c r="H570">
        <v>36173</v>
      </c>
      <c r="I570">
        <v>318.81</v>
      </c>
      <c r="J570">
        <v>0.31</v>
      </c>
      <c r="K570">
        <v>91.587500000000006</v>
      </c>
    </row>
    <row r="571" spans="1:11" x14ac:dyDescent="0.25">
      <c r="A571" s="1" t="s">
        <v>10</v>
      </c>
      <c r="B571" s="1" t="s">
        <v>11</v>
      </c>
      <c r="C571" s="2">
        <v>44664</v>
      </c>
      <c r="D571">
        <v>90.1</v>
      </c>
      <c r="E571">
        <v>92.25</v>
      </c>
      <c r="F571">
        <v>88.75</v>
      </c>
      <c r="G571">
        <v>89.25</v>
      </c>
      <c r="H571">
        <v>26009</v>
      </c>
      <c r="I571">
        <v>314.93</v>
      </c>
      <c r="J571">
        <v>0.31</v>
      </c>
      <c r="K571">
        <v>90.087500000000006</v>
      </c>
    </row>
    <row r="572" spans="1:11" x14ac:dyDescent="0.25">
      <c r="A572" s="1" t="s">
        <v>10</v>
      </c>
      <c r="B572" s="1" t="s">
        <v>11</v>
      </c>
      <c r="C572" s="2">
        <v>44669</v>
      </c>
      <c r="D572">
        <v>90</v>
      </c>
      <c r="E572">
        <v>90</v>
      </c>
      <c r="F572">
        <v>86.45</v>
      </c>
      <c r="G572">
        <v>86.65</v>
      </c>
      <c r="H572">
        <v>15075</v>
      </c>
      <c r="I572">
        <v>305.76</v>
      </c>
      <c r="J572">
        <v>0.31</v>
      </c>
      <c r="K572">
        <v>88.275000000000006</v>
      </c>
    </row>
    <row r="573" spans="1:11" x14ac:dyDescent="0.25">
      <c r="A573" s="1" t="s">
        <v>10</v>
      </c>
      <c r="B573" s="1" t="s">
        <v>11</v>
      </c>
      <c r="C573" s="2">
        <v>44670</v>
      </c>
      <c r="D573">
        <v>87</v>
      </c>
      <c r="E573">
        <v>94.4</v>
      </c>
      <c r="F573">
        <v>87</v>
      </c>
      <c r="G573">
        <v>89.85</v>
      </c>
      <c r="H573">
        <v>163393</v>
      </c>
      <c r="I573">
        <v>317.05</v>
      </c>
      <c r="J573">
        <v>0.31</v>
      </c>
      <c r="K573">
        <v>89.5625</v>
      </c>
    </row>
    <row r="574" spans="1:11" x14ac:dyDescent="0.25">
      <c r="A574" s="1" t="s">
        <v>10</v>
      </c>
      <c r="B574" s="1" t="s">
        <v>11</v>
      </c>
      <c r="C574" s="2">
        <v>44671</v>
      </c>
      <c r="D574">
        <v>82</v>
      </c>
      <c r="E574">
        <v>91.25</v>
      </c>
      <c r="F574">
        <v>82</v>
      </c>
      <c r="G574">
        <v>85.75</v>
      </c>
      <c r="H574">
        <v>94870</v>
      </c>
      <c r="I574">
        <v>302.58</v>
      </c>
      <c r="J574">
        <v>0.31</v>
      </c>
      <c r="K574">
        <v>85.25</v>
      </c>
    </row>
    <row r="575" spans="1:11" x14ac:dyDescent="0.25">
      <c r="A575" s="1" t="s">
        <v>10</v>
      </c>
      <c r="B575" s="1" t="s">
        <v>11</v>
      </c>
      <c r="C575" s="2">
        <v>44672</v>
      </c>
      <c r="D575">
        <v>86.45</v>
      </c>
      <c r="E575">
        <v>90</v>
      </c>
      <c r="F575">
        <v>86.45</v>
      </c>
      <c r="G575">
        <v>88.6</v>
      </c>
      <c r="H575">
        <v>59185</v>
      </c>
      <c r="I575">
        <v>312.64</v>
      </c>
      <c r="J575">
        <v>0.31</v>
      </c>
      <c r="K575">
        <v>87.875</v>
      </c>
    </row>
    <row r="576" spans="1:11" x14ac:dyDescent="0.25">
      <c r="A576" s="1" t="s">
        <v>10</v>
      </c>
      <c r="B576" s="1" t="s">
        <v>11</v>
      </c>
      <c r="C576" s="2">
        <v>44673</v>
      </c>
      <c r="D576">
        <v>86</v>
      </c>
      <c r="E576">
        <v>93</v>
      </c>
      <c r="F576">
        <v>86</v>
      </c>
      <c r="G576">
        <v>88.5</v>
      </c>
      <c r="H576">
        <v>44209</v>
      </c>
      <c r="I576">
        <v>312.29000000000002</v>
      </c>
      <c r="J576">
        <v>0.31</v>
      </c>
      <c r="K576">
        <v>88.375</v>
      </c>
    </row>
    <row r="577" spans="1:11" x14ac:dyDescent="0.25">
      <c r="A577" s="1" t="s">
        <v>10</v>
      </c>
      <c r="B577" s="1" t="s">
        <v>11</v>
      </c>
      <c r="C577" s="2">
        <v>44676</v>
      </c>
      <c r="D577">
        <v>88.1</v>
      </c>
      <c r="E577">
        <v>90.1</v>
      </c>
      <c r="F577">
        <v>85.95</v>
      </c>
      <c r="G577">
        <v>86.35</v>
      </c>
      <c r="H577">
        <v>57439</v>
      </c>
      <c r="I577">
        <v>304.7</v>
      </c>
      <c r="J577">
        <v>0.31</v>
      </c>
      <c r="K577">
        <v>87.625</v>
      </c>
    </row>
    <row r="578" spans="1:11" x14ac:dyDescent="0.25">
      <c r="A578" s="1" t="s">
        <v>10</v>
      </c>
      <c r="B578" s="1" t="s">
        <v>11</v>
      </c>
      <c r="C578" s="2">
        <v>44677</v>
      </c>
      <c r="D578">
        <v>87.25</v>
      </c>
      <c r="E578">
        <v>89</v>
      </c>
      <c r="F578">
        <v>87</v>
      </c>
      <c r="G578">
        <v>87.2</v>
      </c>
      <c r="H578">
        <v>31183</v>
      </c>
      <c r="I578">
        <v>307.7</v>
      </c>
      <c r="J578">
        <v>0.31</v>
      </c>
      <c r="K578">
        <v>87.612499999999997</v>
      </c>
    </row>
    <row r="579" spans="1:11" x14ac:dyDescent="0.25">
      <c r="A579" s="1" t="s">
        <v>10</v>
      </c>
      <c r="B579" s="1" t="s">
        <v>11</v>
      </c>
      <c r="C579" s="2">
        <v>44678</v>
      </c>
      <c r="D579">
        <v>86</v>
      </c>
      <c r="E579">
        <v>87.1</v>
      </c>
      <c r="F579">
        <v>84.05</v>
      </c>
      <c r="G579">
        <v>85.7</v>
      </c>
      <c r="H579">
        <v>49009</v>
      </c>
      <c r="I579">
        <v>302.41000000000003</v>
      </c>
      <c r="J579">
        <v>0.31</v>
      </c>
      <c r="K579">
        <v>85.712500000000006</v>
      </c>
    </row>
    <row r="580" spans="1:11" x14ac:dyDescent="0.25">
      <c r="A580" s="1" t="s">
        <v>10</v>
      </c>
      <c r="B580" s="1" t="s">
        <v>11</v>
      </c>
      <c r="C580" s="2">
        <v>44679</v>
      </c>
      <c r="D580">
        <v>86.75</v>
      </c>
      <c r="E580">
        <v>86.75</v>
      </c>
      <c r="F580">
        <v>82.5</v>
      </c>
      <c r="G580">
        <v>83.3</v>
      </c>
      <c r="H580">
        <v>47230</v>
      </c>
      <c r="I580">
        <v>293.94</v>
      </c>
      <c r="J580">
        <v>0.31</v>
      </c>
      <c r="K580">
        <v>84.825000000000003</v>
      </c>
    </row>
    <row r="581" spans="1:11" x14ac:dyDescent="0.25">
      <c r="A581" s="1" t="s">
        <v>10</v>
      </c>
      <c r="B581" s="1" t="s">
        <v>11</v>
      </c>
      <c r="C581" s="2">
        <v>44680</v>
      </c>
      <c r="D581">
        <v>83.55</v>
      </c>
      <c r="E581">
        <v>85.05</v>
      </c>
      <c r="F581">
        <v>79.95</v>
      </c>
      <c r="G581">
        <v>80.95</v>
      </c>
      <c r="H581">
        <v>49449</v>
      </c>
      <c r="I581">
        <v>285.64</v>
      </c>
      <c r="J581">
        <v>0.31</v>
      </c>
      <c r="K581">
        <v>82.375</v>
      </c>
    </row>
    <row r="582" spans="1:11" x14ac:dyDescent="0.25">
      <c r="A582" s="1" t="s">
        <v>10</v>
      </c>
      <c r="B582" s="1" t="s">
        <v>11</v>
      </c>
      <c r="C582" s="2">
        <v>44683</v>
      </c>
      <c r="D582">
        <v>80</v>
      </c>
      <c r="E582">
        <v>84</v>
      </c>
      <c r="F582">
        <v>79.45</v>
      </c>
      <c r="G582">
        <v>83.05</v>
      </c>
      <c r="H582">
        <v>28355</v>
      </c>
      <c r="I582">
        <v>293.05</v>
      </c>
      <c r="J582">
        <v>0.31</v>
      </c>
      <c r="K582">
        <v>81.625</v>
      </c>
    </row>
    <row r="583" spans="1:11" x14ac:dyDescent="0.25">
      <c r="A583" s="1" t="s">
        <v>10</v>
      </c>
      <c r="B583" s="1" t="s">
        <v>11</v>
      </c>
      <c r="C583" s="2">
        <v>44685</v>
      </c>
      <c r="D583">
        <v>83.95</v>
      </c>
      <c r="E583">
        <v>84.4</v>
      </c>
      <c r="F583">
        <v>77.650000000000006</v>
      </c>
      <c r="G583">
        <v>79.95</v>
      </c>
      <c r="H583">
        <v>46273</v>
      </c>
      <c r="I583">
        <v>282.12</v>
      </c>
      <c r="J583">
        <v>0.31</v>
      </c>
      <c r="K583">
        <v>81.487499999999997</v>
      </c>
    </row>
    <row r="584" spans="1:11" x14ac:dyDescent="0.25">
      <c r="A584" s="1" t="s">
        <v>10</v>
      </c>
      <c r="B584" s="1" t="s">
        <v>11</v>
      </c>
      <c r="C584" s="2">
        <v>44686</v>
      </c>
      <c r="D584">
        <v>80.8</v>
      </c>
      <c r="E584">
        <v>94.15</v>
      </c>
      <c r="F584">
        <v>80.75</v>
      </c>
      <c r="G584">
        <v>91.8</v>
      </c>
      <c r="H584">
        <v>260968</v>
      </c>
      <c r="I584">
        <v>323.93</v>
      </c>
      <c r="J584">
        <v>0.31</v>
      </c>
      <c r="K584">
        <v>86.875</v>
      </c>
    </row>
    <row r="585" spans="1:11" x14ac:dyDescent="0.25">
      <c r="A585" s="1" t="s">
        <v>10</v>
      </c>
      <c r="B585" s="1" t="s">
        <v>11</v>
      </c>
      <c r="C585" s="2">
        <v>44687</v>
      </c>
      <c r="D585">
        <v>89.1</v>
      </c>
      <c r="E585">
        <v>92.5</v>
      </c>
      <c r="F585">
        <v>85.7</v>
      </c>
      <c r="G585">
        <v>91.25</v>
      </c>
      <c r="H585">
        <v>152609</v>
      </c>
      <c r="I585">
        <v>321.99</v>
      </c>
      <c r="J585">
        <v>0.31</v>
      </c>
      <c r="K585">
        <v>89.637500000000003</v>
      </c>
    </row>
    <row r="586" spans="1:11" x14ac:dyDescent="0.25">
      <c r="A586" s="1" t="s">
        <v>10</v>
      </c>
      <c r="B586" s="1" t="s">
        <v>11</v>
      </c>
      <c r="C586" s="2">
        <v>44690</v>
      </c>
      <c r="D586">
        <v>89.95</v>
      </c>
      <c r="E586">
        <v>90.9</v>
      </c>
      <c r="F586">
        <v>85.4</v>
      </c>
      <c r="G586">
        <v>87.3</v>
      </c>
      <c r="H586">
        <v>112462</v>
      </c>
      <c r="I586">
        <v>308.05</v>
      </c>
      <c r="J586">
        <v>0.31</v>
      </c>
      <c r="K586">
        <v>88.387500000000003</v>
      </c>
    </row>
    <row r="587" spans="1:11" x14ac:dyDescent="0.25">
      <c r="A587" s="1" t="s">
        <v>10</v>
      </c>
      <c r="B587" s="1" t="s">
        <v>11</v>
      </c>
      <c r="C587" s="2">
        <v>44691</v>
      </c>
      <c r="D587">
        <v>87</v>
      </c>
      <c r="E587">
        <v>90.35</v>
      </c>
      <c r="F587">
        <v>82.85</v>
      </c>
      <c r="G587">
        <v>83.8</v>
      </c>
      <c r="H587">
        <v>108230</v>
      </c>
      <c r="I587">
        <v>295.7</v>
      </c>
      <c r="J587">
        <v>0.31</v>
      </c>
      <c r="K587">
        <v>86</v>
      </c>
    </row>
    <row r="588" spans="1:11" x14ac:dyDescent="0.25">
      <c r="A588" s="1" t="s">
        <v>10</v>
      </c>
      <c r="B588" s="1" t="s">
        <v>11</v>
      </c>
      <c r="C588" s="2">
        <v>44692</v>
      </c>
      <c r="D588">
        <v>84</v>
      </c>
      <c r="E588">
        <v>84.85</v>
      </c>
      <c r="F588">
        <v>78.900000000000006</v>
      </c>
      <c r="G588">
        <v>80.45</v>
      </c>
      <c r="H588">
        <v>75311</v>
      </c>
      <c r="I588">
        <v>283.88</v>
      </c>
      <c r="J588">
        <v>0.31</v>
      </c>
      <c r="K588">
        <v>82.05</v>
      </c>
    </row>
    <row r="589" spans="1:11" x14ac:dyDescent="0.25">
      <c r="A589" s="1" t="s">
        <v>10</v>
      </c>
      <c r="B589" s="1" t="s">
        <v>11</v>
      </c>
      <c r="C589" s="2">
        <v>44693</v>
      </c>
      <c r="D589">
        <v>78.8</v>
      </c>
      <c r="E589">
        <v>83.3</v>
      </c>
      <c r="F589">
        <v>77.5</v>
      </c>
      <c r="G589">
        <v>78.3</v>
      </c>
      <c r="H589">
        <v>279088</v>
      </c>
      <c r="I589">
        <v>276.29000000000002</v>
      </c>
      <c r="J589">
        <v>0.31</v>
      </c>
      <c r="K589">
        <v>79.474999999999994</v>
      </c>
    </row>
    <row r="590" spans="1:11" x14ac:dyDescent="0.25">
      <c r="A590" s="1" t="s">
        <v>10</v>
      </c>
      <c r="B590" s="1" t="s">
        <v>11</v>
      </c>
      <c r="C590" s="2">
        <v>44694</v>
      </c>
      <c r="D590">
        <v>79.650000000000006</v>
      </c>
      <c r="E590">
        <v>83.6</v>
      </c>
      <c r="F590">
        <v>79.2</v>
      </c>
      <c r="G590">
        <v>79.5</v>
      </c>
      <c r="H590">
        <v>120950</v>
      </c>
      <c r="I590">
        <v>280.52999999999997</v>
      </c>
      <c r="J590">
        <v>0.31</v>
      </c>
      <c r="K590">
        <v>80.487499999999997</v>
      </c>
    </row>
    <row r="591" spans="1:11" x14ac:dyDescent="0.25">
      <c r="A591" s="1" t="s">
        <v>10</v>
      </c>
      <c r="B591" s="1" t="s">
        <v>11</v>
      </c>
      <c r="C591" s="2">
        <v>44697</v>
      </c>
      <c r="D591">
        <v>80</v>
      </c>
      <c r="E591">
        <v>85.95</v>
      </c>
      <c r="F591">
        <v>79.55</v>
      </c>
      <c r="G591">
        <v>81.75</v>
      </c>
      <c r="H591">
        <v>26062</v>
      </c>
      <c r="I591">
        <v>288.47000000000003</v>
      </c>
      <c r="J591">
        <v>0.31</v>
      </c>
      <c r="K591">
        <v>81.8125</v>
      </c>
    </row>
    <row r="592" spans="1:11" x14ac:dyDescent="0.25">
      <c r="A592" s="1" t="s">
        <v>10</v>
      </c>
      <c r="B592" s="1" t="s">
        <v>11</v>
      </c>
      <c r="C592" s="2">
        <v>44698</v>
      </c>
      <c r="D592">
        <v>81.7</v>
      </c>
      <c r="E592">
        <v>86.9</v>
      </c>
      <c r="F592">
        <v>80.5</v>
      </c>
      <c r="G592">
        <v>84.3</v>
      </c>
      <c r="H592">
        <v>51133</v>
      </c>
      <c r="I592">
        <v>297.47000000000003</v>
      </c>
      <c r="J592">
        <v>0.31</v>
      </c>
      <c r="K592">
        <v>83.35</v>
      </c>
    </row>
    <row r="593" spans="1:11" x14ac:dyDescent="0.25">
      <c r="A593" s="1" t="s">
        <v>10</v>
      </c>
      <c r="B593" s="1" t="s">
        <v>11</v>
      </c>
      <c r="C593" s="2">
        <v>44699</v>
      </c>
      <c r="D593">
        <v>86.8</v>
      </c>
      <c r="E593">
        <v>87.75</v>
      </c>
      <c r="F593">
        <v>84.25</v>
      </c>
      <c r="G593">
        <v>85.25</v>
      </c>
      <c r="H593">
        <v>44904</v>
      </c>
      <c r="I593">
        <v>300.82</v>
      </c>
      <c r="J593">
        <v>0.31</v>
      </c>
      <c r="K593">
        <v>86.012500000000003</v>
      </c>
    </row>
    <row r="594" spans="1:11" x14ac:dyDescent="0.25">
      <c r="A594" s="1" t="s">
        <v>10</v>
      </c>
      <c r="B594" s="1" t="s">
        <v>11</v>
      </c>
      <c r="C594" s="2">
        <v>44700</v>
      </c>
      <c r="D594">
        <v>81.25</v>
      </c>
      <c r="E594">
        <v>86.45</v>
      </c>
      <c r="F594">
        <v>81.25</v>
      </c>
      <c r="G594">
        <v>83.65</v>
      </c>
      <c r="H594">
        <v>21595</v>
      </c>
      <c r="I594">
        <v>295.17</v>
      </c>
      <c r="J594">
        <v>0.31</v>
      </c>
      <c r="K594">
        <v>83.15</v>
      </c>
    </row>
    <row r="595" spans="1:11" x14ac:dyDescent="0.25">
      <c r="A595" s="1" t="s">
        <v>10</v>
      </c>
      <c r="B595" s="1" t="s">
        <v>11</v>
      </c>
      <c r="C595" s="2">
        <v>44701</v>
      </c>
      <c r="D595">
        <v>86</v>
      </c>
      <c r="E595">
        <v>87</v>
      </c>
      <c r="F595">
        <v>83.5</v>
      </c>
      <c r="G595">
        <v>84.3</v>
      </c>
      <c r="H595">
        <v>12965</v>
      </c>
      <c r="I595">
        <v>297.47000000000003</v>
      </c>
      <c r="J595">
        <v>0.31</v>
      </c>
      <c r="K595">
        <v>85.2</v>
      </c>
    </row>
    <row r="596" spans="1:11" x14ac:dyDescent="0.25">
      <c r="A596" s="1" t="s">
        <v>10</v>
      </c>
      <c r="B596" s="1" t="s">
        <v>11</v>
      </c>
      <c r="C596" s="2">
        <v>44704</v>
      </c>
      <c r="D596">
        <v>84.4</v>
      </c>
      <c r="E596">
        <v>91.9</v>
      </c>
      <c r="F596">
        <v>83.15</v>
      </c>
      <c r="G596">
        <v>85.4</v>
      </c>
      <c r="H596">
        <v>58678</v>
      </c>
      <c r="I596">
        <v>301.35000000000002</v>
      </c>
      <c r="J596">
        <v>0.31</v>
      </c>
      <c r="K596">
        <v>86.212500000000006</v>
      </c>
    </row>
    <row r="597" spans="1:11" x14ac:dyDescent="0.25">
      <c r="A597" s="1" t="s">
        <v>10</v>
      </c>
      <c r="B597" s="1" t="s">
        <v>11</v>
      </c>
      <c r="C597" s="2">
        <v>44705</v>
      </c>
      <c r="D597">
        <v>85.2</v>
      </c>
      <c r="E597">
        <v>86.1</v>
      </c>
      <c r="F597">
        <v>82.55</v>
      </c>
      <c r="G597">
        <v>83.7</v>
      </c>
      <c r="H597">
        <v>11615</v>
      </c>
      <c r="I597">
        <v>295.35000000000002</v>
      </c>
      <c r="J597">
        <v>0.31</v>
      </c>
      <c r="K597">
        <v>84.387500000000003</v>
      </c>
    </row>
    <row r="598" spans="1:11" x14ac:dyDescent="0.25">
      <c r="A598" s="1" t="s">
        <v>10</v>
      </c>
      <c r="B598" s="1" t="s">
        <v>11</v>
      </c>
      <c r="C598" s="2">
        <v>44706</v>
      </c>
      <c r="D598">
        <v>85</v>
      </c>
      <c r="E598">
        <v>85.05</v>
      </c>
      <c r="F598">
        <v>77.25</v>
      </c>
      <c r="G598">
        <v>78.150000000000006</v>
      </c>
      <c r="H598">
        <v>33790</v>
      </c>
      <c r="I598">
        <v>275.76</v>
      </c>
      <c r="J598">
        <v>0.31</v>
      </c>
      <c r="K598">
        <v>81.362499999999997</v>
      </c>
    </row>
    <row r="599" spans="1:11" x14ac:dyDescent="0.25">
      <c r="A599" s="1" t="s">
        <v>10</v>
      </c>
      <c r="B599" s="1" t="s">
        <v>11</v>
      </c>
      <c r="C599" s="2">
        <v>44707</v>
      </c>
      <c r="D599">
        <v>85</v>
      </c>
      <c r="E599">
        <v>85</v>
      </c>
      <c r="F599">
        <v>74.400000000000006</v>
      </c>
      <c r="G599">
        <v>77.150000000000006</v>
      </c>
      <c r="H599">
        <v>34483</v>
      </c>
      <c r="I599">
        <v>272.24</v>
      </c>
      <c r="J599">
        <v>0.31</v>
      </c>
      <c r="K599">
        <v>80.387500000000003</v>
      </c>
    </row>
    <row r="600" spans="1:11" x14ac:dyDescent="0.25">
      <c r="A600" s="1" t="s">
        <v>10</v>
      </c>
      <c r="B600" s="1" t="s">
        <v>11</v>
      </c>
      <c r="C600" s="2">
        <v>44708</v>
      </c>
      <c r="D600">
        <v>77.75</v>
      </c>
      <c r="E600">
        <v>79.349999999999994</v>
      </c>
      <c r="F600">
        <v>77.2</v>
      </c>
      <c r="G600">
        <v>77.5</v>
      </c>
      <c r="H600">
        <v>18522</v>
      </c>
      <c r="I600">
        <v>273.47000000000003</v>
      </c>
      <c r="J600">
        <v>0.31</v>
      </c>
      <c r="K600">
        <v>77.95</v>
      </c>
    </row>
    <row r="601" spans="1:11" x14ac:dyDescent="0.25">
      <c r="A601" s="1" t="s">
        <v>10</v>
      </c>
      <c r="B601" s="1" t="s">
        <v>11</v>
      </c>
      <c r="C601" s="2">
        <v>44711</v>
      </c>
      <c r="D601">
        <v>78.099999999999994</v>
      </c>
      <c r="E601">
        <v>84.8</v>
      </c>
      <c r="F601">
        <v>78.099999999999994</v>
      </c>
      <c r="G601">
        <v>79.45</v>
      </c>
      <c r="H601">
        <v>38854</v>
      </c>
      <c r="I601">
        <v>280.35000000000002</v>
      </c>
      <c r="J601">
        <v>0.31</v>
      </c>
      <c r="K601">
        <v>80.112499999999997</v>
      </c>
    </row>
    <row r="602" spans="1:11" x14ac:dyDescent="0.25">
      <c r="A602" s="1" t="s">
        <v>10</v>
      </c>
      <c r="B602" s="1" t="s">
        <v>11</v>
      </c>
      <c r="C602" s="2">
        <v>44712</v>
      </c>
      <c r="D602">
        <v>79.45</v>
      </c>
      <c r="E602">
        <v>80.95</v>
      </c>
      <c r="F602">
        <v>78.599999999999994</v>
      </c>
      <c r="G602">
        <v>80.25</v>
      </c>
      <c r="H602">
        <v>36369</v>
      </c>
      <c r="I602">
        <v>283.17</v>
      </c>
      <c r="J602">
        <v>0.31</v>
      </c>
      <c r="K602">
        <v>79.8125</v>
      </c>
    </row>
    <row r="603" spans="1:11" x14ac:dyDescent="0.25">
      <c r="A603" s="1" t="s">
        <v>10</v>
      </c>
      <c r="B603" s="1" t="s">
        <v>11</v>
      </c>
      <c r="C603" s="2">
        <v>44713</v>
      </c>
      <c r="D603">
        <v>79.5</v>
      </c>
      <c r="E603">
        <v>81.599999999999994</v>
      </c>
      <c r="F603">
        <v>79.349999999999994</v>
      </c>
      <c r="G603">
        <v>79.8</v>
      </c>
      <c r="H603">
        <v>9790</v>
      </c>
      <c r="I603">
        <v>281.58999999999997</v>
      </c>
      <c r="J603">
        <v>0.31</v>
      </c>
      <c r="K603">
        <v>80.0625</v>
      </c>
    </row>
    <row r="604" spans="1:11" x14ac:dyDescent="0.25">
      <c r="A604" s="1" t="s">
        <v>10</v>
      </c>
      <c r="B604" s="1" t="s">
        <v>11</v>
      </c>
      <c r="C604" s="2">
        <v>44714</v>
      </c>
      <c r="D604">
        <v>80</v>
      </c>
      <c r="E604">
        <v>81.8</v>
      </c>
      <c r="F604">
        <v>79.650000000000006</v>
      </c>
      <c r="G604">
        <v>80.05</v>
      </c>
      <c r="H604">
        <v>19032</v>
      </c>
      <c r="I604">
        <v>282.47000000000003</v>
      </c>
      <c r="J604">
        <v>0.31</v>
      </c>
      <c r="K604">
        <v>80.375</v>
      </c>
    </row>
    <row r="605" spans="1:11" x14ac:dyDescent="0.25">
      <c r="A605" s="1" t="s">
        <v>10</v>
      </c>
      <c r="B605" s="1" t="s">
        <v>11</v>
      </c>
      <c r="C605" s="2">
        <v>44715</v>
      </c>
      <c r="D605">
        <v>81</v>
      </c>
      <c r="E605">
        <v>81.3</v>
      </c>
      <c r="F605">
        <v>77.3</v>
      </c>
      <c r="G605">
        <v>78.05</v>
      </c>
      <c r="H605">
        <v>23048</v>
      </c>
      <c r="I605">
        <v>275.41000000000003</v>
      </c>
      <c r="J605">
        <v>0.31</v>
      </c>
      <c r="K605">
        <v>79.412499999999994</v>
      </c>
    </row>
    <row r="606" spans="1:11" x14ac:dyDescent="0.25">
      <c r="A606" s="1" t="s">
        <v>10</v>
      </c>
      <c r="B606" s="1" t="s">
        <v>11</v>
      </c>
      <c r="C606" s="2">
        <v>44718</v>
      </c>
      <c r="D606">
        <v>78.2</v>
      </c>
      <c r="E606">
        <v>79.400000000000006</v>
      </c>
      <c r="F606">
        <v>76.55</v>
      </c>
      <c r="G606">
        <v>78.95</v>
      </c>
      <c r="H606">
        <v>2705</v>
      </c>
      <c r="I606">
        <v>278.58999999999997</v>
      </c>
      <c r="J606">
        <v>0.31</v>
      </c>
      <c r="K606">
        <v>78.275000000000006</v>
      </c>
    </row>
    <row r="607" spans="1:11" x14ac:dyDescent="0.25">
      <c r="A607" s="1" t="s">
        <v>10</v>
      </c>
      <c r="B607" s="1" t="s">
        <v>11</v>
      </c>
      <c r="C607" s="2">
        <v>44719</v>
      </c>
      <c r="D607">
        <v>78.2</v>
      </c>
      <c r="E607">
        <v>80</v>
      </c>
      <c r="F607">
        <v>78.2</v>
      </c>
      <c r="G607">
        <v>78.5</v>
      </c>
      <c r="H607">
        <v>6207</v>
      </c>
      <c r="I607">
        <v>277</v>
      </c>
      <c r="J607">
        <v>0.31</v>
      </c>
      <c r="K607">
        <v>78.724999999999994</v>
      </c>
    </row>
    <row r="608" spans="1:11" x14ac:dyDescent="0.25">
      <c r="A608" s="1" t="s">
        <v>10</v>
      </c>
      <c r="B608" s="1" t="s">
        <v>11</v>
      </c>
      <c r="C608" s="2">
        <v>44720</v>
      </c>
      <c r="D608">
        <v>80</v>
      </c>
      <c r="E608">
        <v>80</v>
      </c>
      <c r="F608">
        <v>77.55</v>
      </c>
      <c r="G608">
        <v>78.95</v>
      </c>
      <c r="H608">
        <v>7085</v>
      </c>
      <c r="I608">
        <v>278.58999999999997</v>
      </c>
      <c r="J608">
        <v>0.31</v>
      </c>
      <c r="K608">
        <v>79.125</v>
      </c>
    </row>
    <row r="609" spans="1:11" x14ac:dyDescent="0.25">
      <c r="A609" s="1" t="s">
        <v>10</v>
      </c>
      <c r="B609" s="1" t="s">
        <v>11</v>
      </c>
      <c r="C609" s="2">
        <v>44721</v>
      </c>
      <c r="D609">
        <v>78.8</v>
      </c>
      <c r="E609">
        <v>80.95</v>
      </c>
      <c r="F609">
        <v>77.75</v>
      </c>
      <c r="G609">
        <v>78.25</v>
      </c>
      <c r="H609">
        <v>13191</v>
      </c>
      <c r="I609">
        <v>276.12</v>
      </c>
      <c r="J609">
        <v>0.31</v>
      </c>
      <c r="K609">
        <v>78.9375</v>
      </c>
    </row>
    <row r="610" spans="1:11" x14ac:dyDescent="0.25">
      <c r="A610" s="1" t="s">
        <v>10</v>
      </c>
      <c r="B610" s="1" t="s">
        <v>11</v>
      </c>
      <c r="C610" s="2">
        <v>44722</v>
      </c>
      <c r="D610">
        <v>77.25</v>
      </c>
      <c r="E610">
        <v>78.3</v>
      </c>
      <c r="F610">
        <v>76.5</v>
      </c>
      <c r="G610">
        <v>77.099999999999994</v>
      </c>
      <c r="H610">
        <v>10533</v>
      </c>
      <c r="I610">
        <v>272.06</v>
      </c>
      <c r="J610">
        <v>0.31</v>
      </c>
      <c r="K610">
        <v>77.287499999999994</v>
      </c>
    </row>
    <row r="611" spans="1:11" x14ac:dyDescent="0.25">
      <c r="A611" s="1" t="s">
        <v>10</v>
      </c>
      <c r="B611" s="1" t="s">
        <v>11</v>
      </c>
      <c r="C611" s="2">
        <v>44725</v>
      </c>
      <c r="D611">
        <v>73.099999999999994</v>
      </c>
      <c r="E611">
        <v>75.75</v>
      </c>
      <c r="F611">
        <v>72.3</v>
      </c>
      <c r="G611">
        <v>73.599999999999994</v>
      </c>
      <c r="H611">
        <v>23286</v>
      </c>
      <c r="I611">
        <v>259.70999999999998</v>
      </c>
      <c r="J611">
        <v>0.31</v>
      </c>
      <c r="K611">
        <v>73.6875</v>
      </c>
    </row>
    <row r="612" spans="1:11" x14ac:dyDescent="0.25">
      <c r="A612" s="1" t="s">
        <v>10</v>
      </c>
      <c r="B612" s="1" t="s">
        <v>11</v>
      </c>
      <c r="C612" s="2">
        <v>44726</v>
      </c>
      <c r="D612">
        <v>76.7</v>
      </c>
      <c r="E612">
        <v>76.7</v>
      </c>
      <c r="F612">
        <v>72</v>
      </c>
      <c r="G612">
        <v>72.900000000000006</v>
      </c>
      <c r="H612">
        <v>21918</v>
      </c>
      <c r="I612">
        <v>257.24</v>
      </c>
      <c r="J612">
        <v>0.31</v>
      </c>
      <c r="K612">
        <v>74.575000000000003</v>
      </c>
    </row>
    <row r="613" spans="1:11" x14ac:dyDescent="0.25">
      <c r="A613" s="1" t="s">
        <v>10</v>
      </c>
      <c r="B613" s="1" t="s">
        <v>11</v>
      </c>
      <c r="C613" s="2">
        <v>44727</v>
      </c>
      <c r="D613">
        <v>75.8</v>
      </c>
      <c r="E613">
        <v>79.3</v>
      </c>
      <c r="F613">
        <v>72.599999999999994</v>
      </c>
      <c r="G613">
        <v>73.2</v>
      </c>
      <c r="H613">
        <v>41615</v>
      </c>
      <c r="I613">
        <v>258.3</v>
      </c>
      <c r="J613">
        <v>0.31</v>
      </c>
      <c r="K613">
        <v>75.224999999999994</v>
      </c>
    </row>
    <row r="614" spans="1:11" x14ac:dyDescent="0.25">
      <c r="A614" s="1" t="s">
        <v>10</v>
      </c>
      <c r="B614" s="1" t="s">
        <v>11</v>
      </c>
      <c r="C614" s="2">
        <v>44728</v>
      </c>
      <c r="D614">
        <v>75.8</v>
      </c>
      <c r="E614">
        <v>75.8</v>
      </c>
      <c r="F614">
        <v>68.099999999999994</v>
      </c>
      <c r="G614">
        <v>69.05</v>
      </c>
      <c r="H614">
        <v>17317</v>
      </c>
      <c r="I614">
        <v>243.65</v>
      </c>
      <c r="J614">
        <v>0.31</v>
      </c>
      <c r="K614">
        <v>72.1875</v>
      </c>
    </row>
    <row r="615" spans="1:11" x14ac:dyDescent="0.25">
      <c r="A615" s="1" t="s">
        <v>10</v>
      </c>
      <c r="B615" s="1" t="s">
        <v>11</v>
      </c>
      <c r="C615" s="2">
        <v>44729</v>
      </c>
      <c r="D615">
        <v>68.2</v>
      </c>
      <c r="E615">
        <v>70.400000000000006</v>
      </c>
      <c r="F615">
        <v>67.400000000000006</v>
      </c>
      <c r="G615">
        <v>68.7</v>
      </c>
      <c r="H615">
        <v>18659</v>
      </c>
      <c r="I615">
        <v>242.42</v>
      </c>
      <c r="J615">
        <v>0.31</v>
      </c>
      <c r="K615">
        <v>68.674999999999997</v>
      </c>
    </row>
    <row r="616" spans="1:11" x14ac:dyDescent="0.25">
      <c r="A616" s="1" t="s">
        <v>10</v>
      </c>
      <c r="B616" s="1" t="s">
        <v>11</v>
      </c>
      <c r="C616" s="2">
        <v>44732</v>
      </c>
      <c r="D616">
        <v>74</v>
      </c>
      <c r="E616">
        <v>74</v>
      </c>
      <c r="F616">
        <v>60</v>
      </c>
      <c r="G616">
        <v>62.05</v>
      </c>
      <c r="H616">
        <v>41249</v>
      </c>
      <c r="I616">
        <v>218.95</v>
      </c>
      <c r="J616">
        <v>0.31</v>
      </c>
      <c r="K616">
        <v>67.512500000000003</v>
      </c>
    </row>
    <row r="617" spans="1:11" x14ac:dyDescent="0.25">
      <c r="A617" s="1" t="s">
        <v>10</v>
      </c>
      <c r="B617" s="1" t="s">
        <v>11</v>
      </c>
      <c r="C617" s="2">
        <v>44733</v>
      </c>
      <c r="D617">
        <v>65.8</v>
      </c>
      <c r="E617">
        <v>65.8</v>
      </c>
      <c r="F617">
        <v>61.75</v>
      </c>
      <c r="G617">
        <v>64.5</v>
      </c>
      <c r="H617">
        <v>43989</v>
      </c>
      <c r="I617">
        <v>227.6</v>
      </c>
      <c r="J617">
        <v>0.31</v>
      </c>
      <c r="K617">
        <v>64.462500000000006</v>
      </c>
    </row>
    <row r="618" spans="1:11" x14ac:dyDescent="0.25">
      <c r="A618" s="1" t="s">
        <v>10</v>
      </c>
      <c r="B618" s="1" t="s">
        <v>11</v>
      </c>
      <c r="C618" s="2">
        <v>44734</v>
      </c>
      <c r="D618">
        <v>63.45</v>
      </c>
      <c r="E618">
        <v>66.95</v>
      </c>
      <c r="F618">
        <v>62.65</v>
      </c>
      <c r="G618">
        <v>63.25</v>
      </c>
      <c r="H618">
        <v>12338</v>
      </c>
      <c r="I618">
        <v>223.19</v>
      </c>
      <c r="J618">
        <v>0.31</v>
      </c>
      <c r="K618">
        <v>64.075000000000003</v>
      </c>
    </row>
    <row r="619" spans="1:11" x14ac:dyDescent="0.25">
      <c r="A619" s="1" t="s">
        <v>10</v>
      </c>
      <c r="B619" s="1" t="s">
        <v>11</v>
      </c>
      <c r="C619" s="2">
        <v>44735</v>
      </c>
      <c r="D619">
        <v>63.4</v>
      </c>
      <c r="E619">
        <v>65.849999999999994</v>
      </c>
      <c r="F619">
        <v>63.4</v>
      </c>
      <c r="G619">
        <v>65.2</v>
      </c>
      <c r="H619">
        <v>10937</v>
      </c>
      <c r="I619">
        <v>230.07</v>
      </c>
      <c r="J619">
        <v>0.31</v>
      </c>
      <c r="K619">
        <v>64.462500000000006</v>
      </c>
    </row>
    <row r="620" spans="1:11" x14ac:dyDescent="0.25">
      <c r="A620" s="1" t="s">
        <v>10</v>
      </c>
      <c r="B620" s="1" t="s">
        <v>11</v>
      </c>
      <c r="C620" s="2">
        <v>44736</v>
      </c>
      <c r="D620">
        <v>66.55</v>
      </c>
      <c r="E620">
        <v>67.95</v>
      </c>
      <c r="F620">
        <v>65.3</v>
      </c>
      <c r="G620">
        <v>67.5</v>
      </c>
      <c r="H620">
        <v>7438</v>
      </c>
      <c r="I620">
        <v>238.18</v>
      </c>
      <c r="J620">
        <v>0.31</v>
      </c>
      <c r="K620">
        <v>66.825000000000003</v>
      </c>
    </row>
    <row r="621" spans="1:11" x14ac:dyDescent="0.25">
      <c r="A621" s="1" t="s">
        <v>10</v>
      </c>
      <c r="B621" s="1" t="s">
        <v>11</v>
      </c>
      <c r="C621" s="2">
        <v>44739</v>
      </c>
      <c r="D621">
        <v>68.25</v>
      </c>
      <c r="E621">
        <v>70.650000000000006</v>
      </c>
      <c r="F621">
        <v>67.5</v>
      </c>
      <c r="G621">
        <v>68.599999999999994</v>
      </c>
      <c r="H621">
        <v>17488</v>
      </c>
      <c r="I621">
        <v>242.07</v>
      </c>
      <c r="J621">
        <v>0.31</v>
      </c>
      <c r="K621">
        <v>68.75</v>
      </c>
    </row>
    <row r="622" spans="1:11" x14ac:dyDescent="0.25">
      <c r="A622" s="1" t="s">
        <v>10</v>
      </c>
      <c r="B622" s="1" t="s">
        <v>11</v>
      </c>
      <c r="C622" s="2">
        <v>44740</v>
      </c>
      <c r="D622">
        <v>67.7</v>
      </c>
      <c r="E622">
        <v>70.349999999999994</v>
      </c>
      <c r="F622">
        <v>67.099999999999994</v>
      </c>
      <c r="G622">
        <v>69.650000000000006</v>
      </c>
      <c r="H622">
        <v>7091</v>
      </c>
      <c r="I622">
        <v>245.77</v>
      </c>
      <c r="J622">
        <v>0.31</v>
      </c>
      <c r="K622">
        <v>68.7</v>
      </c>
    </row>
    <row r="623" spans="1:11" x14ac:dyDescent="0.25">
      <c r="A623" s="1" t="s">
        <v>10</v>
      </c>
      <c r="B623" s="1" t="s">
        <v>11</v>
      </c>
      <c r="C623" s="2">
        <v>44741</v>
      </c>
      <c r="D623">
        <v>68.150000000000006</v>
      </c>
      <c r="E623">
        <v>71.7</v>
      </c>
      <c r="F623">
        <v>68.150000000000006</v>
      </c>
      <c r="G623">
        <v>69.5</v>
      </c>
      <c r="H623">
        <v>5104</v>
      </c>
      <c r="I623">
        <v>245.24</v>
      </c>
      <c r="J623">
        <v>0.31</v>
      </c>
      <c r="K623">
        <v>69.375</v>
      </c>
    </row>
    <row r="624" spans="1:11" x14ac:dyDescent="0.25">
      <c r="A624" s="1" t="s">
        <v>10</v>
      </c>
      <c r="B624" s="1" t="s">
        <v>11</v>
      </c>
      <c r="C624" s="2">
        <v>44742</v>
      </c>
      <c r="D624">
        <v>69.150000000000006</v>
      </c>
      <c r="E624">
        <v>70.599999999999994</v>
      </c>
      <c r="F624">
        <v>68</v>
      </c>
      <c r="G624">
        <v>68.75</v>
      </c>
      <c r="H624">
        <v>6552</v>
      </c>
      <c r="I624">
        <v>242.59</v>
      </c>
      <c r="J624">
        <v>0.31</v>
      </c>
      <c r="K624">
        <v>69.125</v>
      </c>
    </row>
    <row r="625" spans="1:11" x14ac:dyDescent="0.25">
      <c r="A625" s="1" t="s">
        <v>10</v>
      </c>
      <c r="B625" s="1" t="s">
        <v>11</v>
      </c>
      <c r="C625" s="2">
        <v>44743</v>
      </c>
      <c r="D625">
        <v>68.3</v>
      </c>
      <c r="E625">
        <v>69.2</v>
      </c>
      <c r="F625">
        <v>67.400000000000006</v>
      </c>
      <c r="G625">
        <v>68.599999999999994</v>
      </c>
      <c r="H625">
        <v>5491</v>
      </c>
      <c r="I625">
        <v>242.07</v>
      </c>
      <c r="J625">
        <v>0.31</v>
      </c>
      <c r="K625">
        <v>68.375</v>
      </c>
    </row>
    <row r="626" spans="1:11" x14ac:dyDescent="0.25">
      <c r="A626" s="1" t="s">
        <v>10</v>
      </c>
      <c r="B626" s="1" t="s">
        <v>11</v>
      </c>
      <c r="C626" s="2">
        <v>44746</v>
      </c>
      <c r="D626">
        <v>66.25</v>
      </c>
      <c r="E626">
        <v>69.55</v>
      </c>
      <c r="F626">
        <v>66.25</v>
      </c>
      <c r="G626">
        <v>68.099999999999994</v>
      </c>
      <c r="H626">
        <v>5222</v>
      </c>
      <c r="I626">
        <v>240.3</v>
      </c>
      <c r="J626">
        <v>0.31</v>
      </c>
      <c r="K626">
        <v>67.537499999999994</v>
      </c>
    </row>
    <row r="627" spans="1:11" x14ac:dyDescent="0.25">
      <c r="A627" s="1" t="s">
        <v>10</v>
      </c>
      <c r="B627" s="1" t="s">
        <v>11</v>
      </c>
      <c r="C627" s="2">
        <v>44747</v>
      </c>
      <c r="D627">
        <v>68.099999999999994</v>
      </c>
      <c r="E627">
        <v>70.45</v>
      </c>
      <c r="F627">
        <v>68.099999999999994</v>
      </c>
      <c r="G627">
        <v>69.7</v>
      </c>
      <c r="H627">
        <v>5979</v>
      </c>
      <c r="I627">
        <v>245.95</v>
      </c>
      <c r="J627">
        <v>0.31</v>
      </c>
      <c r="K627">
        <v>69.087500000000006</v>
      </c>
    </row>
    <row r="628" spans="1:11" x14ac:dyDescent="0.25">
      <c r="A628" s="1" t="s">
        <v>10</v>
      </c>
      <c r="B628" s="1" t="s">
        <v>11</v>
      </c>
      <c r="C628" s="2">
        <v>44748</v>
      </c>
      <c r="D628">
        <v>70</v>
      </c>
      <c r="E628">
        <v>72.099999999999994</v>
      </c>
      <c r="F628">
        <v>69.5</v>
      </c>
      <c r="G628">
        <v>70.8</v>
      </c>
      <c r="H628">
        <v>18301</v>
      </c>
      <c r="I628">
        <v>249.83</v>
      </c>
      <c r="J628">
        <v>0.31</v>
      </c>
      <c r="K628">
        <v>70.599999999999994</v>
      </c>
    </row>
    <row r="629" spans="1:11" x14ac:dyDescent="0.25">
      <c r="A629" s="1" t="s">
        <v>10</v>
      </c>
      <c r="B629" s="1" t="s">
        <v>11</v>
      </c>
      <c r="C629" s="2">
        <v>44749</v>
      </c>
      <c r="D629">
        <v>72.900000000000006</v>
      </c>
      <c r="E629">
        <v>72.900000000000006</v>
      </c>
      <c r="F629">
        <v>70.150000000000006</v>
      </c>
      <c r="G629">
        <v>71.3</v>
      </c>
      <c r="H629">
        <v>14631</v>
      </c>
      <c r="I629">
        <v>251.59</v>
      </c>
      <c r="J629">
        <v>0.31</v>
      </c>
      <c r="K629">
        <v>71.8125</v>
      </c>
    </row>
    <row r="630" spans="1:11" x14ac:dyDescent="0.25">
      <c r="A630" s="1" t="s">
        <v>10</v>
      </c>
      <c r="B630" s="1" t="s">
        <v>11</v>
      </c>
      <c r="C630" s="2">
        <v>44750</v>
      </c>
      <c r="D630">
        <v>71.3</v>
      </c>
      <c r="E630">
        <v>72.349999999999994</v>
      </c>
      <c r="F630">
        <v>70.900000000000006</v>
      </c>
      <c r="G630">
        <v>71.150000000000006</v>
      </c>
      <c r="H630">
        <v>11357</v>
      </c>
      <c r="I630">
        <v>251.06</v>
      </c>
      <c r="J630">
        <v>0.31</v>
      </c>
      <c r="K630">
        <v>71.424999999999997</v>
      </c>
    </row>
    <row r="631" spans="1:11" x14ac:dyDescent="0.25">
      <c r="A631" s="1" t="s">
        <v>10</v>
      </c>
      <c r="B631" s="1" t="s">
        <v>11</v>
      </c>
      <c r="C631" s="2">
        <v>44753</v>
      </c>
      <c r="D631">
        <v>70.2</v>
      </c>
      <c r="E631">
        <v>73.7</v>
      </c>
      <c r="F631">
        <v>70.2</v>
      </c>
      <c r="G631">
        <v>72.849999999999994</v>
      </c>
      <c r="H631">
        <v>5581</v>
      </c>
      <c r="I631">
        <v>257.06</v>
      </c>
      <c r="J631">
        <v>0.31</v>
      </c>
      <c r="K631">
        <v>71.737499999999997</v>
      </c>
    </row>
    <row r="632" spans="1:11" x14ac:dyDescent="0.25">
      <c r="A632" s="1" t="s">
        <v>10</v>
      </c>
      <c r="B632" s="1" t="s">
        <v>11</v>
      </c>
      <c r="C632" s="2">
        <v>44754</v>
      </c>
      <c r="D632">
        <v>72</v>
      </c>
      <c r="E632">
        <v>74.55</v>
      </c>
      <c r="F632">
        <v>70.349999999999994</v>
      </c>
      <c r="G632">
        <v>71.900000000000006</v>
      </c>
      <c r="H632">
        <v>10580</v>
      </c>
      <c r="I632">
        <v>253.71</v>
      </c>
      <c r="J632">
        <v>0.31</v>
      </c>
      <c r="K632">
        <v>72.2</v>
      </c>
    </row>
    <row r="633" spans="1:11" x14ac:dyDescent="0.25">
      <c r="A633" s="1" t="s">
        <v>10</v>
      </c>
      <c r="B633" s="1" t="s">
        <v>11</v>
      </c>
      <c r="C633" s="2">
        <v>44755</v>
      </c>
      <c r="D633">
        <v>72.400000000000006</v>
      </c>
      <c r="E633">
        <v>73.05</v>
      </c>
      <c r="F633">
        <v>71.2</v>
      </c>
      <c r="G633">
        <v>71.5</v>
      </c>
      <c r="H633">
        <v>3637</v>
      </c>
      <c r="I633">
        <v>252.3</v>
      </c>
      <c r="J633">
        <v>0.31</v>
      </c>
      <c r="K633">
        <v>72.037499999999994</v>
      </c>
    </row>
    <row r="634" spans="1:11" x14ac:dyDescent="0.25">
      <c r="A634" s="1" t="s">
        <v>10</v>
      </c>
      <c r="B634" s="1" t="s">
        <v>11</v>
      </c>
      <c r="C634" s="2">
        <v>44756</v>
      </c>
      <c r="D634">
        <v>71.55</v>
      </c>
      <c r="E634">
        <v>71.849999999999994</v>
      </c>
      <c r="F634">
        <v>69.75</v>
      </c>
      <c r="G634">
        <v>71</v>
      </c>
      <c r="H634">
        <v>6979</v>
      </c>
      <c r="I634">
        <v>250.53</v>
      </c>
      <c r="J634">
        <v>0.31</v>
      </c>
      <c r="K634">
        <v>71.037499999999994</v>
      </c>
    </row>
    <row r="635" spans="1:11" x14ac:dyDescent="0.25">
      <c r="A635" s="1" t="s">
        <v>10</v>
      </c>
      <c r="B635" s="1" t="s">
        <v>11</v>
      </c>
      <c r="C635" s="2">
        <v>44757</v>
      </c>
      <c r="D635">
        <v>70.599999999999994</v>
      </c>
      <c r="E635">
        <v>72</v>
      </c>
      <c r="F635">
        <v>70</v>
      </c>
      <c r="G635">
        <v>71.900000000000006</v>
      </c>
      <c r="H635">
        <v>7030</v>
      </c>
      <c r="I635">
        <v>253.71</v>
      </c>
      <c r="J635">
        <v>0.31</v>
      </c>
      <c r="K635">
        <v>71.125</v>
      </c>
    </row>
    <row r="636" spans="1:11" x14ac:dyDescent="0.25">
      <c r="A636" s="1" t="s">
        <v>10</v>
      </c>
      <c r="B636" s="1" t="s">
        <v>11</v>
      </c>
      <c r="C636" s="2">
        <v>44760</v>
      </c>
      <c r="D636">
        <v>72.5</v>
      </c>
      <c r="E636">
        <v>73.55</v>
      </c>
      <c r="F636">
        <v>72</v>
      </c>
      <c r="G636">
        <v>72.849999999999994</v>
      </c>
      <c r="H636">
        <v>10999</v>
      </c>
      <c r="I636">
        <v>257.06</v>
      </c>
      <c r="J636">
        <v>0.31</v>
      </c>
      <c r="K636">
        <v>72.724999999999994</v>
      </c>
    </row>
    <row r="637" spans="1:11" x14ac:dyDescent="0.25">
      <c r="A637" s="1" t="s">
        <v>10</v>
      </c>
      <c r="B637" s="1" t="s">
        <v>11</v>
      </c>
      <c r="C637" s="2">
        <v>44761</v>
      </c>
      <c r="D637">
        <v>70.599999999999994</v>
      </c>
      <c r="E637">
        <v>76.099999999999994</v>
      </c>
      <c r="F637">
        <v>70.599999999999994</v>
      </c>
      <c r="G637">
        <v>75.349999999999994</v>
      </c>
      <c r="H637">
        <v>68934</v>
      </c>
      <c r="I637">
        <v>265.88</v>
      </c>
      <c r="J637">
        <v>0.31</v>
      </c>
      <c r="K637">
        <v>73.162499999999994</v>
      </c>
    </row>
    <row r="638" spans="1:11" x14ac:dyDescent="0.25">
      <c r="A638" s="1" t="s">
        <v>10</v>
      </c>
      <c r="B638" s="1" t="s">
        <v>11</v>
      </c>
      <c r="C638" s="2">
        <v>44762</v>
      </c>
      <c r="D638">
        <v>76.8</v>
      </c>
      <c r="E638">
        <v>77.55</v>
      </c>
      <c r="F638">
        <v>74.2</v>
      </c>
      <c r="G638">
        <v>74.349999999999994</v>
      </c>
      <c r="H638">
        <v>23551</v>
      </c>
      <c r="I638">
        <v>262.36</v>
      </c>
      <c r="J638">
        <v>0.31</v>
      </c>
      <c r="K638">
        <v>75.724999999999994</v>
      </c>
    </row>
    <row r="639" spans="1:11" x14ac:dyDescent="0.25">
      <c r="A639" s="1" t="s">
        <v>10</v>
      </c>
      <c r="B639" s="1" t="s">
        <v>11</v>
      </c>
      <c r="C639" s="2">
        <v>44763</v>
      </c>
      <c r="D639">
        <v>75</v>
      </c>
      <c r="E639">
        <v>77.8</v>
      </c>
      <c r="F639">
        <v>74.25</v>
      </c>
      <c r="G639">
        <v>75.599999999999994</v>
      </c>
      <c r="H639">
        <v>27367</v>
      </c>
      <c r="I639">
        <v>266.77</v>
      </c>
      <c r="J639">
        <v>0.31</v>
      </c>
      <c r="K639">
        <v>75.662499999999994</v>
      </c>
    </row>
    <row r="640" spans="1:11" x14ac:dyDescent="0.25">
      <c r="A640" s="1" t="s">
        <v>10</v>
      </c>
      <c r="B640" s="1" t="s">
        <v>11</v>
      </c>
      <c r="C640" s="2">
        <v>44764</v>
      </c>
      <c r="D640">
        <v>75.599999999999994</v>
      </c>
      <c r="E640">
        <v>84.95</v>
      </c>
      <c r="F640">
        <v>75.5</v>
      </c>
      <c r="G640">
        <v>82</v>
      </c>
      <c r="H640">
        <v>81007</v>
      </c>
      <c r="I640">
        <v>289.35000000000002</v>
      </c>
      <c r="J640">
        <v>0.31</v>
      </c>
      <c r="K640">
        <v>79.512500000000003</v>
      </c>
    </row>
    <row r="641" spans="1:11" x14ac:dyDescent="0.25">
      <c r="A641" s="1" t="s">
        <v>10</v>
      </c>
      <c r="B641" s="1" t="s">
        <v>11</v>
      </c>
      <c r="C641" s="2">
        <v>44767</v>
      </c>
      <c r="D641">
        <v>82.5</v>
      </c>
      <c r="E641">
        <v>97.5</v>
      </c>
      <c r="F641">
        <v>82.25</v>
      </c>
      <c r="G641">
        <v>93.95</v>
      </c>
      <c r="H641">
        <v>357532</v>
      </c>
      <c r="I641">
        <v>331.52</v>
      </c>
      <c r="J641">
        <v>0.31</v>
      </c>
      <c r="K641">
        <v>89.05</v>
      </c>
    </row>
    <row r="642" spans="1:11" x14ac:dyDescent="0.25">
      <c r="A642" s="1" t="s">
        <v>10</v>
      </c>
      <c r="B642" s="1" t="s">
        <v>11</v>
      </c>
      <c r="C642" s="2">
        <v>44768</v>
      </c>
      <c r="D642">
        <v>93.9</v>
      </c>
      <c r="E642">
        <v>97.4</v>
      </c>
      <c r="F642">
        <v>88.6</v>
      </c>
      <c r="G642">
        <v>90.9</v>
      </c>
      <c r="H642">
        <v>80518</v>
      </c>
      <c r="I642">
        <v>320.75</v>
      </c>
      <c r="J642">
        <v>0.31</v>
      </c>
      <c r="K642">
        <v>92.7</v>
      </c>
    </row>
    <row r="643" spans="1:11" x14ac:dyDescent="0.25">
      <c r="A643" s="1" t="s">
        <v>10</v>
      </c>
      <c r="B643" s="1" t="s">
        <v>11</v>
      </c>
      <c r="C643" s="2">
        <v>44769</v>
      </c>
      <c r="D643">
        <v>91</v>
      </c>
      <c r="E643">
        <v>92.65</v>
      </c>
      <c r="F643">
        <v>88.15</v>
      </c>
      <c r="G643">
        <v>91.95</v>
      </c>
      <c r="H643">
        <v>46099</v>
      </c>
      <c r="I643">
        <v>324.45999999999998</v>
      </c>
      <c r="J643">
        <v>0.31</v>
      </c>
      <c r="K643">
        <v>90.9375</v>
      </c>
    </row>
    <row r="644" spans="1:11" x14ac:dyDescent="0.25">
      <c r="A644" s="1" t="s">
        <v>10</v>
      </c>
      <c r="B644" s="1" t="s">
        <v>11</v>
      </c>
      <c r="C644" s="2">
        <v>44770</v>
      </c>
      <c r="D644">
        <v>92.9</v>
      </c>
      <c r="E644">
        <v>93.95</v>
      </c>
      <c r="F644">
        <v>87.75</v>
      </c>
      <c r="G644">
        <v>88.55</v>
      </c>
      <c r="H644">
        <v>42819</v>
      </c>
      <c r="I644">
        <v>312.45999999999998</v>
      </c>
      <c r="J644">
        <v>0.31</v>
      </c>
      <c r="K644">
        <v>90.787499999999994</v>
      </c>
    </row>
    <row r="645" spans="1:11" x14ac:dyDescent="0.25">
      <c r="A645" s="1" t="s">
        <v>10</v>
      </c>
      <c r="B645" s="1" t="s">
        <v>11</v>
      </c>
      <c r="C645" s="2">
        <v>44771</v>
      </c>
      <c r="D645">
        <v>88.55</v>
      </c>
      <c r="E645">
        <v>93.05</v>
      </c>
      <c r="F645">
        <v>88.55</v>
      </c>
      <c r="G645">
        <v>90.15</v>
      </c>
      <c r="H645">
        <v>39140</v>
      </c>
      <c r="I645">
        <v>318.11</v>
      </c>
      <c r="J645">
        <v>0.31</v>
      </c>
      <c r="K645">
        <v>90.075000000000003</v>
      </c>
    </row>
    <row r="646" spans="1:11" x14ac:dyDescent="0.25">
      <c r="A646" s="1" t="s">
        <v>10</v>
      </c>
      <c r="B646" s="1" t="s">
        <v>11</v>
      </c>
      <c r="C646" s="2">
        <v>44774</v>
      </c>
      <c r="D646">
        <v>88</v>
      </c>
      <c r="E646">
        <v>105.8</v>
      </c>
      <c r="F646">
        <v>88</v>
      </c>
      <c r="G646">
        <v>103.25</v>
      </c>
      <c r="H646">
        <v>408095</v>
      </c>
      <c r="I646">
        <v>364.33</v>
      </c>
      <c r="J646">
        <v>0.31</v>
      </c>
      <c r="K646">
        <v>96.262500000000003</v>
      </c>
    </row>
    <row r="647" spans="1:11" x14ac:dyDescent="0.25">
      <c r="A647" s="1" t="s">
        <v>10</v>
      </c>
      <c r="B647" s="1" t="s">
        <v>11</v>
      </c>
      <c r="C647" s="2">
        <v>44775</v>
      </c>
      <c r="D647">
        <v>104.45</v>
      </c>
      <c r="E647">
        <v>106.2</v>
      </c>
      <c r="F647">
        <v>99.05</v>
      </c>
      <c r="G647">
        <v>99.65</v>
      </c>
      <c r="H647">
        <v>50934</v>
      </c>
      <c r="I647">
        <v>351.63</v>
      </c>
      <c r="J647">
        <v>0.31</v>
      </c>
      <c r="K647">
        <v>102.33750000000001</v>
      </c>
    </row>
    <row r="648" spans="1:11" x14ac:dyDescent="0.25">
      <c r="A648" s="1" t="s">
        <v>10</v>
      </c>
      <c r="B648" s="1" t="s">
        <v>11</v>
      </c>
      <c r="C648" s="2">
        <v>44776</v>
      </c>
      <c r="D648">
        <v>99.65</v>
      </c>
      <c r="E648">
        <v>102.6</v>
      </c>
      <c r="F648">
        <v>96.1</v>
      </c>
      <c r="G648">
        <v>97.95</v>
      </c>
      <c r="H648">
        <v>74327</v>
      </c>
      <c r="I648">
        <v>345.63</v>
      </c>
      <c r="J648">
        <v>0.31</v>
      </c>
      <c r="K648">
        <v>99.075000000000003</v>
      </c>
    </row>
    <row r="649" spans="1:11" x14ac:dyDescent="0.25">
      <c r="A649" s="1" t="s">
        <v>10</v>
      </c>
      <c r="B649" s="1" t="s">
        <v>11</v>
      </c>
      <c r="C649" s="2">
        <v>44777</v>
      </c>
      <c r="D649">
        <v>98.15</v>
      </c>
      <c r="E649">
        <v>101.75</v>
      </c>
      <c r="F649">
        <v>93.1</v>
      </c>
      <c r="G649">
        <v>97.55</v>
      </c>
      <c r="H649">
        <v>45632</v>
      </c>
      <c r="I649">
        <v>344.22</v>
      </c>
      <c r="J649">
        <v>0.31</v>
      </c>
      <c r="K649">
        <v>97.637500000000003</v>
      </c>
    </row>
    <row r="650" spans="1:11" x14ac:dyDescent="0.25">
      <c r="A650" s="1" t="s">
        <v>10</v>
      </c>
      <c r="B650" s="1" t="s">
        <v>11</v>
      </c>
      <c r="C650" s="2">
        <v>44778</v>
      </c>
      <c r="D650">
        <v>97.25</v>
      </c>
      <c r="E650">
        <v>110.9</v>
      </c>
      <c r="F650">
        <v>97.25</v>
      </c>
      <c r="G650">
        <v>108.25</v>
      </c>
      <c r="H650">
        <v>186549</v>
      </c>
      <c r="I650">
        <v>381.98</v>
      </c>
      <c r="J650">
        <v>0.31</v>
      </c>
      <c r="K650">
        <v>103.41249999999999</v>
      </c>
    </row>
    <row r="651" spans="1:11" x14ac:dyDescent="0.25">
      <c r="A651" s="1" t="s">
        <v>10</v>
      </c>
      <c r="B651" s="1" t="s">
        <v>11</v>
      </c>
      <c r="C651" s="2">
        <v>44781</v>
      </c>
      <c r="D651">
        <v>109.05</v>
      </c>
      <c r="E651">
        <v>115.45</v>
      </c>
      <c r="F651">
        <v>108.65</v>
      </c>
      <c r="G651">
        <v>111.25</v>
      </c>
      <c r="H651">
        <v>236707</v>
      </c>
      <c r="I651">
        <v>392.56</v>
      </c>
      <c r="J651">
        <v>0.31</v>
      </c>
      <c r="K651">
        <v>111.1</v>
      </c>
    </row>
    <row r="652" spans="1:11" x14ac:dyDescent="0.25">
      <c r="A652" s="1" t="s">
        <v>10</v>
      </c>
      <c r="B652" s="1" t="s">
        <v>11</v>
      </c>
      <c r="C652" s="2">
        <v>44783</v>
      </c>
      <c r="D652">
        <v>111</v>
      </c>
      <c r="E652">
        <v>113</v>
      </c>
      <c r="F652">
        <v>107.65</v>
      </c>
      <c r="G652">
        <v>108.8</v>
      </c>
      <c r="H652">
        <v>104134</v>
      </c>
      <c r="I652">
        <v>383.92</v>
      </c>
      <c r="J652">
        <v>0.31</v>
      </c>
      <c r="K652">
        <v>110.1125</v>
      </c>
    </row>
    <row r="653" spans="1:11" x14ac:dyDescent="0.25">
      <c r="A653" s="1" t="s">
        <v>10</v>
      </c>
      <c r="B653" s="1" t="s">
        <v>11</v>
      </c>
      <c r="C653" s="2">
        <v>44784</v>
      </c>
      <c r="D653">
        <v>109.3</v>
      </c>
      <c r="E653">
        <v>111</v>
      </c>
      <c r="F653">
        <v>104.45</v>
      </c>
      <c r="G653">
        <v>105.45</v>
      </c>
      <c r="H653">
        <v>66482</v>
      </c>
      <c r="I653">
        <v>372.1</v>
      </c>
      <c r="J653">
        <v>0.31</v>
      </c>
      <c r="K653">
        <v>107.55</v>
      </c>
    </row>
    <row r="654" spans="1:11" x14ac:dyDescent="0.25">
      <c r="A654" s="1" t="s">
        <v>10</v>
      </c>
      <c r="B654" s="1" t="s">
        <v>11</v>
      </c>
      <c r="C654" s="2">
        <v>44785</v>
      </c>
      <c r="D654">
        <v>106</v>
      </c>
      <c r="E654">
        <v>110.75</v>
      </c>
      <c r="F654">
        <v>104.55</v>
      </c>
      <c r="G654">
        <v>105.85</v>
      </c>
      <c r="H654">
        <v>49055</v>
      </c>
      <c r="I654">
        <v>373.51</v>
      </c>
      <c r="J654">
        <v>0.31</v>
      </c>
      <c r="K654">
        <v>106.78749999999999</v>
      </c>
    </row>
    <row r="655" spans="1:11" x14ac:dyDescent="0.25">
      <c r="A655" s="1" t="s">
        <v>10</v>
      </c>
      <c r="B655" s="1" t="s">
        <v>11</v>
      </c>
      <c r="C655" s="2">
        <v>44789</v>
      </c>
      <c r="D655">
        <v>107</v>
      </c>
      <c r="E655">
        <v>109.3</v>
      </c>
      <c r="F655">
        <v>105</v>
      </c>
      <c r="G655">
        <v>108.15</v>
      </c>
      <c r="H655">
        <v>64639</v>
      </c>
      <c r="I655">
        <v>381.62</v>
      </c>
      <c r="J655">
        <v>0.31</v>
      </c>
      <c r="K655">
        <v>107.3625</v>
      </c>
    </row>
    <row r="656" spans="1:11" x14ac:dyDescent="0.25">
      <c r="A656" s="1" t="s">
        <v>10</v>
      </c>
      <c r="B656" s="1" t="s">
        <v>11</v>
      </c>
      <c r="C656" s="2">
        <v>44790</v>
      </c>
      <c r="D656">
        <v>108.9</v>
      </c>
      <c r="E656">
        <v>112.2</v>
      </c>
      <c r="F656">
        <v>108.05</v>
      </c>
      <c r="G656">
        <v>109.65</v>
      </c>
      <c r="H656">
        <v>48157</v>
      </c>
      <c r="I656">
        <v>386.92</v>
      </c>
      <c r="J656">
        <v>0.31</v>
      </c>
      <c r="K656">
        <v>109.7</v>
      </c>
    </row>
    <row r="657" spans="1:11" x14ac:dyDescent="0.25">
      <c r="A657" s="1" t="s">
        <v>10</v>
      </c>
      <c r="B657" s="1" t="s">
        <v>11</v>
      </c>
      <c r="C657" s="2">
        <v>44791</v>
      </c>
      <c r="D657">
        <v>109.05</v>
      </c>
      <c r="E657">
        <v>109.4</v>
      </c>
      <c r="F657">
        <v>102</v>
      </c>
      <c r="G657">
        <v>105.05</v>
      </c>
      <c r="H657">
        <v>85847</v>
      </c>
      <c r="I657">
        <v>370.68</v>
      </c>
      <c r="J657">
        <v>0.31</v>
      </c>
      <c r="K657">
        <v>106.375</v>
      </c>
    </row>
    <row r="658" spans="1:11" x14ac:dyDescent="0.25">
      <c r="A658" s="1" t="s">
        <v>10</v>
      </c>
      <c r="B658" s="1" t="s">
        <v>11</v>
      </c>
      <c r="C658" s="2">
        <v>44792</v>
      </c>
      <c r="D658">
        <v>104.05</v>
      </c>
      <c r="E658">
        <v>106.35</v>
      </c>
      <c r="F658">
        <v>100.65</v>
      </c>
      <c r="G658">
        <v>102.25</v>
      </c>
      <c r="H658">
        <v>81272</v>
      </c>
      <c r="I658">
        <v>360.8</v>
      </c>
      <c r="J658">
        <v>0.31</v>
      </c>
      <c r="K658">
        <v>103.325</v>
      </c>
    </row>
    <row r="659" spans="1:11" x14ac:dyDescent="0.25">
      <c r="A659" s="1" t="s">
        <v>10</v>
      </c>
      <c r="B659" s="1" t="s">
        <v>11</v>
      </c>
      <c r="C659" s="2">
        <v>44795</v>
      </c>
      <c r="D659">
        <v>102.25</v>
      </c>
      <c r="E659">
        <v>111.9</v>
      </c>
      <c r="F659">
        <v>101.7</v>
      </c>
      <c r="G659">
        <v>107.4</v>
      </c>
      <c r="H659">
        <v>181272</v>
      </c>
      <c r="I659">
        <v>378.98</v>
      </c>
      <c r="J659">
        <v>0.31</v>
      </c>
      <c r="K659">
        <v>105.8125</v>
      </c>
    </row>
    <row r="660" spans="1:11" x14ac:dyDescent="0.25">
      <c r="A660" s="1" t="s">
        <v>10</v>
      </c>
      <c r="B660" s="1" t="s">
        <v>11</v>
      </c>
      <c r="C660" s="2">
        <v>44796</v>
      </c>
      <c r="D660">
        <v>107.85</v>
      </c>
      <c r="E660">
        <v>111</v>
      </c>
      <c r="F660">
        <v>106.05</v>
      </c>
      <c r="G660">
        <v>108.6</v>
      </c>
      <c r="H660">
        <v>62787</v>
      </c>
      <c r="I660">
        <v>383.21</v>
      </c>
      <c r="J660">
        <v>0.31</v>
      </c>
      <c r="K660">
        <v>108.375</v>
      </c>
    </row>
    <row r="661" spans="1:11" x14ac:dyDescent="0.25">
      <c r="A661" s="1" t="s">
        <v>10</v>
      </c>
      <c r="B661" s="1" t="s">
        <v>11</v>
      </c>
      <c r="C661" s="2">
        <v>44797</v>
      </c>
      <c r="D661">
        <v>108</v>
      </c>
      <c r="E661">
        <v>118.9</v>
      </c>
      <c r="F661">
        <v>107.95</v>
      </c>
      <c r="G661">
        <v>115</v>
      </c>
      <c r="H661">
        <v>161929</v>
      </c>
      <c r="I661">
        <v>405.79</v>
      </c>
      <c r="J661">
        <v>0.31</v>
      </c>
      <c r="K661">
        <v>112.46250000000001</v>
      </c>
    </row>
    <row r="662" spans="1:11" x14ac:dyDescent="0.25">
      <c r="A662" s="1" t="s">
        <v>10</v>
      </c>
      <c r="B662" s="1" t="s">
        <v>11</v>
      </c>
      <c r="C662" s="2">
        <v>44798</v>
      </c>
      <c r="D662">
        <v>113.05</v>
      </c>
      <c r="E662">
        <v>118.6</v>
      </c>
      <c r="F662">
        <v>110.8</v>
      </c>
      <c r="G662">
        <v>111.75</v>
      </c>
      <c r="H662">
        <v>78393</v>
      </c>
      <c r="I662">
        <v>394.33</v>
      </c>
      <c r="J662">
        <v>0.31</v>
      </c>
      <c r="K662">
        <v>113.55</v>
      </c>
    </row>
    <row r="663" spans="1:11" x14ac:dyDescent="0.25">
      <c r="A663" s="1" t="s">
        <v>10</v>
      </c>
      <c r="B663" s="1" t="s">
        <v>11</v>
      </c>
      <c r="C663" s="2">
        <v>44799</v>
      </c>
      <c r="D663">
        <v>113.2</v>
      </c>
      <c r="E663">
        <v>116.1</v>
      </c>
      <c r="F663">
        <v>105.5</v>
      </c>
      <c r="G663">
        <v>107.6</v>
      </c>
      <c r="H663">
        <v>89197</v>
      </c>
      <c r="I663">
        <v>379.68</v>
      </c>
      <c r="J663">
        <v>0.31</v>
      </c>
      <c r="K663">
        <v>110.6</v>
      </c>
    </row>
    <row r="664" spans="1:11" x14ac:dyDescent="0.25">
      <c r="A664" s="1" t="s">
        <v>10</v>
      </c>
      <c r="B664" s="1" t="s">
        <v>11</v>
      </c>
      <c r="C664" s="2">
        <v>44802</v>
      </c>
      <c r="D664">
        <v>101.1</v>
      </c>
      <c r="E664">
        <v>111</v>
      </c>
      <c r="F664">
        <v>101.1</v>
      </c>
      <c r="G664">
        <v>108.05</v>
      </c>
      <c r="H664">
        <v>129932</v>
      </c>
      <c r="I664">
        <v>381.27</v>
      </c>
      <c r="J664">
        <v>0.31</v>
      </c>
      <c r="K664">
        <v>105.3125</v>
      </c>
    </row>
    <row r="665" spans="1:11" x14ac:dyDescent="0.25">
      <c r="A665" s="1" t="s">
        <v>10</v>
      </c>
      <c r="B665" s="1" t="s">
        <v>11</v>
      </c>
      <c r="C665" s="2">
        <v>44803</v>
      </c>
      <c r="D665">
        <v>108.1</v>
      </c>
      <c r="E665">
        <v>112.25</v>
      </c>
      <c r="F665">
        <v>108.1</v>
      </c>
      <c r="G665">
        <v>109.9</v>
      </c>
      <c r="H665">
        <v>62200</v>
      </c>
      <c r="I665">
        <v>387.8</v>
      </c>
      <c r="J665">
        <v>0.31</v>
      </c>
      <c r="K665">
        <v>109.58750000000001</v>
      </c>
    </row>
    <row r="666" spans="1:11" x14ac:dyDescent="0.25">
      <c r="A666" s="1" t="s">
        <v>10</v>
      </c>
      <c r="B666" s="1" t="s">
        <v>11</v>
      </c>
      <c r="C666" s="2">
        <v>44805</v>
      </c>
      <c r="D666">
        <v>109.25</v>
      </c>
      <c r="E666">
        <v>111.6</v>
      </c>
      <c r="F666">
        <v>107.1</v>
      </c>
      <c r="G666">
        <v>108.75</v>
      </c>
      <c r="H666">
        <v>45532</v>
      </c>
      <c r="I666">
        <v>383.74</v>
      </c>
      <c r="J666">
        <v>0.31</v>
      </c>
      <c r="K666">
        <v>109.175</v>
      </c>
    </row>
    <row r="667" spans="1:11" x14ac:dyDescent="0.25">
      <c r="A667" s="1" t="s">
        <v>10</v>
      </c>
      <c r="B667" s="1" t="s">
        <v>11</v>
      </c>
      <c r="C667" s="2">
        <v>44806</v>
      </c>
      <c r="D667">
        <v>109.25</v>
      </c>
      <c r="E667">
        <v>110.5</v>
      </c>
      <c r="F667">
        <v>105.9</v>
      </c>
      <c r="G667">
        <v>106.3</v>
      </c>
      <c r="H667">
        <v>20927</v>
      </c>
      <c r="I667">
        <v>375.1</v>
      </c>
      <c r="J667">
        <v>0.31</v>
      </c>
      <c r="K667">
        <v>107.9875</v>
      </c>
    </row>
    <row r="668" spans="1:11" x14ac:dyDescent="0.25">
      <c r="A668" s="1" t="s">
        <v>10</v>
      </c>
      <c r="B668" s="1" t="s">
        <v>11</v>
      </c>
      <c r="C668" s="2">
        <v>44809</v>
      </c>
      <c r="D668">
        <v>106.05</v>
      </c>
      <c r="E668">
        <v>109.95</v>
      </c>
      <c r="F668">
        <v>105.6</v>
      </c>
      <c r="G668">
        <v>106.05</v>
      </c>
      <c r="H668">
        <v>91847</v>
      </c>
      <c r="I668">
        <v>374.21</v>
      </c>
      <c r="J668">
        <v>0.31</v>
      </c>
      <c r="K668">
        <v>106.91249999999999</v>
      </c>
    </row>
    <row r="669" spans="1:11" x14ac:dyDescent="0.25">
      <c r="A669" s="1" t="s">
        <v>10</v>
      </c>
      <c r="B669" s="1" t="s">
        <v>11</v>
      </c>
      <c r="C669" s="2">
        <v>44810</v>
      </c>
      <c r="D669">
        <v>106.05</v>
      </c>
      <c r="E669">
        <v>108</v>
      </c>
      <c r="F669">
        <v>104</v>
      </c>
      <c r="G669">
        <v>105.3</v>
      </c>
      <c r="H669">
        <v>34521</v>
      </c>
      <c r="I669">
        <v>371.57</v>
      </c>
      <c r="J669">
        <v>0.31</v>
      </c>
      <c r="K669">
        <v>105.83750000000001</v>
      </c>
    </row>
    <row r="670" spans="1:11" x14ac:dyDescent="0.25">
      <c r="A670" s="1" t="s">
        <v>10</v>
      </c>
      <c r="B670" s="1" t="s">
        <v>11</v>
      </c>
      <c r="C670" s="2">
        <v>44811</v>
      </c>
      <c r="D670">
        <v>103.9</v>
      </c>
      <c r="E670">
        <v>106.9</v>
      </c>
      <c r="F670">
        <v>103.55</v>
      </c>
      <c r="G670">
        <v>104.65</v>
      </c>
      <c r="H670">
        <v>44962</v>
      </c>
      <c r="I670">
        <v>369.27</v>
      </c>
      <c r="J670">
        <v>0.31</v>
      </c>
      <c r="K670">
        <v>104.75</v>
      </c>
    </row>
    <row r="671" spans="1:11" x14ac:dyDescent="0.25">
      <c r="A671" s="1" t="s">
        <v>10</v>
      </c>
      <c r="B671" s="1" t="s">
        <v>11</v>
      </c>
      <c r="C671" s="2">
        <v>44812</v>
      </c>
      <c r="D671">
        <v>105</v>
      </c>
      <c r="E671">
        <v>109</v>
      </c>
      <c r="F671">
        <v>105</v>
      </c>
      <c r="G671">
        <v>105.35</v>
      </c>
      <c r="H671">
        <v>57088</v>
      </c>
      <c r="I671">
        <v>371.74</v>
      </c>
      <c r="J671">
        <v>0.31</v>
      </c>
      <c r="K671">
        <v>106.08750000000001</v>
      </c>
    </row>
    <row r="672" spans="1:11" x14ac:dyDescent="0.25">
      <c r="A672" s="1" t="s">
        <v>10</v>
      </c>
      <c r="B672" s="1" t="s">
        <v>11</v>
      </c>
      <c r="C672" s="2">
        <v>44813</v>
      </c>
      <c r="D672">
        <v>105.05</v>
      </c>
      <c r="E672">
        <v>106.65</v>
      </c>
      <c r="F672">
        <v>102.35</v>
      </c>
      <c r="G672">
        <v>103.45</v>
      </c>
      <c r="H672">
        <v>42743</v>
      </c>
      <c r="I672">
        <v>365.04</v>
      </c>
      <c r="J672">
        <v>0.31</v>
      </c>
      <c r="K672">
        <v>104.375</v>
      </c>
    </row>
    <row r="673" spans="1:11" x14ac:dyDescent="0.25">
      <c r="A673" s="1" t="s">
        <v>10</v>
      </c>
      <c r="B673" s="1" t="s">
        <v>11</v>
      </c>
      <c r="C673" s="2">
        <v>44816</v>
      </c>
      <c r="D673">
        <v>103.2</v>
      </c>
      <c r="E673">
        <v>112.55</v>
      </c>
      <c r="F673">
        <v>103.2</v>
      </c>
      <c r="G673">
        <v>110.2</v>
      </c>
      <c r="H673">
        <v>92661</v>
      </c>
      <c r="I673">
        <v>388.86</v>
      </c>
      <c r="J673">
        <v>0.31</v>
      </c>
      <c r="K673">
        <v>107.28749999999999</v>
      </c>
    </row>
    <row r="674" spans="1:11" x14ac:dyDescent="0.25">
      <c r="A674" s="1" t="s">
        <v>10</v>
      </c>
      <c r="B674" s="1" t="s">
        <v>11</v>
      </c>
      <c r="C674" s="2">
        <v>44817</v>
      </c>
      <c r="D674">
        <v>111.25</v>
      </c>
      <c r="E674">
        <v>113.5</v>
      </c>
      <c r="F674">
        <v>106.85</v>
      </c>
      <c r="G674">
        <v>108.25</v>
      </c>
      <c r="H674">
        <v>84109</v>
      </c>
      <c r="I674">
        <v>381.98</v>
      </c>
      <c r="J674">
        <v>0.31</v>
      </c>
      <c r="K674">
        <v>109.96250000000001</v>
      </c>
    </row>
    <row r="675" spans="1:11" x14ac:dyDescent="0.25">
      <c r="A675" s="1" t="s">
        <v>10</v>
      </c>
      <c r="B675" s="1" t="s">
        <v>11</v>
      </c>
      <c r="C675" s="2">
        <v>44818</v>
      </c>
      <c r="D675">
        <v>106.65</v>
      </c>
      <c r="E675">
        <v>115.5</v>
      </c>
      <c r="F675">
        <v>105.05</v>
      </c>
      <c r="G675">
        <v>109.25</v>
      </c>
      <c r="H675">
        <v>182283</v>
      </c>
      <c r="I675">
        <v>385.51</v>
      </c>
      <c r="J675">
        <v>0.31</v>
      </c>
      <c r="K675">
        <v>109.1125</v>
      </c>
    </row>
    <row r="676" spans="1:11" x14ac:dyDescent="0.25">
      <c r="A676" s="1" t="s">
        <v>10</v>
      </c>
      <c r="B676" s="1" t="s">
        <v>11</v>
      </c>
      <c r="C676" s="2">
        <v>44819</v>
      </c>
      <c r="D676">
        <v>109.8</v>
      </c>
      <c r="E676">
        <v>112.3</v>
      </c>
      <c r="F676">
        <v>108.15</v>
      </c>
      <c r="G676">
        <v>109.2</v>
      </c>
      <c r="H676">
        <v>51689</v>
      </c>
      <c r="I676">
        <v>385.33</v>
      </c>
      <c r="J676">
        <v>0.31</v>
      </c>
      <c r="K676">
        <v>109.8625</v>
      </c>
    </row>
    <row r="677" spans="1:11" x14ac:dyDescent="0.25">
      <c r="A677" s="1" t="s">
        <v>10</v>
      </c>
      <c r="B677" s="1" t="s">
        <v>11</v>
      </c>
      <c r="C677" s="2">
        <v>44820</v>
      </c>
      <c r="D677">
        <v>107.3</v>
      </c>
      <c r="E677">
        <v>109.3</v>
      </c>
      <c r="F677">
        <v>105.35</v>
      </c>
      <c r="G677">
        <v>107.45</v>
      </c>
      <c r="H677">
        <v>43441</v>
      </c>
      <c r="I677">
        <v>379.15</v>
      </c>
      <c r="J677">
        <v>0.31</v>
      </c>
      <c r="K677">
        <v>107.35</v>
      </c>
    </row>
    <row r="678" spans="1:11" x14ac:dyDescent="0.25">
      <c r="A678" s="1" t="s">
        <v>10</v>
      </c>
      <c r="B678" s="1" t="s">
        <v>11</v>
      </c>
      <c r="C678" s="2">
        <v>44823</v>
      </c>
      <c r="D678">
        <v>106</v>
      </c>
      <c r="E678">
        <v>110.25</v>
      </c>
      <c r="F678">
        <v>105.35</v>
      </c>
      <c r="G678">
        <v>106.95</v>
      </c>
      <c r="H678">
        <v>64173</v>
      </c>
      <c r="I678">
        <v>377.39</v>
      </c>
      <c r="J678">
        <v>0.31</v>
      </c>
      <c r="K678">
        <v>107.1375</v>
      </c>
    </row>
    <row r="679" spans="1:11" x14ac:dyDescent="0.25">
      <c r="A679" s="1" t="s">
        <v>10</v>
      </c>
      <c r="B679" s="1" t="s">
        <v>11</v>
      </c>
      <c r="C679" s="2">
        <v>44824</v>
      </c>
      <c r="D679">
        <v>107.1</v>
      </c>
      <c r="E679">
        <v>110.35</v>
      </c>
      <c r="F679">
        <v>106.75</v>
      </c>
      <c r="G679">
        <v>107.35</v>
      </c>
      <c r="H679">
        <v>36637</v>
      </c>
      <c r="I679">
        <v>378.8</v>
      </c>
      <c r="J679">
        <v>0.31</v>
      </c>
      <c r="K679">
        <v>107.8875</v>
      </c>
    </row>
    <row r="680" spans="1:11" x14ac:dyDescent="0.25">
      <c r="A680" s="1" t="s">
        <v>10</v>
      </c>
      <c r="B680" s="1" t="s">
        <v>11</v>
      </c>
      <c r="C680" s="2">
        <v>44825</v>
      </c>
      <c r="D680">
        <v>107.35</v>
      </c>
      <c r="E680">
        <v>108.05</v>
      </c>
      <c r="F680">
        <v>104</v>
      </c>
      <c r="G680">
        <v>104.65</v>
      </c>
      <c r="H680">
        <v>23034</v>
      </c>
      <c r="I680">
        <v>369.27</v>
      </c>
      <c r="J680">
        <v>0.31</v>
      </c>
      <c r="K680">
        <v>106.0125</v>
      </c>
    </row>
    <row r="681" spans="1:11" x14ac:dyDescent="0.25">
      <c r="A681" s="1" t="s">
        <v>10</v>
      </c>
      <c r="B681" s="1" t="s">
        <v>11</v>
      </c>
      <c r="C681" s="2">
        <v>44826</v>
      </c>
      <c r="D681">
        <v>103.05</v>
      </c>
      <c r="E681">
        <v>108.5</v>
      </c>
      <c r="F681">
        <v>103.05</v>
      </c>
      <c r="G681">
        <v>107.1</v>
      </c>
      <c r="H681">
        <v>26421</v>
      </c>
      <c r="I681">
        <v>377.92</v>
      </c>
      <c r="J681">
        <v>0.31</v>
      </c>
      <c r="K681">
        <v>105.425</v>
      </c>
    </row>
    <row r="682" spans="1:11" x14ac:dyDescent="0.25">
      <c r="A682" s="1" t="s">
        <v>10</v>
      </c>
      <c r="B682" s="1" t="s">
        <v>11</v>
      </c>
      <c r="C682" s="2">
        <v>44827</v>
      </c>
      <c r="D682">
        <v>106.45</v>
      </c>
      <c r="E682">
        <v>109.8</v>
      </c>
      <c r="F682">
        <v>105</v>
      </c>
      <c r="G682">
        <v>105.75</v>
      </c>
      <c r="H682">
        <v>22653</v>
      </c>
      <c r="I682">
        <v>373.15</v>
      </c>
      <c r="J682">
        <v>0.31</v>
      </c>
      <c r="K682">
        <v>106.75</v>
      </c>
    </row>
    <row r="683" spans="1:11" x14ac:dyDescent="0.25">
      <c r="A683" s="1" t="s">
        <v>10</v>
      </c>
      <c r="B683" s="1" t="s">
        <v>11</v>
      </c>
      <c r="C683" s="2">
        <v>44830</v>
      </c>
      <c r="D683">
        <v>103.15</v>
      </c>
      <c r="E683">
        <v>105.15</v>
      </c>
      <c r="F683">
        <v>95</v>
      </c>
      <c r="G683">
        <v>96.5</v>
      </c>
      <c r="H683">
        <v>105406</v>
      </c>
      <c r="I683">
        <v>340.51</v>
      </c>
      <c r="J683">
        <v>0.31</v>
      </c>
      <c r="K683">
        <v>99.95</v>
      </c>
    </row>
    <row r="684" spans="1:11" x14ac:dyDescent="0.25">
      <c r="A684" s="1" t="s">
        <v>10</v>
      </c>
      <c r="B684" s="1" t="s">
        <v>11</v>
      </c>
      <c r="C684" s="2">
        <v>44831</v>
      </c>
      <c r="D684">
        <v>97.9</v>
      </c>
      <c r="E684">
        <v>99</v>
      </c>
      <c r="F684">
        <v>93.7</v>
      </c>
      <c r="G684">
        <v>96.85</v>
      </c>
      <c r="H684">
        <v>57181</v>
      </c>
      <c r="I684">
        <v>341.75</v>
      </c>
      <c r="J684">
        <v>0.31</v>
      </c>
      <c r="K684">
        <v>96.862499999999997</v>
      </c>
    </row>
    <row r="685" spans="1:11" x14ac:dyDescent="0.25">
      <c r="A685" s="1" t="s">
        <v>10</v>
      </c>
      <c r="B685" s="1" t="s">
        <v>11</v>
      </c>
      <c r="C685" s="2">
        <v>44832</v>
      </c>
      <c r="D685">
        <v>95.25</v>
      </c>
      <c r="E685">
        <v>96.95</v>
      </c>
      <c r="F685">
        <v>94.1</v>
      </c>
      <c r="G685">
        <v>94.4</v>
      </c>
      <c r="H685">
        <v>9890</v>
      </c>
      <c r="I685">
        <v>333.1</v>
      </c>
      <c r="J685">
        <v>0.31</v>
      </c>
      <c r="K685">
        <v>95.174999999999997</v>
      </c>
    </row>
    <row r="686" spans="1:11" x14ac:dyDescent="0.25">
      <c r="A686" s="1" t="s">
        <v>10</v>
      </c>
      <c r="B686" s="1" t="s">
        <v>11</v>
      </c>
      <c r="C686" s="2">
        <v>44833</v>
      </c>
      <c r="D686">
        <v>95.1</v>
      </c>
      <c r="E686">
        <v>98.5</v>
      </c>
      <c r="F686">
        <v>95.1</v>
      </c>
      <c r="G686">
        <v>96.6</v>
      </c>
      <c r="H686">
        <v>11661</v>
      </c>
      <c r="I686">
        <v>340.87</v>
      </c>
      <c r="J686">
        <v>0.31</v>
      </c>
      <c r="K686">
        <v>96.325000000000003</v>
      </c>
    </row>
    <row r="687" spans="1:11" x14ac:dyDescent="0.25">
      <c r="A687" s="1" t="s">
        <v>10</v>
      </c>
      <c r="B687" s="1" t="s">
        <v>11</v>
      </c>
      <c r="C687" s="2">
        <v>44834</v>
      </c>
      <c r="D687">
        <v>96</v>
      </c>
      <c r="E687">
        <v>99.2</v>
      </c>
      <c r="F687">
        <v>95.65</v>
      </c>
      <c r="G687">
        <v>97.65</v>
      </c>
      <c r="H687">
        <v>24989</v>
      </c>
      <c r="I687">
        <v>344.57</v>
      </c>
      <c r="J687">
        <v>0.31</v>
      </c>
      <c r="K687">
        <v>97.125</v>
      </c>
    </row>
    <row r="688" spans="1:11" x14ac:dyDescent="0.25">
      <c r="A688" s="1" t="s">
        <v>10</v>
      </c>
      <c r="B688" s="1" t="s">
        <v>11</v>
      </c>
      <c r="C688" s="2">
        <v>44837</v>
      </c>
      <c r="D688">
        <v>97.15</v>
      </c>
      <c r="E688">
        <v>98.95</v>
      </c>
      <c r="F688">
        <v>95.1</v>
      </c>
      <c r="G688">
        <v>95.7</v>
      </c>
      <c r="H688">
        <v>12391</v>
      </c>
      <c r="I688">
        <v>337.69</v>
      </c>
      <c r="J688">
        <v>0.31</v>
      </c>
      <c r="K688">
        <v>96.724999999999994</v>
      </c>
    </row>
    <row r="689" spans="1:11" x14ac:dyDescent="0.25">
      <c r="A689" s="1" t="s">
        <v>10</v>
      </c>
      <c r="B689" s="1" t="s">
        <v>11</v>
      </c>
      <c r="C689" s="2">
        <v>44838</v>
      </c>
      <c r="D689">
        <v>96.25</v>
      </c>
      <c r="E689">
        <v>98.4</v>
      </c>
      <c r="F689">
        <v>94.35</v>
      </c>
      <c r="G689">
        <v>97.65</v>
      </c>
      <c r="H689">
        <v>26094</v>
      </c>
      <c r="I689">
        <v>344.57</v>
      </c>
      <c r="J689">
        <v>0.31</v>
      </c>
      <c r="K689">
        <v>96.662499999999994</v>
      </c>
    </row>
    <row r="690" spans="1:11" x14ac:dyDescent="0.25">
      <c r="A690" s="1" t="s">
        <v>10</v>
      </c>
      <c r="B690" s="1" t="s">
        <v>11</v>
      </c>
      <c r="C690" s="2">
        <v>44840</v>
      </c>
      <c r="D690">
        <v>98</v>
      </c>
      <c r="E690">
        <v>100.35</v>
      </c>
      <c r="F690">
        <v>97.75</v>
      </c>
      <c r="G690">
        <v>98.3</v>
      </c>
      <c r="H690">
        <v>10346</v>
      </c>
      <c r="I690">
        <v>346.87</v>
      </c>
      <c r="J690">
        <v>0.31</v>
      </c>
      <c r="K690">
        <v>98.6</v>
      </c>
    </row>
    <row r="691" spans="1:11" x14ac:dyDescent="0.25">
      <c r="A691" s="1" t="s">
        <v>10</v>
      </c>
      <c r="B691" s="1" t="s">
        <v>11</v>
      </c>
      <c r="C691" s="2">
        <v>44841</v>
      </c>
      <c r="D691">
        <v>97.2</v>
      </c>
      <c r="E691">
        <v>101.9</v>
      </c>
      <c r="F691">
        <v>96.1</v>
      </c>
      <c r="G691">
        <v>100.15</v>
      </c>
      <c r="H691">
        <v>16224</v>
      </c>
      <c r="I691">
        <v>353.39</v>
      </c>
      <c r="J691">
        <v>0.31</v>
      </c>
      <c r="K691">
        <v>98.837500000000006</v>
      </c>
    </row>
    <row r="692" spans="1:11" x14ac:dyDescent="0.25">
      <c r="A692" s="1" t="s">
        <v>10</v>
      </c>
      <c r="B692" s="1" t="s">
        <v>11</v>
      </c>
      <c r="C692" s="2">
        <v>44844</v>
      </c>
      <c r="D692">
        <v>98.2</v>
      </c>
      <c r="E692">
        <v>100.4</v>
      </c>
      <c r="F692">
        <v>98.1</v>
      </c>
      <c r="G692">
        <v>99.05</v>
      </c>
      <c r="H692">
        <v>9531</v>
      </c>
      <c r="I692">
        <v>349.51</v>
      </c>
      <c r="J692">
        <v>0.31</v>
      </c>
      <c r="K692">
        <v>98.9375</v>
      </c>
    </row>
    <row r="693" spans="1:11" x14ac:dyDescent="0.25">
      <c r="A693" s="1" t="s">
        <v>10</v>
      </c>
      <c r="B693" s="1" t="s">
        <v>11</v>
      </c>
      <c r="C693" s="2">
        <v>44845</v>
      </c>
      <c r="D693">
        <v>97.25</v>
      </c>
      <c r="E693">
        <v>101.65</v>
      </c>
      <c r="F693">
        <v>96.85</v>
      </c>
      <c r="G693">
        <v>97.25</v>
      </c>
      <c r="H693">
        <v>11624</v>
      </c>
      <c r="I693">
        <v>343.16</v>
      </c>
      <c r="J693">
        <v>0.31</v>
      </c>
      <c r="K693">
        <v>98.25</v>
      </c>
    </row>
    <row r="694" spans="1:11" x14ac:dyDescent="0.25">
      <c r="A694" s="1" t="s">
        <v>10</v>
      </c>
      <c r="B694" s="1" t="s">
        <v>11</v>
      </c>
      <c r="C694" s="2">
        <v>44846</v>
      </c>
      <c r="D694">
        <v>97.3</v>
      </c>
      <c r="E694">
        <v>98.2</v>
      </c>
      <c r="F694">
        <v>96.3</v>
      </c>
      <c r="G694">
        <v>97.05</v>
      </c>
      <c r="H694">
        <v>6055</v>
      </c>
      <c r="I694">
        <v>342.46</v>
      </c>
      <c r="J694">
        <v>0.31</v>
      </c>
      <c r="K694">
        <v>97.212500000000006</v>
      </c>
    </row>
    <row r="695" spans="1:11" x14ac:dyDescent="0.25">
      <c r="A695" s="1" t="s">
        <v>10</v>
      </c>
      <c r="B695" s="1" t="s">
        <v>11</v>
      </c>
      <c r="C695" s="2">
        <v>44847</v>
      </c>
      <c r="D695">
        <v>96.5</v>
      </c>
      <c r="E695">
        <v>97.8</v>
      </c>
      <c r="F695">
        <v>95.5</v>
      </c>
      <c r="G695">
        <v>95.95</v>
      </c>
      <c r="H695">
        <v>7046</v>
      </c>
      <c r="I695">
        <v>338.57</v>
      </c>
      <c r="J695">
        <v>0.31</v>
      </c>
      <c r="K695">
        <v>96.4375</v>
      </c>
    </row>
    <row r="696" spans="1:11" x14ac:dyDescent="0.25">
      <c r="A696" s="1" t="s">
        <v>10</v>
      </c>
      <c r="B696" s="1" t="s">
        <v>11</v>
      </c>
      <c r="C696" s="2">
        <v>44848</v>
      </c>
      <c r="D696">
        <v>96.8</v>
      </c>
      <c r="E696">
        <v>97.55</v>
      </c>
      <c r="F696">
        <v>94.05</v>
      </c>
      <c r="G696">
        <v>94.5</v>
      </c>
      <c r="H696">
        <v>11312</v>
      </c>
      <c r="I696">
        <v>333.46</v>
      </c>
      <c r="J696">
        <v>0.31</v>
      </c>
      <c r="K696">
        <v>95.724999999999994</v>
      </c>
    </row>
    <row r="697" spans="1:11" x14ac:dyDescent="0.25">
      <c r="A697" s="1" t="s">
        <v>10</v>
      </c>
      <c r="B697" s="1" t="s">
        <v>11</v>
      </c>
      <c r="C697" s="2">
        <v>44851</v>
      </c>
      <c r="D697">
        <v>94.2</v>
      </c>
      <c r="E697">
        <v>95.2</v>
      </c>
      <c r="F697">
        <v>93.05</v>
      </c>
      <c r="G697">
        <v>94.25</v>
      </c>
      <c r="H697">
        <v>12558</v>
      </c>
      <c r="I697">
        <v>332.58</v>
      </c>
      <c r="J697">
        <v>0.31</v>
      </c>
      <c r="K697">
        <v>94.174999999999997</v>
      </c>
    </row>
    <row r="698" spans="1:11" x14ac:dyDescent="0.25">
      <c r="A698" s="1" t="s">
        <v>10</v>
      </c>
      <c r="B698" s="1" t="s">
        <v>11</v>
      </c>
      <c r="C698" s="2">
        <v>44852</v>
      </c>
      <c r="D698">
        <v>97.75</v>
      </c>
      <c r="E698">
        <v>97.75</v>
      </c>
      <c r="F698">
        <v>93</v>
      </c>
      <c r="G698">
        <v>93.55</v>
      </c>
      <c r="H698">
        <v>19959</v>
      </c>
      <c r="I698">
        <v>330.11</v>
      </c>
      <c r="J698">
        <v>0.31</v>
      </c>
      <c r="K698">
        <v>95.512500000000003</v>
      </c>
    </row>
    <row r="699" spans="1:11" x14ac:dyDescent="0.25">
      <c r="A699" s="1" t="s">
        <v>10</v>
      </c>
      <c r="B699" s="1" t="s">
        <v>11</v>
      </c>
      <c r="C699" s="2">
        <v>44853</v>
      </c>
      <c r="D699">
        <v>95.65</v>
      </c>
      <c r="E699">
        <v>95.65</v>
      </c>
      <c r="F699">
        <v>91.85</v>
      </c>
      <c r="G699">
        <v>92.8</v>
      </c>
      <c r="H699">
        <v>18787</v>
      </c>
      <c r="I699">
        <v>327.45999999999998</v>
      </c>
      <c r="J699">
        <v>0.31</v>
      </c>
      <c r="K699">
        <v>93.987499999999997</v>
      </c>
    </row>
    <row r="700" spans="1:11" x14ac:dyDescent="0.25">
      <c r="A700" s="1" t="s">
        <v>10</v>
      </c>
      <c r="B700" s="1" t="s">
        <v>11</v>
      </c>
      <c r="C700" s="2">
        <v>44854</v>
      </c>
      <c r="D700">
        <v>92.1</v>
      </c>
      <c r="E700">
        <v>93.95</v>
      </c>
      <c r="F700">
        <v>90.8</v>
      </c>
      <c r="G700">
        <v>91.3</v>
      </c>
      <c r="H700">
        <v>15497</v>
      </c>
      <c r="I700">
        <v>322.17</v>
      </c>
      <c r="J700">
        <v>0.31</v>
      </c>
      <c r="K700">
        <v>92.037499999999994</v>
      </c>
    </row>
    <row r="701" spans="1:11" x14ac:dyDescent="0.25">
      <c r="A701" s="1" t="s">
        <v>10</v>
      </c>
      <c r="B701" s="1" t="s">
        <v>11</v>
      </c>
      <c r="C701" s="2">
        <v>44855</v>
      </c>
      <c r="D701">
        <v>92</v>
      </c>
      <c r="E701">
        <v>93</v>
      </c>
      <c r="F701">
        <v>90.3</v>
      </c>
      <c r="G701">
        <v>90.55</v>
      </c>
      <c r="H701">
        <v>11718</v>
      </c>
      <c r="I701">
        <v>319.52</v>
      </c>
      <c r="J701">
        <v>0.31</v>
      </c>
      <c r="K701">
        <v>91.462500000000006</v>
      </c>
    </row>
    <row r="702" spans="1:11" x14ac:dyDescent="0.25">
      <c r="A702" s="1" t="s">
        <v>10</v>
      </c>
      <c r="B702" s="1" t="s">
        <v>11</v>
      </c>
      <c r="C702" s="2">
        <v>44858</v>
      </c>
      <c r="D702">
        <v>92</v>
      </c>
      <c r="E702">
        <v>92.7</v>
      </c>
      <c r="F702">
        <v>90</v>
      </c>
      <c r="G702">
        <v>91.55</v>
      </c>
      <c r="H702">
        <v>6642</v>
      </c>
      <c r="I702">
        <v>323.05</v>
      </c>
      <c r="J702">
        <v>0.31</v>
      </c>
      <c r="K702">
        <v>91.5625</v>
      </c>
    </row>
    <row r="703" spans="1:11" x14ac:dyDescent="0.25">
      <c r="A703" s="1" t="s">
        <v>10</v>
      </c>
      <c r="B703" s="1" t="s">
        <v>11</v>
      </c>
      <c r="C703" s="2">
        <v>44859</v>
      </c>
      <c r="D703">
        <v>91.55</v>
      </c>
      <c r="E703">
        <v>92.15</v>
      </c>
      <c r="F703">
        <v>89.4</v>
      </c>
      <c r="G703">
        <v>89.7</v>
      </c>
      <c r="H703">
        <v>10003</v>
      </c>
      <c r="I703">
        <v>316.52</v>
      </c>
      <c r="J703">
        <v>0.31</v>
      </c>
      <c r="K703">
        <v>90.7</v>
      </c>
    </row>
    <row r="704" spans="1:11" x14ac:dyDescent="0.25">
      <c r="A704" s="1" t="s">
        <v>10</v>
      </c>
      <c r="B704" s="1" t="s">
        <v>11</v>
      </c>
      <c r="C704" s="2">
        <v>44861</v>
      </c>
      <c r="D704">
        <v>88.6</v>
      </c>
      <c r="E704">
        <v>91.9</v>
      </c>
      <c r="F704">
        <v>87.5</v>
      </c>
      <c r="G704">
        <v>88.35</v>
      </c>
      <c r="H704">
        <v>33701</v>
      </c>
      <c r="I704">
        <v>311.76</v>
      </c>
      <c r="J704">
        <v>0.31</v>
      </c>
      <c r="K704">
        <v>89.087500000000006</v>
      </c>
    </row>
    <row r="705" spans="1:11" x14ac:dyDescent="0.25">
      <c r="A705" s="1" t="s">
        <v>10</v>
      </c>
      <c r="B705" s="1" t="s">
        <v>11</v>
      </c>
      <c r="C705" s="2">
        <v>44862</v>
      </c>
      <c r="D705">
        <v>88.15</v>
      </c>
      <c r="E705">
        <v>90.6</v>
      </c>
      <c r="F705">
        <v>87.65</v>
      </c>
      <c r="G705">
        <v>88.45</v>
      </c>
      <c r="H705">
        <v>18681</v>
      </c>
      <c r="I705">
        <v>312.11</v>
      </c>
      <c r="J705">
        <v>0.31</v>
      </c>
      <c r="K705">
        <v>88.712500000000006</v>
      </c>
    </row>
    <row r="706" spans="1:11" x14ac:dyDescent="0.25">
      <c r="A706" s="1" t="s">
        <v>10</v>
      </c>
      <c r="B706" s="1" t="s">
        <v>11</v>
      </c>
      <c r="C706" s="2">
        <v>44865</v>
      </c>
      <c r="D706">
        <v>89.4</v>
      </c>
      <c r="E706">
        <v>90.3</v>
      </c>
      <c r="F706">
        <v>87.35</v>
      </c>
      <c r="G706">
        <v>88.35</v>
      </c>
      <c r="H706">
        <v>24528</v>
      </c>
      <c r="I706">
        <v>311.76</v>
      </c>
      <c r="J706">
        <v>0.31</v>
      </c>
      <c r="K706">
        <v>88.85</v>
      </c>
    </row>
    <row r="707" spans="1:11" x14ac:dyDescent="0.25">
      <c r="A707" s="1" t="s">
        <v>10</v>
      </c>
      <c r="B707" s="1" t="s">
        <v>11</v>
      </c>
      <c r="C707" s="2">
        <v>44866</v>
      </c>
      <c r="D707">
        <v>88.55</v>
      </c>
      <c r="E707">
        <v>90.95</v>
      </c>
      <c r="F707">
        <v>88.55</v>
      </c>
      <c r="G707">
        <v>90.7</v>
      </c>
      <c r="H707">
        <v>6079</v>
      </c>
      <c r="I707">
        <v>320.05</v>
      </c>
      <c r="J707">
        <v>0.31</v>
      </c>
      <c r="K707">
        <v>89.6875</v>
      </c>
    </row>
    <row r="708" spans="1:11" x14ac:dyDescent="0.25">
      <c r="A708" s="1" t="s">
        <v>10</v>
      </c>
      <c r="B708" s="1" t="s">
        <v>11</v>
      </c>
      <c r="C708" s="2">
        <v>44867</v>
      </c>
      <c r="D708">
        <v>91.1</v>
      </c>
      <c r="E708">
        <v>93.05</v>
      </c>
      <c r="F708">
        <v>88.9</v>
      </c>
      <c r="G708">
        <v>89.2</v>
      </c>
      <c r="H708">
        <v>25753</v>
      </c>
      <c r="I708">
        <v>314.76</v>
      </c>
      <c r="J708">
        <v>0.31</v>
      </c>
      <c r="K708">
        <v>90.5625</v>
      </c>
    </row>
    <row r="709" spans="1:11" x14ac:dyDescent="0.25">
      <c r="A709" s="1" t="s">
        <v>10</v>
      </c>
      <c r="B709" s="1" t="s">
        <v>11</v>
      </c>
      <c r="C709" s="2">
        <v>44868</v>
      </c>
      <c r="D709">
        <v>88.75</v>
      </c>
      <c r="E709">
        <v>89.55</v>
      </c>
      <c r="F709">
        <v>88.05</v>
      </c>
      <c r="G709">
        <v>88.5</v>
      </c>
      <c r="H709">
        <v>6965</v>
      </c>
      <c r="I709">
        <v>312.29000000000002</v>
      </c>
      <c r="J709">
        <v>0.31</v>
      </c>
      <c r="K709">
        <v>88.712500000000006</v>
      </c>
    </row>
    <row r="710" spans="1:11" x14ac:dyDescent="0.25">
      <c r="A710" s="1" t="s">
        <v>10</v>
      </c>
      <c r="B710" s="1" t="s">
        <v>11</v>
      </c>
      <c r="C710" s="2">
        <v>44869</v>
      </c>
      <c r="D710">
        <v>87.85</v>
      </c>
      <c r="E710">
        <v>93</v>
      </c>
      <c r="F710">
        <v>87.85</v>
      </c>
      <c r="G710">
        <v>91.6</v>
      </c>
      <c r="H710">
        <v>30423</v>
      </c>
      <c r="I710">
        <v>323.22000000000003</v>
      </c>
      <c r="J710">
        <v>0.31</v>
      </c>
      <c r="K710">
        <v>90.075000000000003</v>
      </c>
    </row>
    <row r="711" spans="1:11" x14ac:dyDescent="0.25">
      <c r="A711" s="1" t="s">
        <v>10</v>
      </c>
      <c r="B711" s="1" t="s">
        <v>11</v>
      </c>
      <c r="C711" s="2">
        <v>44872</v>
      </c>
      <c r="D711">
        <v>91.9</v>
      </c>
      <c r="E711">
        <v>93.65</v>
      </c>
      <c r="F711">
        <v>91.4</v>
      </c>
      <c r="G711">
        <v>92.6</v>
      </c>
      <c r="H711">
        <v>23478</v>
      </c>
      <c r="I711">
        <v>326.75</v>
      </c>
      <c r="J711">
        <v>0.31</v>
      </c>
      <c r="K711">
        <v>92.387500000000003</v>
      </c>
    </row>
    <row r="712" spans="1:11" x14ac:dyDescent="0.25">
      <c r="A712" s="1" t="s">
        <v>10</v>
      </c>
      <c r="B712" s="1" t="s">
        <v>11</v>
      </c>
      <c r="C712" s="2">
        <v>44874</v>
      </c>
      <c r="D712">
        <v>92.1</v>
      </c>
      <c r="E712">
        <v>95.5</v>
      </c>
      <c r="F712">
        <v>92.1</v>
      </c>
      <c r="G712">
        <v>94.3</v>
      </c>
      <c r="H712">
        <v>22536</v>
      </c>
      <c r="I712">
        <v>332.75</v>
      </c>
      <c r="J712">
        <v>0.31</v>
      </c>
      <c r="K712">
        <v>93.5</v>
      </c>
    </row>
    <row r="713" spans="1:11" x14ac:dyDescent="0.25">
      <c r="A713" s="1" t="s">
        <v>10</v>
      </c>
      <c r="B713" s="1" t="s">
        <v>11</v>
      </c>
      <c r="C713" s="2">
        <v>44875</v>
      </c>
      <c r="D713">
        <v>93.35</v>
      </c>
      <c r="E713">
        <v>94</v>
      </c>
      <c r="F713">
        <v>91</v>
      </c>
      <c r="G713">
        <v>91.85</v>
      </c>
      <c r="H713">
        <v>13396</v>
      </c>
      <c r="I713">
        <v>324.11</v>
      </c>
      <c r="J713">
        <v>0.31</v>
      </c>
      <c r="K713">
        <v>92.55</v>
      </c>
    </row>
    <row r="714" spans="1:11" x14ac:dyDescent="0.25">
      <c r="A714" s="1" t="s">
        <v>10</v>
      </c>
      <c r="B714" s="1" t="s">
        <v>11</v>
      </c>
      <c r="C714" s="2">
        <v>44876</v>
      </c>
      <c r="D714">
        <v>93</v>
      </c>
      <c r="E714">
        <v>97</v>
      </c>
      <c r="F714">
        <v>92.15</v>
      </c>
      <c r="G714">
        <v>94.9</v>
      </c>
      <c r="H714">
        <v>14346</v>
      </c>
      <c r="I714">
        <v>334.87</v>
      </c>
      <c r="J714">
        <v>0.31</v>
      </c>
      <c r="K714">
        <v>94.262500000000003</v>
      </c>
    </row>
    <row r="715" spans="1:11" x14ac:dyDescent="0.25">
      <c r="A715" s="1" t="s">
        <v>10</v>
      </c>
      <c r="B715" s="1" t="s">
        <v>11</v>
      </c>
      <c r="C715" s="2">
        <v>44879</v>
      </c>
      <c r="D715">
        <v>95.45</v>
      </c>
      <c r="E715">
        <v>95.95</v>
      </c>
      <c r="F715">
        <v>92.45</v>
      </c>
      <c r="G715">
        <v>92.8</v>
      </c>
      <c r="H715">
        <v>13096</v>
      </c>
      <c r="I715">
        <v>327.45999999999998</v>
      </c>
      <c r="J715">
        <v>0.31</v>
      </c>
      <c r="K715">
        <v>94.162499999999994</v>
      </c>
    </row>
    <row r="716" spans="1:11" x14ac:dyDescent="0.25">
      <c r="A716" s="1" t="s">
        <v>10</v>
      </c>
      <c r="B716" s="1" t="s">
        <v>11</v>
      </c>
      <c r="C716" s="2">
        <v>44880</v>
      </c>
      <c r="D716">
        <v>93.75</v>
      </c>
      <c r="E716">
        <v>99.5</v>
      </c>
      <c r="F716">
        <v>93.3</v>
      </c>
      <c r="G716">
        <v>98.05</v>
      </c>
      <c r="H716">
        <v>149856</v>
      </c>
      <c r="I716">
        <v>345.98</v>
      </c>
      <c r="J716">
        <v>0.31</v>
      </c>
      <c r="K716">
        <v>96.15</v>
      </c>
    </row>
    <row r="717" spans="1:11" x14ac:dyDescent="0.25">
      <c r="A717" s="1" t="s">
        <v>10</v>
      </c>
      <c r="B717" s="1" t="s">
        <v>11</v>
      </c>
      <c r="C717" s="2">
        <v>44881</v>
      </c>
      <c r="D717">
        <v>97</v>
      </c>
      <c r="E717">
        <v>98.5</v>
      </c>
      <c r="F717">
        <v>94.4</v>
      </c>
      <c r="G717">
        <v>94.65</v>
      </c>
      <c r="H717">
        <v>20223</v>
      </c>
      <c r="I717">
        <v>333.99</v>
      </c>
      <c r="J717">
        <v>0.31</v>
      </c>
      <c r="K717">
        <v>96.137500000000003</v>
      </c>
    </row>
    <row r="718" spans="1:11" x14ac:dyDescent="0.25">
      <c r="A718" s="1" t="s">
        <v>10</v>
      </c>
      <c r="B718" s="1" t="s">
        <v>11</v>
      </c>
      <c r="C718" s="2">
        <v>44882</v>
      </c>
      <c r="D718">
        <v>95.7</v>
      </c>
      <c r="E718">
        <v>95.7</v>
      </c>
      <c r="F718">
        <v>92.7</v>
      </c>
      <c r="G718">
        <v>94.5</v>
      </c>
      <c r="H718">
        <v>5608</v>
      </c>
      <c r="I718">
        <v>333.46</v>
      </c>
      <c r="J718">
        <v>0.31</v>
      </c>
      <c r="K718">
        <v>94.65</v>
      </c>
    </row>
    <row r="719" spans="1:11" x14ac:dyDescent="0.25">
      <c r="A719" s="1" t="s">
        <v>10</v>
      </c>
      <c r="B719" s="1" t="s">
        <v>11</v>
      </c>
      <c r="C719" s="2">
        <v>44883</v>
      </c>
      <c r="D719">
        <v>94.5</v>
      </c>
      <c r="E719">
        <v>95.65</v>
      </c>
      <c r="F719">
        <v>91.8</v>
      </c>
      <c r="G719">
        <v>92.95</v>
      </c>
      <c r="H719">
        <v>32686</v>
      </c>
      <c r="I719">
        <v>327.99</v>
      </c>
      <c r="J719">
        <v>0.31</v>
      </c>
      <c r="K719">
        <v>93.724999999999994</v>
      </c>
    </row>
    <row r="720" spans="1:11" x14ac:dyDescent="0.25">
      <c r="A720" s="1" t="s">
        <v>10</v>
      </c>
      <c r="B720" s="1" t="s">
        <v>11</v>
      </c>
      <c r="C720" s="2">
        <v>44886</v>
      </c>
      <c r="D720">
        <v>92.45</v>
      </c>
      <c r="E720">
        <v>94.05</v>
      </c>
      <c r="F720">
        <v>88.35</v>
      </c>
      <c r="G720">
        <v>90.15</v>
      </c>
      <c r="H720">
        <v>6306</v>
      </c>
      <c r="I720">
        <v>318.11</v>
      </c>
      <c r="J720">
        <v>0.31</v>
      </c>
      <c r="K720">
        <v>91.25</v>
      </c>
    </row>
    <row r="721" spans="1:11" x14ac:dyDescent="0.25">
      <c r="A721" s="1" t="s">
        <v>10</v>
      </c>
      <c r="B721" s="1" t="s">
        <v>11</v>
      </c>
      <c r="C721" s="2">
        <v>44887</v>
      </c>
      <c r="D721">
        <v>90.15</v>
      </c>
      <c r="E721">
        <v>92.1</v>
      </c>
      <c r="F721">
        <v>90.15</v>
      </c>
      <c r="G721">
        <v>91.4</v>
      </c>
      <c r="H721">
        <v>7739</v>
      </c>
      <c r="I721">
        <v>322.52</v>
      </c>
      <c r="J721">
        <v>0.31</v>
      </c>
      <c r="K721">
        <v>90.95</v>
      </c>
    </row>
    <row r="722" spans="1:11" x14ac:dyDescent="0.25">
      <c r="A722" s="1" t="s">
        <v>10</v>
      </c>
      <c r="B722" s="1" t="s">
        <v>11</v>
      </c>
      <c r="C722" s="2">
        <v>44888</v>
      </c>
      <c r="D722">
        <v>91</v>
      </c>
      <c r="E722">
        <v>92.1</v>
      </c>
      <c r="F722">
        <v>90.75</v>
      </c>
      <c r="G722">
        <v>91.1</v>
      </c>
      <c r="H722">
        <v>7620</v>
      </c>
      <c r="I722">
        <v>321.45999999999998</v>
      </c>
      <c r="J722">
        <v>0.31</v>
      </c>
      <c r="K722">
        <v>91.237499999999997</v>
      </c>
    </row>
    <row r="723" spans="1:11" x14ac:dyDescent="0.25">
      <c r="A723" s="1" t="s">
        <v>10</v>
      </c>
      <c r="B723" s="1" t="s">
        <v>11</v>
      </c>
      <c r="C723" s="2">
        <v>44889</v>
      </c>
      <c r="D723">
        <v>91</v>
      </c>
      <c r="E723">
        <v>93.65</v>
      </c>
      <c r="F723">
        <v>90.7</v>
      </c>
      <c r="G723">
        <v>92.55</v>
      </c>
      <c r="H723">
        <v>30149</v>
      </c>
      <c r="I723">
        <v>326.58</v>
      </c>
      <c r="J723">
        <v>0.31</v>
      </c>
      <c r="K723">
        <v>91.974999999999994</v>
      </c>
    </row>
    <row r="724" spans="1:11" x14ac:dyDescent="0.25">
      <c r="A724" s="1" t="s">
        <v>10</v>
      </c>
      <c r="B724" s="1" t="s">
        <v>11</v>
      </c>
      <c r="C724" s="2">
        <v>44890</v>
      </c>
      <c r="D724">
        <v>91.75</v>
      </c>
      <c r="E724">
        <v>94</v>
      </c>
      <c r="F724">
        <v>91.75</v>
      </c>
      <c r="G724">
        <v>92.65</v>
      </c>
      <c r="H724">
        <v>27183</v>
      </c>
      <c r="I724">
        <v>326.93</v>
      </c>
      <c r="J724">
        <v>0.31</v>
      </c>
      <c r="K724">
        <v>92.537499999999994</v>
      </c>
    </row>
    <row r="725" spans="1:11" x14ac:dyDescent="0.25">
      <c r="A725" s="1" t="s">
        <v>10</v>
      </c>
      <c r="B725" s="1" t="s">
        <v>11</v>
      </c>
      <c r="C725" s="2">
        <v>44893</v>
      </c>
      <c r="D725">
        <v>92</v>
      </c>
      <c r="E725">
        <v>94.3</v>
      </c>
      <c r="F725">
        <v>92</v>
      </c>
      <c r="G725">
        <v>93.6</v>
      </c>
      <c r="H725">
        <v>5601</v>
      </c>
      <c r="I725">
        <v>330.28</v>
      </c>
      <c r="J725">
        <v>0.31</v>
      </c>
      <c r="K725">
        <v>92.974999999999994</v>
      </c>
    </row>
    <row r="726" spans="1:11" x14ac:dyDescent="0.25">
      <c r="A726" s="1" t="s">
        <v>10</v>
      </c>
      <c r="B726" s="1" t="s">
        <v>11</v>
      </c>
      <c r="C726" s="2">
        <v>44894</v>
      </c>
      <c r="D726">
        <v>93.6</v>
      </c>
      <c r="E726">
        <v>94.35</v>
      </c>
      <c r="F726">
        <v>92.8</v>
      </c>
      <c r="G726">
        <v>93.2</v>
      </c>
      <c r="H726">
        <v>8991</v>
      </c>
      <c r="I726">
        <v>328.87</v>
      </c>
      <c r="J726">
        <v>0.31</v>
      </c>
      <c r="K726">
        <v>93.487499999999997</v>
      </c>
    </row>
    <row r="727" spans="1:11" x14ac:dyDescent="0.25">
      <c r="A727" s="1" t="s">
        <v>10</v>
      </c>
      <c r="B727" s="1" t="s">
        <v>11</v>
      </c>
      <c r="C727" s="2">
        <v>44895</v>
      </c>
      <c r="D727">
        <v>92.85</v>
      </c>
      <c r="E727">
        <v>94.25</v>
      </c>
      <c r="F727">
        <v>92.75</v>
      </c>
      <c r="G727">
        <v>93.3</v>
      </c>
      <c r="H727">
        <v>9525</v>
      </c>
      <c r="I727">
        <v>329.22</v>
      </c>
      <c r="J727">
        <v>0.31</v>
      </c>
      <c r="K727">
        <v>93.287499999999994</v>
      </c>
    </row>
    <row r="728" spans="1:11" x14ac:dyDescent="0.25">
      <c r="A728" s="1" t="s">
        <v>10</v>
      </c>
      <c r="B728" s="1" t="s">
        <v>11</v>
      </c>
      <c r="C728" s="2">
        <v>44896</v>
      </c>
      <c r="D728">
        <v>94.5</v>
      </c>
      <c r="E728">
        <v>94.95</v>
      </c>
      <c r="F728">
        <v>92.7</v>
      </c>
      <c r="G728">
        <v>93.4</v>
      </c>
      <c r="H728">
        <v>9658</v>
      </c>
      <c r="I728">
        <v>329.58</v>
      </c>
      <c r="J728">
        <v>0.31</v>
      </c>
      <c r="K728">
        <v>93.887500000000003</v>
      </c>
    </row>
    <row r="729" spans="1:11" x14ac:dyDescent="0.25">
      <c r="A729" s="1" t="s">
        <v>10</v>
      </c>
      <c r="B729" s="1" t="s">
        <v>11</v>
      </c>
      <c r="C729" s="2">
        <v>44897</v>
      </c>
      <c r="D729">
        <v>92.85</v>
      </c>
      <c r="E729">
        <v>96.05</v>
      </c>
      <c r="F729">
        <v>92.75</v>
      </c>
      <c r="G729">
        <v>95.05</v>
      </c>
      <c r="H729">
        <v>46896</v>
      </c>
      <c r="I729">
        <v>335.4</v>
      </c>
      <c r="J729">
        <v>0.31</v>
      </c>
      <c r="K729">
        <v>94.174999999999997</v>
      </c>
    </row>
    <row r="730" spans="1:11" x14ac:dyDescent="0.25">
      <c r="A730" s="1" t="s">
        <v>10</v>
      </c>
      <c r="B730" s="1" t="s">
        <v>11</v>
      </c>
      <c r="C730" s="2">
        <v>44900</v>
      </c>
      <c r="D730">
        <v>95.8</v>
      </c>
      <c r="E730">
        <v>96.45</v>
      </c>
      <c r="F730">
        <v>93.55</v>
      </c>
      <c r="G730">
        <v>95.5</v>
      </c>
      <c r="H730">
        <v>12871</v>
      </c>
      <c r="I730">
        <v>336.99</v>
      </c>
      <c r="J730">
        <v>0.31</v>
      </c>
      <c r="K730">
        <v>95.325000000000003</v>
      </c>
    </row>
    <row r="731" spans="1:11" x14ac:dyDescent="0.25">
      <c r="A731" s="1" t="s">
        <v>10</v>
      </c>
      <c r="B731" s="1" t="s">
        <v>11</v>
      </c>
      <c r="C731" s="2">
        <v>44901</v>
      </c>
      <c r="D731">
        <v>94.5</v>
      </c>
      <c r="E731">
        <v>95.4</v>
      </c>
      <c r="F731">
        <v>93.25</v>
      </c>
      <c r="G731">
        <v>93.75</v>
      </c>
      <c r="H731">
        <v>14330</v>
      </c>
      <c r="I731">
        <v>330.81</v>
      </c>
      <c r="J731">
        <v>0.31</v>
      </c>
      <c r="K731">
        <v>94.224999999999994</v>
      </c>
    </row>
    <row r="732" spans="1:11" x14ac:dyDescent="0.25">
      <c r="A732" s="1" t="s">
        <v>10</v>
      </c>
      <c r="B732" s="1" t="s">
        <v>11</v>
      </c>
      <c r="C732" s="2">
        <v>44902</v>
      </c>
      <c r="D732">
        <v>93.5</v>
      </c>
      <c r="E732">
        <v>101.7</v>
      </c>
      <c r="F732">
        <v>93.15</v>
      </c>
      <c r="G732">
        <v>98.9</v>
      </c>
      <c r="H732">
        <v>43632</v>
      </c>
      <c r="I732">
        <v>348.98</v>
      </c>
      <c r="J732">
        <v>0.31</v>
      </c>
      <c r="K732">
        <v>96.8125</v>
      </c>
    </row>
    <row r="733" spans="1:11" x14ac:dyDescent="0.25">
      <c r="A733" s="1" t="s">
        <v>10</v>
      </c>
      <c r="B733" s="1" t="s">
        <v>11</v>
      </c>
      <c r="C733" s="2">
        <v>44903</v>
      </c>
      <c r="D733">
        <v>100.75</v>
      </c>
      <c r="E733">
        <v>100.75</v>
      </c>
      <c r="F733">
        <v>97.55</v>
      </c>
      <c r="G733">
        <v>99.25</v>
      </c>
      <c r="H733">
        <v>23056</v>
      </c>
      <c r="I733">
        <v>350.22</v>
      </c>
      <c r="J733">
        <v>0.31</v>
      </c>
      <c r="K733">
        <v>99.575000000000003</v>
      </c>
    </row>
    <row r="734" spans="1:11" x14ac:dyDescent="0.25">
      <c r="A734" s="1" t="s">
        <v>10</v>
      </c>
      <c r="B734" s="1" t="s">
        <v>11</v>
      </c>
      <c r="C734" s="2">
        <v>44904</v>
      </c>
      <c r="D734">
        <v>99</v>
      </c>
      <c r="E734">
        <v>100.4</v>
      </c>
      <c r="F734">
        <v>96</v>
      </c>
      <c r="G734">
        <v>96.65</v>
      </c>
      <c r="H734">
        <v>12879</v>
      </c>
      <c r="I734">
        <v>341.04</v>
      </c>
      <c r="J734">
        <v>0.31</v>
      </c>
      <c r="K734">
        <v>98.012500000000003</v>
      </c>
    </row>
    <row r="735" spans="1:11" x14ac:dyDescent="0.25">
      <c r="A735" s="1" t="s">
        <v>10</v>
      </c>
      <c r="B735" s="1" t="s">
        <v>11</v>
      </c>
      <c r="C735" s="2">
        <v>44907</v>
      </c>
      <c r="D735">
        <v>96.05</v>
      </c>
      <c r="E735">
        <v>96.95</v>
      </c>
      <c r="F735">
        <v>94.25</v>
      </c>
      <c r="G735">
        <v>95.75</v>
      </c>
      <c r="H735">
        <v>9859</v>
      </c>
      <c r="I735">
        <v>337.87</v>
      </c>
      <c r="J735">
        <v>0.31</v>
      </c>
      <c r="K735">
        <v>95.75</v>
      </c>
    </row>
    <row r="736" spans="1:11" x14ac:dyDescent="0.25">
      <c r="A736" s="1" t="s">
        <v>10</v>
      </c>
      <c r="B736" s="1" t="s">
        <v>11</v>
      </c>
      <c r="C736" s="2">
        <v>44908</v>
      </c>
      <c r="D736">
        <v>95.75</v>
      </c>
      <c r="E736">
        <v>101.55</v>
      </c>
      <c r="F736">
        <v>95.7</v>
      </c>
      <c r="G736">
        <v>98.3</v>
      </c>
      <c r="H736">
        <v>71344</v>
      </c>
      <c r="I736">
        <v>346.87</v>
      </c>
      <c r="J736">
        <v>0.31</v>
      </c>
      <c r="K736">
        <v>97.825000000000003</v>
      </c>
    </row>
    <row r="737" spans="1:11" x14ac:dyDescent="0.25">
      <c r="A737" s="1" t="s">
        <v>10</v>
      </c>
      <c r="B737" s="1" t="s">
        <v>11</v>
      </c>
      <c r="C737" s="2">
        <v>44909</v>
      </c>
      <c r="D737">
        <v>97.75</v>
      </c>
      <c r="E737">
        <v>99.8</v>
      </c>
      <c r="F737">
        <v>96.4</v>
      </c>
      <c r="G737">
        <v>96.8</v>
      </c>
      <c r="H737">
        <v>34515</v>
      </c>
      <c r="I737">
        <v>341.57</v>
      </c>
      <c r="J737">
        <v>0.31</v>
      </c>
      <c r="K737">
        <v>97.6875</v>
      </c>
    </row>
    <row r="738" spans="1:11" x14ac:dyDescent="0.25">
      <c r="A738" s="1" t="s">
        <v>10</v>
      </c>
      <c r="B738" s="1" t="s">
        <v>11</v>
      </c>
      <c r="C738" s="2">
        <v>44910</v>
      </c>
      <c r="D738">
        <v>97.75</v>
      </c>
      <c r="E738">
        <v>98.25</v>
      </c>
      <c r="F738">
        <v>95.5</v>
      </c>
      <c r="G738">
        <v>95.9</v>
      </c>
      <c r="H738">
        <v>22662</v>
      </c>
      <c r="I738">
        <v>338.4</v>
      </c>
      <c r="J738">
        <v>0.31</v>
      </c>
      <c r="K738">
        <v>96.85</v>
      </c>
    </row>
    <row r="739" spans="1:11" x14ac:dyDescent="0.25">
      <c r="A739" s="1" t="s">
        <v>10</v>
      </c>
      <c r="B739" s="1" t="s">
        <v>11</v>
      </c>
      <c r="C739" s="2">
        <v>44911</v>
      </c>
      <c r="D739">
        <v>96</v>
      </c>
      <c r="E739">
        <v>96.9</v>
      </c>
      <c r="F739">
        <v>93.85</v>
      </c>
      <c r="G739">
        <v>94.3</v>
      </c>
      <c r="H739">
        <v>22652</v>
      </c>
      <c r="I739">
        <v>332.75</v>
      </c>
      <c r="J739">
        <v>0.31</v>
      </c>
      <c r="K739">
        <v>95.262500000000003</v>
      </c>
    </row>
    <row r="740" spans="1:11" x14ac:dyDescent="0.25">
      <c r="A740" s="1" t="s">
        <v>10</v>
      </c>
      <c r="B740" s="1" t="s">
        <v>11</v>
      </c>
      <c r="C740" s="2">
        <v>44914</v>
      </c>
      <c r="D740">
        <v>94.1</v>
      </c>
      <c r="E740">
        <v>94.4</v>
      </c>
      <c r="F740">
        <v>93.25</v>
      </c>
      <c r="G740">
        <v>93.3</v>
      </c>
      <c r="H740">
        <v>7336</v>
      </c>
      <c r="I740">
        <v>329.22</v>
      </c>
      <c r="J740">
        <v>0.31</v>
      </c>
      <c r="K740">
        <v>93.762500000000003</v>
      </c>
    </row>
    <row r="741" spans="1:11" x14ac:dyDescent="0.25">
      <c r="A741" s="1" t="s">
        <v>10</v>
      </c>
      <c r="B741" s="1" t="s">
        <v>11</v>
      </c>
      <c r="C741" s="2">
        <v>44915</v>
      </c>
      <c r="D741">
        <v>93.45</v>
      </c>
      <c r="E741">
        <v>96</v>
      </c>
      <c r="F741">
        <v>93.45</v>
      </c>
      <c r="G741">
        <v>95</v>
      </c>
      <c r="H741">
        <v>5498</v>
      </c>
      <c r="I741">
        <v>335.22</v>
      </c>
      <c r="J741">
        <v>0.31</v>
      </c>
      <c r="K741">
        <v>94.474999999999994</v>
      </c>
    </row>
    <row r="742" spans="1:11" x14ac:dyDescent="0.25">
      <c r="A742" s="1" t="s">
        <v>10</v>
      </c>
      <c r="B742" s="1" t="s">
        <v>11</v>
      </c>
      <c r="C742" s="2">
        <v>44916</v>
      </c>
      <c r="D742">
        <v>95</v>
      </c>
      <c r="E742">
        <v>95.65</v>
      </c>
      <c r="F742">
        <v>89.3</v>
      </c>
      <c r="G742">
        <v>90.3</v>
      </c>
      <c r="H742">
        <v>22378</v>
      </c>
      <c r="I742">
        <v>318.64</v>
      </c>
      <c r="J742">
        <v>0.31</v>
      </c>
      <c r="K742">
        <v>92.5625</v>
      </c>
    </row>
    <row r="743" spans="1:11" x14ac:dyDescent="0.25">
      <c r="A743" s="1" t="s">
        <v>10</v>
      </c>
      <c r="B743" s="1" t="s">
        <v>11</v>
      </c>
      <c r="C743" s="2">
        <v>44917</v>
      </c>
      <c r="D743">
        <v>91</v>
      </c>
      <c r="E743">
        <v>91.15</v>
      </c>
      <c r="F743">
        <v>86.15</v>
      </c>
      <c r="G743">
        <v>87.25</v>
      </c>
      <c r="H743">
        <v>33622</v>
      </c>
      <c r="I743">
        <v>307.87</v>
      </c>
      <c r="J743">
        <v>0.31</v>
      </c>
      <c r="K743">
        <v>88.887500000000003</v>
      </c>
    </row>
    <row r="744" spans="1:11" x14ac:dyDescent="0.25">
      <c r="A744" s="1" t="s">
        <v>10</v>
      </c>
      <c r="B744" s="1" t="s">
        <v>11</v>
      </c>
      <c r="C744" s="2">
        <v>44918</v>
      </c>
      <c r="D744">
        <v>83.15</v>
      </c>
      <c r="E744">
        <v>86</v>
      </c>
      <c r="F744">
        <v>81</v>
      </c>
      <c r="G744">
        <v>81.45</v>
      </c>
      <c r="H744">
        <v>32294</v>
      </c>
      <c r="I744">
        <v>287.41000000000003</v>
      </c>
      <c r="J744">
        <v>0.31</v>
      </c>
      <c r="K744">
        <v>82.9</v>
      </c>
    </row>
    <row r="745" spans="1:11" x14ac:dyDescent="0.25">
      <c r="A745" s="1" t="s">
        <v>10</v>
      </c>
      <c r="B745" s="1" t="s">
        <v>11</v>
      </c>
      <c r="C745" s="2">
        <v>44921</v>
      </c>
      <c r="D745">
        <v>79</v>
      </c>
      <c r="E745">
        <v>88</v>
      </c>
      <c r="F745">
        <v>79</v>
      </c>
      <c r="G745">
        <v>87</v>
      </c>
      <c r="H745">
        <v>5424</v>
      </c>
      <c r="I745">
        <v>306.99</v>
      </c>
      <c r="J745">
        <v>0.31</v>
      </c>
      <c r="K745">
        <v>83.25</v>
      </c>
    </row>
    <row r="746" spans="1:11" x14ac:dyDescent="0.25">
      <c r="A746" s="1" t="s">
        <v>10</v>
      </c>
      <c r="B746" s="1" t="s">
        <v>11</v>
      </c>
      <c r="C746" s="2">
        <v>44922</v>
      </c>
      <c r="D746">
        <v>88.75</v>
      </c>
      <c r="E746">
        <v>89.7</v>
      </c>
      <c r="F746">
        <v>87.3</v>
      </c>
      <c r="G746">
        <v>88.3</v>
      </c>
      <c r="H746">
        <v>15581</v>
      </c>
      <c r="I746">
        <v>311.58</v>
      </c>
      <c r="J746">
        <v>0.31</v>
      </c>
      <c r="K746">
        <v>88.512500000000003</v>
      </c>
    </row>
    <row r="747" spans="1:11" x14ac:dyDescent="0.25">
      <c r="A747" s="1" t="s">
        <v>10</v>
      </c>
      <c r="B747" s="1" t="s">
        <v>11</v>
      </c>
      <c r="C747" s="2">
        <v>44923</v>
      </c>
      <c r="D747">
        <v>86.65</v>
      </c>
      <c r="E747">
        <v>90.9</v>
      </c>
      <c r="F747">
        <v>86.65</v>
      </c>
      <c r="G747">
        <v>89.35</v>
      </c>
      <c r="H747">
        <v>14612</v>
      </c>
      <c r="I747">
        <v>315.27999999999997</v>
      </c>
      <c r="J747">
        <v>0.31</v>
      </c>
      <c r="K747">
        <v>88.387500000000003</v>
      </c>
    </row>
    <row r="748" spans="1:11" x14ac:dyDescent="0.25">
      <c r="A748" s="1" t="s">
        <v>10</v>
      </c>
      <c r="B748" s="1" t="s">
        <v>11</v>
      </c>
      <c r="C748" s="2">
        <v>44924</v>
      </c>
      <c r="D748">
        <v>88</v>
      </c>
      <c r="E748">
        <v>92</v>
      </c>
      <c r="F748">
        <v>88</v>
      </c>
      <c r="G748">
        <v>91.45</v>
      </c>
      <c r="H748">
        <v>7542</v>
      </c>
      <c r="I748">
        <v>322.7</v>
      </c>
      <c r="J748">
        <v>0.31</v>
      </c>
      <c r="K748">
        <v>89.862499999999997</v>
      </c>
    </row>
    <row r="749" spans="1:11" x14ac:dyDescent="0.25">
      <c r="A749" s="1" t="s">
        <v>10</v>
      </c>
      <c r="B749" s="1" t="s">
        <v>11</v>
      </c>
      <c r="C749" s="2">
        <v>44925</v>
      </c>
      <c r="D749">
        <v>91.2</v>
      </c>
      <c r="E749">
        <v>92.5</v>
      </c>
      <c r="F749">
        <v>89.5</v>
      </c>
      <c r="G749">
        <v>91.1</v>
      </c>
      <c r="H749">
        <v>8837</v>
      </c>
      <c r="I749">
        <v>321.45999999999998</v>
      </c>
      <c r="J749">
        <v>0.31</v>
      </c>
      <c r="K749">
        <v>91.075000000000003</v>
      </c>
    </row>
    <row r="750" spans="1:11" x14ac:dyDescent="0.25">
      <c r="A750" s="1" t="s">
        <v>10</v>
      </c>
      <c r="B750" s="1" t="s">
        <v>11</v>
      </c>
      <c r="C750" s="2">
        <v>44928</v>
      </c>
      <c r="D750">
        <v>93.5</v>
      </c>
      <c r="E750">
        <v>93.5</v>
      </c>
      <c r="F750">
        <v>91.05</v>
      </c>
      <c r="G750">
        <v>92.75</v>
      </c>
      <c r="H750">
        <v>10432</v>
      </c>
      <c r="I750">
        <v>327.27999999999997</v>
      </c>
      <c r="J750">
        <v>0.31</v>
      </c>
      <c r="K750">
        <v>92.7</v>
      </c>
    </row>
    <row r="751" spans="1:11" x14ac:dyDescent="0.25">
      <c r="A751" s="1" t="s">
        <v>10</v>
      </c>
      <c r="B751" s="1" t="s">
        <v>11</v>
      </c>
      <c r="C751" s="2">
        <v>44929</v>
      </c>
      <c r="D751">
        <v>93</v>
      </c>
      <c r="E751">
        <v>95.4</v>
      </c>
      <c r="F751">
        <v>92.15</v>
      </c>
      <c r="G751">
        <v>93.45</v>
      </c>
      <c r="H751">
        <v>5928</v>
      </c>
      <c r="I751">
        <v>329.75</v>
      </c>
      <c r="J751">
        <v>0.31</v>
      </c>
      <c r="K751">
        <v>93.5</v>
      </c>
    </row>
    <row r="752" spans="1:11" x14ac:dyDescent="0.25">
      <c r="A752" s="1" t="s">
        <v>10</v>
      </c>
      <c r="B752" s="1" t="s">
        <v>11</v>
      </c>
      <c r="C752" s="2">
        <v>44930</v>
      </c>
      <c r="D752">
        <v>91.55</v>
      </c>
      <c r="E752">
        <v>94.9</v>
      </c>
      <c r="F752">
        <v>91</v>
      </c>
      <c r="G752">
        <v>91.3</v>
      </c>
      <c r="H752">
        <v>18852</v>
      </c>
      <c r="I752">
        <v>322.17</v>
      </c>
      <c r="J752">
        <v>0.31</v>
      </c>
      <c r="K752">
        <v>92.1875</v>
      </c>
    </row>
    <row r="753" spans="1:11" x14ac:dyDescent="0.25">
      <c r="A753" s="1" t="s">
        <v>10</v>
      </c>
      <c r="B753" s="1" t="s">
        <v>11</v>
      </c>
      <c r="C753" s="2">
        <v>44931</v>
      </c>
      <c r="D753">
        <v>90.75</v>
      </c>
      <c r="E753">
        <v>92.5</v>
      </c>
      <c r="F753">
        <v>90.3</v>
      </c>
      <c r="G753">
        <v>90.95</v>
      </c>
      <c r="H753">
        <v>1781</v>
      </c>
      <c r="I753">
        <v>320.93</v>
      </c>
      <c r="J753">
        <v>0.31</v>
      </c>
      <c r="K753">
        <v>91.125</v>
      </c>
    </row>
    <row r="754" spans="1:11" x14ac:dyDescent="0.25">
      <c r="A754" s="1" t="s">
        <v>10</v>
      </c>
      <c r="B754" s="1" t="s">
        <v>11</v>
      </c>
      <c r="C754" s="2">
        <v>44932</v>
      </c>
      <c r="D754">
        <v>91.25</v>
      </c>
      <c r="E754">
        <v>91.9</v>
      </c>
      <c r="F754">
        <v>89.55</v>
      </c>
      <c r="G754">
        <v>90.2</v>
      </c>
      <c r="H754">
        <v>8359</v>
      </c>
      <c r="I754">
        <v>318.27999999999997</v>
      </c>
      <c r="J754">
        <v>0.31</v>
      </c>
      <c r="K754">
        <v>90.724999999999994</v>
      </c>
    </row>
    <row r="755" spans="1:11" x14ac:dyDescent="0.25">
      <c r="A755" s="1" t="s">
        <v>10</v>
      </c>
      <c r="B755" s="1" t="s">
        <v>11</v>
      </c>
      <c r="C755" s="2">
        <v>44935</v>
      </c>
      <c r="D755">
        <v>90</v>
      </c>
      <c r="E755">
        <v>93.45</v>
      </c>
      <c r="F755">
        <v>90</v>
      </c>
      <c r="G755">
        <v>90.75</v>
      </c>
      <c r="H755">
        <v>10610</v>
      </c>
      <c r="I755">
        <v>320.23</v>
      </c>
      <c r="J755">
        <v>0.31</v>
      </c>
      <c r="K755">
        <v>91.05</v>
      </c>
    </row>
    <row r="756" spans="1:11" x14ac:dyDescent="0.25">
      <c r="A756" s="1" t="s">
        <v>10</v>
      </c>
      <c r="B756" s="1" t="s">
        <v>11</v>
      </c>
      <c r="C756" s="2">
        <v>44936</v>
      </c>
      <c r="D756">
        <v>91.35</v>
      </c>
      <c r="E756">
        <v>91.95</v>
      </c>
      <c r="F756">
        <v>90.15</v>
      </c>
      <c r="G756">
        <v>91.25</v>
      </c>
      <c r="H756">
        <v>8946</v>
      </c>
      <c r="I756">
        <v>321.99</v>
      </c>
      <c r="J756">
        <v>0.31</v>
      </c>
      <c r="K756">
        <v>91.174999999999997</v>
      </c>
    </row>
    <row r="757" spans="1:11" x14ac:dyDescent="0.25">
      <c r="A757" s="1" t="s">
        <v>10</v>
      </c>
      <c r="B757" s="1" t="s">
        <v>11</v>
      </c>
      <c r="C757" s="2">
        <v>44937</v>
      </c>
      <c r="D757">
        <v>92</v>
      </c>
      <c r="E757">
        <v>93.1</v>
      </c>
      <c r="F757">
        <v>90.1</v>
      </c>
      <c r="G757">
        <v>92</v>
      </c>
      <c r="H757">
        <v>10968</v>
      </c>
      <c r="I757">
        <v>324.64</v>
      </c>
      <c r="J757">
        <v>0.31</v>
      </c>
      <c r="K757">
        <v>91.8</v>
      </c>
    </row>
    <row r="758" spans="1:11" x14ac:dyDescent="0.25">
      <c r="A758" s="1" t="s">
        <v>10</v>
      </c>
      <c r="B758" s="1" t="s">
        <v>11</v>
      </c>
      <c r="C758" s="2">
        <v>44938</v>
      </c>
      <c r="D758">
        <v>91.05</v>
      </c>
      <c r="E758">
        <v>92</v>
      </c>
      <c r="F758">
        <v>88.8</v>
      </c>
      <c r="G758">
        <v>89.4</v>
      </c>
      <c r="H758">
        <v>21701</v>
      </c>
      <c r="I758">
        <v>315.45999999999998</v>
      </c>
      <c r="J758">
        <v>0.31</v>
      </c>
      <c r="K758">
        <v>90.3125</v>
      </c>
    </row>
    <row r="759" spans="1:11" x14ac:dyDescent="0.25">
      <c r="A759" s="1" t="s">
        <v>10</v>
      </c>
      <c r="B759" s="1" t="s">
        <v>11</v>
      </c>
      <c r="C759" s="2">
        <v>44939</v>
      </c>
      <c r="D759">
        <v>89.5</v>
      </c>
      <c r="E759">
        <v>91</v>
      </c>
      <c r="F759">
        <v>89.5</v>
      </c>
      <c r="G759">
        <v>90.85</v>
      </c>
      <c r="H759">
        <v>3253</v>
      </c>
      <c r="I759">
        <v>320.58</v>
      </c>
      <c r="J759">
        <v>0.31</v>
      </c>
      <c r="K759">
        <v>90.212500000000006</v>
      </c>
    </row>
    <row r="760" spans="1:11" x14ac:dyDescent="0.25">
      <c r="A760" s="1" t="s">
        <v>10</v>
      </c>
      <c r="B760" s="1" t="s">
        <v>11</v>
      </c>
      <c r="C760" s="2">
        <v>44942</v>
      </c>
      <c r="D760">
        <v>89.6</v>
      </c>
      <c r="E760">
        <v>92</v>
      </c>
      <c r="F760">
        <v>89.6</v>
      </c>
      <c r="G760">
        <v>90</v>
      </c>
      <c r="H760">
        <v>5511</v>
      </c>
      <c r="I760">
        <v>317.58</v>
      </c>
      <c r="J760">
        <v>0.31</v>
      </c>
      <c r="K760">
        <v>90.3</v>
      </c>
    </row>
    <row r="761" spans="1:11" x14ac:dyDescent="0.25">
      <c r="A761" s="1" t="s">
        <v>10</v>
      </c>
      <c r="B761" s="1" t="s">
        <v>11</v>
      </c>
      <c r="C761" s="2">
        <v>44943</v>
      </c>
      <c r="D761">
        <v>89.65</v>
      </c>
      <c r="E761">
        <v>90.4</v>
      </c>
      <c r="F761">
        <v>88.4</v>
      </c>
      <c r="G761">
        <v>89.15</v>
      </c>
      <c r="H761">
        <v>16957</v>
      </c>
      <c r="I761">
        <v>314.58</v>
      </c>
      <c r="J761">
        <v>0.31</v>
      </c>
      <c r="K761">
        <v>89.4</v>
      </c>
    </row>
    <row r="762" spans="1:11" x14ac:dyDescent="0.25">
      <c r="A762" s="1" t="s">
        <v>10</v>
      </c>
      <c r="B762" s="1" t="s">
        <v>11</v>
      </c>
      <c r="C762" s="2">
        <v>44944</v>
      </c>
      <c r="D762">
        <v>89.1</v>
      </c>
      <c r="E762">
        <v>90.25</v>
      </c>
      <c r="F762">
        <v>89.1</v>
      </c>
      <c r="G762">
        <v>89.85</v>
      </c>
      <c r="H762">
        <v>5429</v>
      </c>
      <c r="I762">
        <v>317.05</v>
      </c>
      <c r="J762">
        <v>0.31</v>
      </c>
      <c r="K762">
        <v>89.575000000000003</v>
      </c>
    </row>
    <row r="763" spans="1:11" x14ac:dyDescent="0.25">
      <c r="A763" s="1" t="s">
        <v>10</v>
      </c>
      <c r="B763" s="1" t="s">
        <v>11</v>
      </c>
      <c r="C763" s="2">
        <v>44945</v>
      </c>
      <c r="D763">
        <v>88</v>
      </c>
      <c r="E763">
        <v>90.8</v>
      </c>
      <c r="F763">
        <v>88</v>
      </c>
      <c r="G763">
        <v>89.85</v>
      </c>
      <c r="H763">
        <v>9997</v>
      </c>
      <c r="I763">
        <v>317.05</v>
      </c>
      <c r="J763">
        <v>0.31</v>
      </c>
      <c r="K763">
        <v>89.162499999999994</v>
      </c>
    </row>
    <row r="764" spans="1:11" x14ac:dyDescent="0.25">
      <c r="A764" s="1" t="s">
        <v>10</v>
      </c>
      <c r="B764" s="1" t="s">
        <v>11</v>
      </c>
      <c r="C764" s="2">
        <v>44946</v>
      </c>
      <c r="D764">
        <v>89.45</v>
      </c>
      <c r="E764">
        <v>90.85</v>
      </c>
      <c r="F764">
        <v>89.45</v>
      </c>
      <c r="G764">
        <v>90.1</v>
      </c>
      <c r="H764">
        <v>5430</v>
      </c>
      <c r="I764">
        <v>317.93</v>
      </c>
      <c r="J764">
        <v>0.31</v>
      </c>
      <c r="K764">
        <v>89.962500000000006</v>
      </c>
    </row>
    <row r="765" spans="1:11" x14ac:dyDescent="0.25">
      <c r="A765" s="1" t="s">
        <v>10</v>
      </c>
      <c r="B765" s="1" t="s">
        <v>11</v>
      </c>
      <c r="C765" s="2">
        <v>44949</v>
      </c>
      <c r="D765">
        <v>88.15</v>
      </c>
      <c r="E765">
        <v>90.15</v>
      </c>
      <c r="F765">
        <v>88.15</v>
      </c>
      <c r="G765">
        <v>88.85</v>
      </c>
      <c r="H765">
        <v>4010</v>
      </c>
      <c r="I765">
        <v>313.52</v>
      </c>
      <c r="J765">
        <v>0.31</v>
      </c>
      <c r="K765">
        <v>88.825000000000003</v>
      </c>
    </row>
    <row r="766" spans="1:11" x14ac:dyDescent="0.25">
      <c r="A766" s="1" t="s">
        <v>10</v>
      </c>
      <c r="B766" s="1" t="s">
        <v>11</v>
      </c>
      <c r="C766" s="2">
        <v>44950</v>
      </c>
      <c r="D766">
        <v>88.4</v>
      </c>
      <c r="E766">
        <v>89.6</v>
      </c>
      <c r="F766">
        <v>88.25</v>
      </c>
      <c r="G766">
        <v>88.8</v>
      </c>
      <c r="H766">
        <v>5508</v>
      </c>
      <c r="I766">
        <v>313.33999999999997</v>
      </c>
      <c r="J766">
        <v>0.31</v>
      </c>
      <c r="K766">
        <v>88.762500000000003</v>
      </c>
    </row>
    <row r="767" spans="1:11" x14ac:dyDescent="0.25">
      <c r="A767" s="1" t="s">
        <v>10</v>
      </c>
      <c r="B767" s="1" t="s">
        <v>11</v>
      </c>
      <c r="C767" s="2">
        <v>44951</v>
      </c>
      <c r="D767">
        <v>88.1</v>
      </c>
      <c r="E767">
        <v>90</v>
      </c>
      <c r="F767">
        <v>83.35</v>
      </c>
      <c r="G767">
        <v>85.65</v>
      </c>
      <c r="H767">
        <v>20889</v>
      </c>
      <c r="I767">
        <v>302.23</v>
      </c>
      <c r="J767">
        <v>0.31</v>
      </c>
      <c r="K767">
        <v>86.775000000000006</v>
      </c>
    </row>
    <row r="768" spans="1:11" x14ac:dyDescent="0.25">
      <c r="A768" s="1" t="s">
        <v>10</v>
      </c>
      <c r="B768" s="1" t="s">
        <v>11</v>
      </c>
      <c r="C768" s="2">
        <v>44953</v>
      </c>
      <c r="D768">
        <v>83.5</v>
      </c>
      <c r="E768">
        <v>83.8</v>
      </c>
      <c r="F768">
        <v>76.900000000000006</v>
      </c>
      <c r="G768">
        <v>78.599999999999994</v>
      </c>
      <c r="H768">
        <v>66573</v>
      </c>
      <c r="I768">
        <v>277.35000000000002</v>
      </c>
      <c r="J768">
        <v>0.31</v>
      </c>
      <c r="K768">
        <v>80.7</v>
      </c>
    </row>
    <row r="769" spans="1:11" x14ac:dyDescent="0.25">
      <c r="A769" s="1" t="s">
        <v>10</v>
      </c>
      <c r="B769" s="1" t="s">
        <v>11</v>
      </c>
      <c r="C769" s="2">
        <v>44956</v>
      </c>
      <c r="D769">
        <v>82</v>
      </c>
      <c r="E769">
        <v>82</v>
      </c>
      <c r="F769">
        <v>77.150000000000006</v>
      </c>
      <c r="G769">
        <v>78.150000000000006</v>
      </c>
      <c r="H769">
        <v>15473</v>
      </c>
      <c r="I769">
        <v>275.76</v>
      </c>
      <c r="J769">
        <v>0.31</v>
      </c>
      <c r="K769">
        <v>79.825000000000003</v>
      </c>
    </row>
    <row r="770" spans="1:11" x14ac:dyDescent="0.25">
      <c r="A770" s="1" t="s">
        <v>10</v>
      </c>
      <c r="B770" s="1" t="s">
        <v>11</v>
      </c>
      <c r="C770" s="2">
        <v>44957</v>
      </c>
      <c r="D770">
        <v>77.55</v>
      </c>
      <c r="E770">
        <v>82.5</v>
      </c>
      <c r="F770">
        <v>77.5</v>
      </c>
      <c r="G770">
        <v>80.7</v>
      </c>
      <c r="H770">
        <v>17834</v>
      </c>
      <c r="I770">
        <v>284.76</v>
      </c>
      <c r="J770">
        <v>0.31</v>
      </c>
      <c r="K770">
        <v>79.5625</v>
      </c>
    </row>
    <row r="771" spans="1:11" x14ac:dyDescent="0.25">
      <c r="A771" s="1" t="s">
        <v>10</v>
      </c>
      <c r="B771" s="1" t="s">
        <v>11</v>
      </c>
      <c r="C771" s="2">
        <v>44958</v>
      </c>
      <c r="D771">
        <v>80.400000000000006</v>
      </c>
      <c r="E771">
        <v>82.45</v>
      </c>
      <c r="F771">
        <v>78.45</v>
      </c>
      <c r="G771">
        <v>79</v>
      </c>
      <c r="H771">
        <v>16262</v>
      </c>
      <c r="I771">
        <v>278.76</v>
      </c>
      <c r="J771">
        <v>0.31</v>
      </c>
      <c r="K771">
        <v>80.075000000000003</v>
      </c>
    </row>
    <row r="772" spans="1:11" x14ac:dyDescent="0.25">
      <c r="A772" s="1" t="s">
        <v>10</v>
      </c>
      <c r="B772" s="1" t="s">
        <v>11</v>
      </c>
      <c r="C772" s="2">
        <v>44959</v>
      </c>
      <c r="D772">
        <v>76</v>
      </c>
      <c r="E772">
        <v>80.650000000000006</v>
      </c>
      <c r="F772">
        <v>76</v>
      </c>
      <c r="G772">
        <v>79.900000000000006</v>
      </c>
      <c r="H772">
        <v>19275</v>
      </c>
      <c r="I772">
        <v>281.94</v>
      </c>
      <c r="J772">
        <v>0.31</v>
      </c>
      <c r="K772">
        <v>78.137500000000003</v>
      </c>
    </row>
    <row r="773" spans="1:11" x14ac:dyDescent="0.25">
      <c r="A773" s="1" t="s">
        <v>10</v>
      </c>
      <c r="B773" s="1" t="s">
        <v>11</v>
      </c>
      <c r="C773" s="2">
        <v>44960</v>
      </c>
      <c r="D773">
        <v>79.8</v>
      </c>
      <c r="E773">
        <v>80.900000000000006</v>
      </c>
      <c r="F773">
        <v>77.7</v>
      </c>
      <c r="G773">
        <v>77.95</v>
      </c>
      <c r="H773">
        <v>9029</v>
      </c>
      <c r="I773">
        <v>275.06</v>
      </c>
      <c r="J773">
        <v>0.31</v>
      </c>
      <c r="K773">
        <v>79.087500000000006</v>
      </c>
    </row>
    <row r="774" spans="1:11" x14ac:dyDescent="0.25">
      <c r="A774" s="1" t="s">
        <v>10</v>
      </c>
      <c r="B774" s="1" t="s">
        <v>11</v>
      </c>
      <c r="C774" s="2">
        <v>44963</v>
      </c>
      <c r="D774">
        <v>79.5</v>
      </c>
      <c r="E774">
        <v>79.55</v>
      </c>
      <c r="F774">
        <v>76.900000000000006</v>
      </c>
      <c r="G774">
        <v>77.599999999999994</v>
      </c>
      <c r="H774">
        <v>3307</v>
      </c>
      <c r="I774">
        <v>273.82</v>
      </c>
      <c r="J774">
        <v>0.31</v>
      </c>
      <c r="K774">
        <v>78.387500000000003</v>
      </c>
    </row>
    <row r="775" spans="1:11" x14ac:dyDescent="0.25">
      <c r="A775" s="1" t="s">
        <v>10</v>
      </c>
      <c r="B775" s="1" t="s">
        <v>11</v>
      </c>
      <c r="C775" s="2">
        <v>44964</v>
      </c>
      <c r="D775">
        <v>77.75</v>
      </c>
      <c r="E775">
        <v>79.25</v>
      </c>
      <c r="F775">
        <v>76.3</v>
      </c>
      <c r="G775">
        <v>76.650000000000006</v>
      </c>
      <c r="H775">
        <v>5574</v>
      </c>
      <c r="I775">
        <v>270.47000000000003</v>
      </c>
      <c r="J775">
        <v>0.31</v>
      </c>
      <c r="K775">
        <v>77.487499999999997</v>
      </c>
    </row>
    <row r="776" spans="1:11" x14ac:dyDescent="0.25">
      <c r="A776" s="1" t="s">
        <v>10</v>
      </c>
      <c r="B776" s="1" t="s">
        <v>11</v>
      </c>
      <c r="C776" s="2">
        <v>44965</v>
      </c>
      <c r="D776">
        <v>76.400000000000006</v>
      </c>
      <c r="E776">
        <v>78</v>
      </c>
      <c r="F776">
        <v>76.2</v>
      </c>
      <c r="G776">
        <v>76.75</v>
      </c>
      <c r="H776">
        <v>10034</v>
      </c>
      <c r="I776">
        <v>270.82</v>
      </c>
      <c r="J776">
        <v>0.31</v>
      </c>
      <c r="K776">
        <v>76.837500000000006</v>
      </c>
    </row>
    <row r="777" spans="1:11" x14ac:dyDescent="0.25">
      <c r="A777" s="1" t="s">
        <v>10</v>
      </c>
      <c r="B777" s="1" t="s">
        <v>11</v>
      </c>
      <c r="C777" s="2">
        <v>44966</v>
      </c>
      <c r="D777">
        <v>78</v>
      </c>
      <c r="E777">
        <v>78</v>
      </c>
      <c r="F777">
        <v>76.3</v>
      </c>
      <c r="G777">
        <v>77.25</v>
      </c>
      <c r="H777">
        <v>4622</v>
      </c>
      <c r="I777">
        <v>272.58999999999997</v>
      </c>
      <c r="J777">
        <v>0.31</v>
      </c>
      <c r="K777">
        <v>77.387500000000003</v>
      </c>
    </row>
    <row r="778" spans="1:11" x14ac:dyDescent="0.25">
      <c r="A778" s="1" t="s">
        <v>10</v>
      </c>
      <c r="B778" s="1" t="s">
        <v>11</v>
      </c>
      <c r="C778" s="2">
        <v>44967</v>
      </c>
      <c r="D778">
        <v>76.7</v>
      </c>
      <c r="E778">
        <v>77.900000000000006</v>
      </c>
      <c r="F778">
        <v>76.400000000000006</v>
      </c>
      <c r="G778">
        <v>76.599999999999994</v>
      </c>
      <c r="H778">
        <v>4949</v>
      </c>
      <c r="I778">
        <v>270.29000000000002</v>
      </c>
      <c r="J778">
        <v>0.31</v>
      </c>
      <c r="K778">
        <v>76.900000000000006</v>
      </c>
    </row>
    <row r="779" spans="1:11" x14ac:dyDescent="0.25">
      <c r="A779" s="1" t="s">
        <v>10</v>
      </c>
      <c r="B779" s="1" t="s">
        <v>11</v>
      </c>
      <c r="C779" s="2">
        <v>44970</v>
      </c>
      <c r="D779">
        <v>78.75</v>
      </c>
      <c r="E779">
        <v>78.75</v>
      </c>
      <c r="F779">
        <v>75.55</v>
      </c>
      <c r="G779">
        <v>76.599999999999994</v>
      </c>
      <c r="H779">
        <v>12551</v>
      </c>
      <c r="I779">
        <v>270.29000000000002</v>
      </c>
      <c r="J779">
        <v>0.31</v>
      </c>
      <c r="K779">
        <v>77.412499999999994</v>
      </c>
    </row>
    <row r="780" spans="1:11" x14ac:dyDescent="0.25">
      <c r="A780" s="1" t="s">
        <v>10</v>
      </c>
      <c r="B780" s="1" t="s">
        <v>11</v>
      </c>
      <c r="C780" s="2">
        <v>44971</v>
      </c>
      <c r="D780">
        <v>76.2</v>
      </c>
      <c r="E780">
        <v>76.849999999999994</v>
      </c>
      <c r="F780">
        <v>74.7</v>
      </c>
      <c r="G780">
        <v>74.95</v>
      </c>
      <c r="H780">
        <v>9416</v>
      </c>
      <c r="I780">
        <v>264.47000000000003</v>
      </c>
      <c r="J780">
        <v>0.31</v>
      </c>
      <c r="K780">
        <v>75.674999999999997</v>
      </c>
    </row>
    <row r="781" spans="1:11" x14ac:dyDescent="0.25">
      <c r="A781" s="1" t="s">
        <v>10</v>
      </c>
      <c r="B781" s="1" t="s">
        <v>11</v>
      </c>
      <c r="C781" s="2">
        <v>44972</v>
      </c>
      <c r="D781">
        <v>74.099999999999994</v>
      </c>
      <c r="E781">
        <v>76.45</v>
      </c>
      <c r="F781">
        <v>74.099999999999994</v>
      </c>
      <c r="G781">
        <v>75.45</v>
      </c>
      <c r="H781">
        <v>1345</v>
      </c>
      <c r="I781">
        <v>266.24</v>
      </c>
      <c r="J781">
        <v>0.31</v>
      </c>
      <c r="K781">
        <v>75.025000000000006</v>
      </c>
    </row>
    <row r="782" spans="1:11" x14ac:dyDescent="0.25">
      <c r="A782" s="1" t="s">
        <v>10</v>
      </c>
      <c r="B782" s="1" t="s">
        <v>11</v>
      </c>
      <c r="C782" s="2">
        <v>44973</v>
      </c>
      <c r="D782">
        <v>75.2</v>
      </c>
      <c r="E782">
        <v>77</v>
      </c>
      <c r="F782">
        <v>73.2</v>
      </c>
      <c r="G782">
        <v>73.55</v>
      </c>
      <c r="H782">
        <v>10026</v>
      </c>
      <c r="I782">
        <v>259.52999999999997</v>
      </c>
      <c r="J782">
        <v>0.31</v>
      </c>
      <c r="K782">
        <v>74.737499999999997</v>
      </c>
    </row>
    <row r="783" spans="1:11" x14ac:dyDescent="0.25">
      <c r="A783" s="1" t="s">
        <v>10</v>
      </c>
      <c r="B783" s="1" t="s">
        <v>11</v>
      </c>
      <c r="C783" s="2">
        <v>44974</v>
      </c>
      <c r="D783">
        <v>73.45</v>
      </c>
      <c r="E783">
        <v>74.2</v>
      </c>
      <c r="F783">
        <v>71.900000000000006</v>
      </c>
      <c r="G783">
        <v>72.099999999999994</v>
      </c>
      <c r="H783">
        <v>4003</v>
      </c>
      <c r="I783">
        <v>254.42</v>
      </c>
      <c r="J783">
        <v>0.31</v>
      </c>
      <c r="K783">
        <v>72.912499999999994</v>
      </c>
    </row>
    <row r="784" spans="1:11" x14ac:dyDescent="0.25">
      <c r="A784" s="1" t="s">
        <v>10</v>
      </c>
      <c r="B784" s="1" t="s">
        <v>11</v>
      </c>
      <c r="C784" s="2">
        <v>44977</v>
      </c>
      <c r="D784">
        <v>71.5</v>
      </c>
      <c r="E784">
        <v>72.8</v>
      </c>
      <c r="F784">
        <v>69.3</v>
      </c>
      <c r="G784">
        <v>70.150000000000006</v>
      </c>
      <c r="H784">
        <v>11483</v>
      </c>
      <c r="I784">
        <v>247.53</v>
      </c>
      <c r="J784">
        <v>0.31</v>
      </c>
      <c r="K784">
        <v>70.9375</v>
      </c>
    </row>
    <row r="785" spans="1:11" x14ac:dyDescent="0.25">
      <c r="A785" s="1" t="s">
        <v>10</v>
      </c>
      <c r="B785" s="1" t="s">
        <v>11</v>
      </c>
      <c r="C785" s="2">
        <v>44978</v>
      </c>
      <c r="D785">
        <v>70.3</v>
      </c>
      <c r="E785">
        <v>71.099999999999994</v>
      </c>
      <c r="F785">
        <v>69.650000000000006</v>
      </c>
      <c r="G785">
        <v>70.05</v>
      </c>
      <c r="H785">
        <v>13147</v>
      </c>
      <c r="I785">
        <v>247.18</v>
      </c>
      <c r="J785">
        <v>0.31</v>
      </c>
      <c r="K785">
        <v>70.275000000000006</v>
      </c>
    </row>
    <row r="786" spans="1:11" x14ac:dyDescent="0.25">
      <c r="A786" s="1" t="s">
        <v>10</v>
      </c>
      <c r="B786" s="1" t="s">
        <v>11</v>
      </c>
      <c r="C786" s="2">
        <v>44979</v>
      </c>
      <c r="D786">
        <v>69.099999999999994</v>
      </c>
      <c r="E786">
        <v>70.8</v>
      </c>
      <c r="F786">
        <v>67.650000000000006</v>
      </c>
      <c r="G786">
        <v>68.400000000000006</v>
      </c>
      <c r="H786">
        <v>9067</v>
      </c>
      <c r="I786">
        <v>241.36</v>
      </c>
      <c r="J786">
        <v>0.31</v>
      </c>
      <c r="K786">
        <v>68.987499999999997</v>
      </c>
    </row>
    <row r="787" spans="1:11" x14ac:dyDescent="0.25">
      <c r="A787" s="1" t="s">
        <v>10</v>
      </c>
      <c r="B787" s="1" t="s">
        <v>11</v>
      </c>
      <c r="C787" s="2">
        <v>44980</v>
      </c>
      <c r="D787">
        <v>67.2</v>
      </c>
      <c r="E787">
        <v>70.05</v>
      </c>
      <c r="F787">
        <v>67.2</v>
      </c>
      <c r="G787">
        <v>69.099999999999994</v>
      </c>
      <c r="H787">
        <v>4018</v>
      </c>
      <c r="I787">
        <v>243.83</v>
      </c>
      <c r="J787">
        <v>0.31</v>
      </c>
      <c r="K787">
        <v>68.387500000000003</v>
      </c>
    </row>
    <row r="788" spans="1:11" x14ac:dyDescent="0.25">
      <c r="A788" s="1" t="s">
        <v>10</v>
      </c>
      <c r="B788" s="1" t="s">
        <v>11</v>
      </c>
      <c r="C788" s="2">
        <v>44981</v>
      </c>
      <c r="D788">
        <v>69.150000000000006</v>
      </c>
      <c r="E788">
        <v>70.150000000000006</v>
      </c>
      <c r="F788">
        <v>67.8</v>
      </c>
      <c r="G788">
        <v>68.2</v>
      </c>
      <c r="H788">
        <v>5128</v>
      </c>
      <c r="I788">
        <v>240.65</v>
      </c>
      <c r="J788">
        <v>0.31</v>
      </c>
      <c r="K788">
        <v>68.825000000000003</v>
      </c>
    </row>
    <row r="789" spans="1:11" x14ac:dyDescent="0.25">
      <c r="A789" s="1" t="s">
        <v>10</v>
      </c>
      <c r="B789" s="1" t="s">
        <v>11</v>
      </c>
      <c r="C789" s="2">
        <v>44984</v>
      </c>
      <c r="D789">
        <v>67.650000000000006</v>
      </c>
      <c r="E789">
        <v>69.2</v>
      </c>
      <c r="F789">
        <v>66.849999999999994</v>
      </c>
      <c r="G789">
        <v>67.05</v>
      </c>
      <c r="H789">
        <v>2782</v>
      </c>
      <c r="I789">
        <v>236.6</v>
      </c>
      <c r="J789">
        <v>0.31</v>
      </c>
      <c r="K789">
        <v>67.6875</v>
      </c>
    </row>
    <row r="790" spans="1:11" x14ac:dyDescent="0.25">
      <c r="A790" s="1" t="s">
        <v>10</v>
      </c>
      <c r="B790" s="1" t="s">
        <v>11</v>
      </c>
      <c r="C790" s="2">
        <v>44985</v>
      </c>
      <c r="D790">
        <v>67.349999999999994</v>
      </c>
      <c r="E790">
        <v>68.3</v>
      </c>
      <c r="F790">
        <v>66.150000000000006</v>
      </c>
      <c r="G790">
        <v>67.25</v>
      </c>
      <c r="H790">
        <v>2239</v>
      </c>
      <c r="I790">
        <v>237.3</v>
      </c>
      <c r="J790">
        <v>0.31</v>
      </c>
      <c r="K790">
        <v>67.262500000000003</v>
      </c>
    </row>
    <row r="791" spans="1:11" x14ac:dyDescent="0.25">
      <c r="A791" s="1" t="s">
        <v>10</v>
      </c>
      <c r="B791" s="1" t="s">
        <v>11</v>
      </c>
      <c r="C791" s="2">
        <v>44986</v>
      </c>
      <c r="D791">
        <v>67.3</v>
      </c>
      <c r="E791">
        <v>70.95</v>
      </c>
      <c r="F791">
        <v>65.900000000000006</v>
      </c>
      <c r="G791">
        <v>70.14</v>
      </c>
      <c r="H791">
        <v>2634</v>
      </c>
      <c r="I791">
        <v>247.5</v>
      </c>
      <c r="J791">
        <v>0.31</v>
      </c>
      <c r="K791">
        <v>68.572500000000005</v>
      </c>
    </row>
    <row r="792" spans="1:11" x14ac:dyDescent="0.25">
      <c r="A792" s="1" t="s">
        <v>10</v>
      </c>
      <c r="B792" s="1" t="s">
        <v>11</v>
      </c>
      <c r="C792" s="2">
        <v>44987</v>
      </c>
      <c r="D792">
        <v>70.069999999999993</v>
      </c>
      <c r="E792">
        <v>70.7</v>
      </c>
      <c r="F792">
        <v>69.73</v>
      </c>
      <c r="G792">
        <v>70.02</v>
      </c>
      <c r="H792">
        <v>2909</v>
      </c>
      <c r="I792">
        <v>247.08</v>
      </c>
      <c r="J792">
        <v>0.31</v>
      </c>
      <c r="K792">
        <v>70.13</v>
      </c>
    </row>
    <row r="793" spans="1:11" x14ac:dyDescent="0.25">
      <c r="A793" s="1" t="s">
        <v>10</v>
      </c>
      <c r="B793" s="1" t="s">
        <v>11</v>
      </c>
      <c r="C793" s="2">
        <v>44988</v>
      </c>
      <c r="D793">
        <v>70</v>
      </c>
      <c r="E793">
        <v>71.7</v>
      </c>
      <c r="F793">
        <v>70</v>
      </c>
      <c r="G793">
        <v>70.599999999999994</v>
      </c>
      <c r="H793">
        <v>8530</v>
      </c>
      <c r="I793">
        <v>249.12</v>
      </c>
      <c r="J793">
        <v>0.31</v>
      </c>
      <c r="K793">
        <v>70.575000000000003</v>
      </c>
    </row>
    <row r="794" spans="1:11" x14ac:dyDescent="0.25">
      <c r="A794" s="1" t="s">
        <v>10</v>
      </c>
      <c r="B794" s="1" t="s">
        <v>11</v>
      </c>
      <c r="C794" s="2">
        <v>44991</v>
      </c>
      <c r="D794">
        <v>70.05</v>
      </c>
      <c r="E794">
        <v>72.8</v>
      </c>
      <c r="F794">
        <v>70.05</v>
      </c>
      <c r="G794">
        <v>72.03</v>
      </c>
      <c r="H794">
        <v>5144</v>
      </c>
      <c r="I794">
        <v>254.17</v>
      </c>
      <c r="J794">
        <v>0.31</v>
      </c>
      <c r="K794">
        <v>71.232500000000002</v>
      </c>
    </row>
    <row r="795" spans="1:11" x14ac:dyDescent="0.25">
      <c r="A795" s="1" t="s">
        <v>10</v>
      </c>
      <c r="B795" s="1" t="s">
        <v>11</v>
      </c>
      <c r="C795" s="2">
        <v>44993</v>
      </c>
      <c r="D795">
        <v>71.5</v>
      </c>
      <c r="E795">
        <v>72.010000000000005</v>
      </c>
      <c r="F795">
        <v>69.45</v>
      </c>
      <c r="G795">
        <v>71.900000000000006</v>
      </c>
      <c r="H795">
        <v>10117</v>
      </c>
      <c r="I795">
        <v>253.71</v>
      </c>
      <c r="J795">
        <v>0.31</v>
      </c>
      <c r="K795">
        <v>71.215000000000003</v>
      </c>
    </row>
    <row r="796" spans="1:11" x14ac:dyDescent="0.25">
      <c r="A796" s="1" t="s">
        <v>10</v>
      </c>
      <c r="B796" s="1" t="s">
        <v>11</v>
      </c>
      <c r="C796" s="2">
        <v>44994</v>
      </c>
      <c r="D796">
        <v>71.28</v>
      </c>
      <c r="E796">
        <v>73.95</v>
      </c>
      <c r="F796">
        <v>71.28</v>
      </c>
      <c r="G796">
        <v>72.75</v>
      </c>
      <c r="H796">
        <v>18011</v>
      </c>
      <c r="I796">
        <v>256.70999999999998</v>
      </c>
      <c r="J796">
        <v>0.31</v>
      </c>
      <c r="K796">
        <v>72.314999999999998</v>
      </c>
    </row>
    <row r="797" spans="1:11" x14ac:dyDescent="0.25">
      <c r="A797" s="1" t="s">
        <v>10</v>
      </c>
      <c r="B797" s="1" t="s">
        <v>11</v>
      </c>
      <c r="C797" s="2">
        <v>44995</v>
      </c>
      <c r="D797">
        <v>71.650000000000006</v>
      </c>
      <c r="E797">
        <v>72.55</v>
      </c>
      <c r="F797">
        <v>69.5</v>
      </c>
      <c r="G797">
        <v>69.77</v>
      </c>
      <c r="H797">
        <v>11944</v>
      </c>
      <c r="I797">
        <v>246.19</v>
      </c>
      <c r="J797">
        <v>0.31</v>
      </c>
      <c r="K797">
        <v>70.867500000000007</v>
      </c>
    </row>
    <row r="798" spans="1:11" x14ac:dyDescent="0.25">
      <c r="A798" s="1" t="s">
        <v>10</v>
      </c>
      <c r="B798" s="1" t="s">
        <v>11</v>
      </c>
      <c r="C798" s="2">
        <v>44998</v>
      </c>
      <c r="D798">
        <v>68.5</v>
      </c>
      <c r="E798">
        <v>70.3</v>
      </c>
      <c r="F798">
        <v>67.7</v>
      </c>
      <c r="G798">
        <v>68.09</v>
      </c>
      <c r="H798">
        <v>7129</v>
      </c>
      <c r="I798">
        <v>240.27</v>
      </c>
      <c r="J798">
        <v>0.31</v>
      </c>
      <c r="K798">
        <v>68.647499999999994</v>
      </c>
    </row>
    <row r="799" spans="1:11" x14ac:dyDescent="0.25">
      <c r="A799" s="1" t="s">
        <v>10</v>
      </c>
      <c r="B799" s="1" t="s">
        <v>11</v>
      </c>
      <c r="C799" s="2">
        <v>44999</v>
      </c>
      <c r="D799">
        <v>68.400000000000006</v>
      </c>
      <c r="E799">
        <v>68.739999999999995</v>
      </c>
      <c r="F799">
        <v>66.430000000000007</v>
      </c>
      <c r="G799">
        <v>67.62</v>
      </c>
      <c r="H799">
        <v>6370</v>
      </c>
      <c r="I799">
        <v>238.61</v>
      </c>
      <c r="J799">
        <v>0.31</v>
      </c>
      <c r="K799">
        <v>67.797499999999999</v>
      </c>
    </row>
    <row r="800" spans="1:11" x14ac:dyDescent="0.25">
      <c r="A800" s="1" t="s">
        <v>10</v>
      </c>
      <c r="B800" s="1" t="s">
        <v>11</v>
      </c>
      <c r="C800" s="2">
        <v>45000</v>
      </c>
      <c r="D800">
        <v>67.7</v>
      </c>
      <c r="E800">
        <v>68.72</v>
      </c>
      <c r="F800">
        <v>66.5</v>
      </c>
      <c r="G800">
        <v>66.94</v>
      </c>
      <c r="H800">
        <v>6561</v>
      </c>
      <c r="I800">
        <v>236.21</v>
      </c>
      <c r="J800">
        <v>0.31</v>
      </c>
      <c r="K800">
        <v>67.465000000000003</v>
      </c>
    </row>
    <row r="801" spans="1:11" x14ac:dyDescent="0.25">
      <c r="A801" s="1" t="s">
        <v>10</v>
      </c>
      <c r="B801" s="1" t="s">
        <v>11</v>
      </c>
      <c r="C801" s="2">
        <v>45001</v>
      </c>
      <c r="D801">
        <v>66.55</v>
      </c>
      <c r="E801">
        <v>67.17</v>
      </c>
      <c r="F801">
        <v>65</v>
      </c>
      <c r="G801">
        <v>65.459999999999994</v>
      </c>
      <c r="H801">
        <v>2855</v>
      </c>
      <c r="I801">
        <v>230.99</v>
      </c>
      <c r="J801">
        <v>0.31</v>
      </c>
      <c r="K801">
        <v>66.045000000000002</v>
      </c>
    </row>
    <row r="802" spans="1:11" x14ac:dyDescent="0.25">
      <c r="A802" s="1" t="s">
        <v>10</v>
      </c>
      <c r="B802" s="1" t="s">
        <v>11</v>
      </c>
      <c r="C802" s="2">
        <v>45002</v>
      </c>
      <c r="D802">
        <v>65.25</v>
      </c>
      <c r="E802">
        <v>67.349999999999994</v>
      </c>
      <c r="F802">
        <v>65.25</v>
      </c>
      <c r="G802">
        <v>66.67</v>
      </c>
      <c r="H802">
        <v>2671</v>
      </c>
      <c r="I802">
        <v>235.26</v>
      </c>
      <c r="J802">
        <v>0.31</v>
      </c>
      <c r="K802">
        <v>66.13</v>
      </c>
    </row>
    <row r="803" spans="1:11" x14ac:dyDescent="0.25">
      <c r="A803" s="1" t="s">
        <v>10</v>
      </c>
      <c r="B803" s="1" t="s">
        <v>11</v>
      </c>
      <c r="C803" s="2">
        <v>45005</v>
      </c>
      <c r="D803">
        <v>66.2</v>
      </c>
      <c r="E803">
        <v>66.3</v>
      </c>
      <c r="F803">
        <v>64.430000000000007</v>
      </c>
      <c r="G803">
        <v>65.62</v>
      </c>
      <c r="H803">
        <v>2348</v>
      </c>
      <c r="I803">
        <v>231.55</v>
      </c>
      <c r="J803">
        <v>0.31</v>
      </c>
      <c r="K803">
        <v>65.637500000000003</v>
      </c>
    </row>
    <row r="804" spans="1:11" x14ac:dyDescent="0.25">
      <c r="A804" s="1" t="s">
        <v>10</v>
      </c>
      <c r="B804" s="1" t="s">
        <v>11</v>
      </c>
      <c r="C804" s="2">
        <v>45006</v>
      </c>
      <c r="D804">
        <v>65.5</v>
      </c>
      <c r="E804">
        <v>66.849999999999994</v>
      </c>
      <c r="F804">
        <v>65.010000000000005</v>
      </c>
      <c r="G804">
        <v>66.22</v>
      </c>
      <c r="H804">
        <v>6018</v>
      </c>
      <c r="I804">
        <v>233.67</v>
      </c>
      <c r="J804">
        <v>0.31</v>
      </c>
      <c r="K804">
        <v>65.894999999999996</v>
      </c>
    </row>
    <row r="805" spans="1:11" x14ac:dyDescent="0.25">
      <c r="A805" s="1" t="s">
        <v>10</v>
      </c>
      <c r="B805" s="1" t="s">
        <v>11</v>
      </c>
      <c r="C805" s="2">
        <v>45007</v>
      </c>
      <c r="D805">
        <v>65.900000000000006</v>
      </c>
      <c r="E805">
        <v>68.5</v>
      </c>
      <c r="F805">
        <v>65.900000000000006</v>
      </c>
      <c r="G805">
        <v>68.25</v>
      </c>
      <c r="H805">
        <v>7489</v>
      </c>
      <c r="I805">
        <v>240.83</v>
      </c>
      <c r="J805">
        <v>0.31</v>
      </c>
      <c r="K805">
        <v>67.137500000000003</v>
      </c>
    </row>
    <row r="806" spans="1:11" x14ac:dyDescent="0.25">
      <c r="A806" s="1" t="s">
        <v>10</v>
      </c>
      <c r="B806" s="1" t="s">
        <v>11</v>
      </c>
      <c r="C806" s="2">
        <v>45008</v>
      </c>
      <c r="D806">
        <v>68.05</v>
      </c>
      <c r="E806">
        <v>69.45</v>
      </c>
      <c r="F806">
        <v>66.8</v>
      </c>
      <c r="G806">
        <v>68.849999999999994</v>
      </c>
      <c r="H806">
        <v>6351</v>
      </c>
      <c r="I806">
        <v>242.95</v>
      </c>
      <c r="J806">
        <v>0.31</v>
      </c>
      <c r="K806">
        <v>68.287499999999994</v>
      </c>
    </row>
    <row r="807" spans="1:11" x14ac:dyDescent="0.25">
      <c r="A807" s="1" t="s">
        <v>10</v>
      </c>
      <c r="B807" s="1" t="s">
        <v>11</v>
      </c>
      <c r="C807" s="2">
        <v>45009</v>
      </c>
      <c r="D807">
        <v>69.849999999999994</v>
      </c>
      <c r="E807">
        <v>69.849999999999994</v>
      </c>
      <c r="F807">
        <v>66.3</v>
      </c>
      <c r="G807">
        <v>66.77</v>
      </c>
      <c r="H807">
        <v>13392</v>
      </c>
      <c r="I807">
        <v>235.61</v>
      </c>
      <c r="J807">
        <v>0.31</v>
      </c>
      <c r="K807">
        <v>68.192499999999995</v>
      </c>
    </row>
    <row r="808" spans="1:11" x14ac:dyDescent="0.25">
      <c r="A808" s="1" t="s">
        <v>10</v>
      </c>
      <c r="B808" s="1" t="s">
        <v>11</v>
      </c>
      <c r="C808" s="2">
        <v>45012</v>
      </c>
      <c r="D808">
        <v>66.75</v>
      </c>
      <c r="E808">
        <v>67</v>
      </c>
      <c r="F808">
        <v>64</v>
      </c>
      <c r="G808">
        <v>64.27</v>
      </c>
      <c r="H808">
        <v>18178</v>
      </c>
      <c r="I808">
        <v>226.79</v>
      </c>
      <c r="J808">
        <v>0.31</v>
      </c>
      <c r="K808">
        <v>65.504999999999995</v>
      </c>
    </row>
    <row r="809" spans="1:11" x14ac:dyDescent="0.25">
      <c r="A809" s="1" t="s">
        <v>10</v>
      </c>
      <c r="B809" s="1" t="s">
        <v>11</v>
      </c>
      <c r="C809" s="2">
        <v>45013</v>
      </c>
      <c r="D809">
        <v>64.900000000000006</v>
      </c>
      <c r="E809">
        <v>66.63</v>
      </c>
      <c r="F809">
        <v>62.8</v>
      </c>
      <c r="G809">
        <v>64.510000000000005</v>
      </c>
      <c r="H809">
        <v>151394</v>
      </c>
      <c r="I809">
        <v>227.63</v>
      </c>
      <c r="J809">
        <v>0.31</v>
      </c>
      <c r="K809">
        <v>64.709999999999994</v>
      </c>
    </row>
    <row r="810" spans="1:11" x14ac:dyDescent="0.25">
      <c r="A810" s="1" t="s">
        <v>10</v>
      </c>
      <c r="B810" s="1" t="s">
        <v>11</v>
      </c>
      <c r="C810" s="2">
        <v>45014</v>
      </c>
      <c r="D810">
        <v>64.650000000000006</v>
      </c>
      <c r="E810">
        <v>66.650000000000006</v>
      </c>
      <c r="F810">
        <v>64.349999999999994</v>
      </c>
      <c r="G810">
        <v>65.69</v>
      </c>
      <c r="H810">
        <v>3506</v>
      </c>
      <c r="I810">
        <v>231.8</v>
      </c>
      <c r="J810">
        <v>0.31</v>
      </c>
      <c r="K810">
        <v>65.334999999999994</v>
      </c>
    </row>
    <row r="811" spans="1:11" x14ac:dyDescent="0.25">
      <c r="A811" s="1" t="s">
        <v>10</v>
      </c>
      <c r="B811" s="1" t="s">
        <v>11</v>
      </c>
      <c r="C811" s="2">
        <v>45016</v>
      </c>
      <c r="D811">
        <v>70.89</v>
      </c>
      <c r="E811">
        <v>77.150000000000006</v>
      </c>
      <c r="F811">
        <v>70.2</v>
      </c>
      <c r="G811">
        <v>74.23</v>
      </c>
      <c r="H811">
        <v>33135</v>
      </c>
      <c r="I811">
        <v>261.93</v>
      </c>
      <c r="J811">
        <v>0.31</v>
      </c>
      <c r="K811">
        <v>73.117500000000007</v>
      </c>
    </row>
    <row r="812" spans="1:11" x14ac:dyDescent="0.25">
      <c r="A812" s="1" t="s">
        <v>10</v>
      </c>
      <c r="B812" s="1" t="s">
        <v>11</v>
      </c>
      <c r="C812" s="2">
        <v>45019</v>
      </c>
      <c r="D812">
        <v>74.849999999999994</v>
      </c>
      <c r="E812">
        <v>80.5</v>
      </c>
      <c r="F812">
        <v>73.2</v>
      </c>
      <c r="G812">
        <v>78.290000000000006</v>
      </c>
      <c r="H812">
        <v>39823</v>
      </c>
      <c r="I812">
        <v>276.26</v>
      </c>
      <c r="J812">
        <v>0.31</v>
      </c>
      <c r="K812">
        <v>76.709999999999994</v>
      </c>
    </row>
    <row r="813" spans="1:11" x14ac:dyDescent="0.25">
      <c r="A813" s="1" t="s">
        <v>10</v>
      </c>
      <c r="B813" s="1" t="s">
        <v>11</v>
      </c>
      <c r="C813" s="2">
        <v>45021</v>
      </c>
      <c r="D813">
        <v>78.099999999999994</v>
      </c>
      <c r="E813">
        <v>79.319999999999993</v>
      </c>
      <c r="F813">
        <v>77.150000000000006</v>
      </c>
      <c r="G813">
        <v>78.260000000000005</v>
      </c>
      <c r="H813">
        <v>5302</v>
      </c>
      <c r="I813">
        <v>276.14999999999998</v>
      </c>
      <c r="J813">
        <v>0.31</v>
      </c>
      <c r="K813">
        <v>78.207499999999996</v>
      </c>
    </row>
    <row r="814" spans="1:11" x14ac:dyDescent="0.25">
      <c r="A814" s="1" t="s">
        <v>10</v>
      </c>
      <c r="B814" s="1" t="s">
        <v>11</v>
      </c>
      <c r="C814" s="2">
        <v>45022</v>
      </c>
      <c r="D814">
        <v>77.5</v>
      </c>
      <c r="E814">
        <v>80.28</v>
      </c>
      <c r="F814">
        <v>77.45</v>
      </c>
      <c r="G814">
        <v>79.819999999999993</v>
      </c>
      <c r="H814">
        <v>15385</v>
      </c>
      <c r="I814">
        <v>281.66000000000003</v>
      </c>
      <c r="J814">
        <v>0.31</v>
      </c>
      <c r="K814">
        <v>78.762500000000003</v>
      </c>
    </row>
    <row r="815" spans="1:11" x14ac:dyDescent="0.25">
      <c r="A815" s="1" t="s">
        <v>10</v>
      </c>
      <c r="B815" s="1" t="s">
        <v>11</v>
      </c>
      <c r="C815" s="2">
        <v>45026</v>
      </c>
      <c r="D815">
        <v>79.5</v>
      </c>
      <c r="E815">
        <v>81.849999999999994</v>
      </c>
      <c r="F815">
        <v>79</v>
      </c>
      <c r="G815">
        <v>80.86</v>
      </c>
      <c r="H815">
        <v>14481</v>
      </c>
      <c r="I815">
        <v>285.33</v>
      </c>
      <c r="J815">
        <v>0.31</v>
      </c>
      <c r="K815">
        <v>80.302499999999995</v>
      </c>
    </row>
    <row r="816" spans="1:11" x14ac:dyDescent="0.25">
      <c r="A816" s="1" t="s">
        <v>10</v>
      </c>
      <c r="B816" s="1" t="s">
        <v>11</v>
      </c>
      <c r="C816" s="2">
        <v>45027</v>
      </c>
      <c r="D816">
        <v>80.11</v>
      </c>
      <c r="E816">
        <v>85.56</v>
      </c>
      <c r="F816">
        <v>80.11</v>
      </c>
      <c r="G816">
        <v>83.71</v>
      </c>
      <c r="H816">
        <v>36160</v>
      </c>
      <c r="I816">
        <v>295.38</v>
      </c>
      <c r="J816">
        <v>0.31</v>
      </c>
      <c r="K816">
        <v>82.372500000000002</v>
      </c>
    </row>
    <row r="817" spans="1:11" x14ac:dyDescent="0.25">
      <c r="A817" s="1" t="s">
        <v>10</v>
      </c>
      <c r="B817" s="1" t="s">
        <v>11</v>
      </c>
      <c r="C817" s="2">
        <v>45028</v>
      </c>
      <c r="D817">
        <v>84.23</v>
      </c>
      <c r="E817">
        <v>85.75</v>
      </c>
      <c r="F817">
        <v>82.62</v>
      </c>
      <c r="G817">
        <v>83.02</v>
      </c>
      <c r="H817">
        <v>13536</v>
      </c>
      <c r="I817">
        <v>292.95</v>
      </c>
      <c r="J817">
        <v>0.31</v>
      </c>
      <c r="K817">
        <v>83.905000000000001</v>
      </c>
    </row>
    <row r="818" spans="1:11" x14ac:dyDescent="0.25">
      <c r="A818" s="1" t="s">
        <v>10</v>
      </c>
      <c r="B818" s="1" t="s">
        <v>11</v>
      </c>
      <c r="C818" s="2">
        <v>45029</v>
      </c>
      <c r="D818">
        <v>81.36</v>
      </c>
      <c r="E818">
        <v>83.75</v>
      </c>
      <c r="F818">
        <v>81.349999999999994</v>
      </c>
      <c r="G818">
        <v>82.88</v>
      </c>
      <c r="H818">
        <v>5916</v>
      </c>
      <c r="I818">
        <v>292.45</v>
      </c>
      <c r="J818">
        <v>0.31</v>
      </c>
      <c r="K818">
        <v>82.334999999999994</v>
      </c>
    </row>
    <row r="819" spans="1:11" x14ac:dyDescent="0.25">
      <c r="A819" s="1" t="s">
        <v>10</v>
      </c>
      <c r="B819" s="1" t="s">
        <v>11</v>
      </c>
      <c r="C819" s="2">
        <v>45033</v>
      </c>
      <c r="D819">
        <v>81.3</v>
      </c>
      <c r="E819">
        <v>82.85</v>
      </c>
      <c r="F819">
        <v>80.73</v>
      </c>
      <c r="G819">
        <v>82.24</v>
      </c>
      <c r="H819">
        <v>6657</v>
      </c>
      <c r="I819">
        <v>290.2</v>
      </c>
      <c r="J819">
        <v>0.31</v>
      </c>
      <c r="K819">
        <v>81.78</v>
      </c>
    </row>
    <row r="820" spans="1:11" x14ac:dyDescent="0.25">
      <c r="A820" s="1" t="s">
        <v>10</v>
      </c>
      <c r="B820" s="1" t="s">
        <v>11</v>
      </c>
      <c r="C820" s="2">
        <v>45034</v>
      </c>
      <c r="D820">
        <v>81.400000000000006</v>
      </c>
      <c r="E820">
        <v>84.23</v>
      </c>
      <c r="F820">
        <v>81.400000000000006</v>
      </c>
      <c r="G820">
        <v>82.34</v>
      </c>
      <c r="H820">
        <v>7671</v>
      </c>
      <c r="I820">
        <v>290.55</v>
      </c>
      <c r="J820">
        <v>0.31</v>
      </c>
      <c r="K820">
        <v>82.342500000000001</v>
      </c>
    </row>
    <row r="821" spans="1:11" x14ac:dyDescent="0.25">
      <c r="A821" s="1" t="s">
        <v>10</v>
      </c>
      <c r="B821" s="1" t="s">
        <v>11</v>
      </c>
      <c r="C821" s="2">
        <v>45035</v>
      </c>
      <c r="D821">
        <v>82.08</v>
      </c>
      <c r="E821">
        <v>83</v>
      </c>
      <c r="F821">
        <v>81.13</v>
      </c>
      <c r="G821">
        <v>81.540000000000006</v>
      </c>
      <c r="H821">
        <v>3875</v>
      </c>
      <c r="I821">
        <v>287.73</v>
      </c>
      <c r="J821">
        <v>0.31</v>
      </c>
      <c r="K821">
        <v>81.9375</v>
      </c>
    </row>
    <row r="822" spans="1:11" x14ac:dyDescent="0.25">
      <c r="A822" s="1" t="s">
        <v>10</v>
      </c>
      <c r="B822" s="1" t="s">
        <v>11</v>
      </c>
      <c r="C822" s="2">
        <v>45036</v>
      </c>
      <c r="D822">
        <v>81</v>
      </c>
      <c r="E822">
        <v>85.28</v>
      </c>
      <c r="F822">
        <v>81</v>
      </c>
      <c r="G822">
        <v>83.92</v>
      </c>
      <c r="H822">
        <v>5234</v>
      </c>
      <c r="I822">
        <v>296.12</v>
      </c>
      <c r="J822">
        <v>0.31</v>
      </c>
      <c r="K822">
        <v>82.8</v>
      </c>
    </row>
    <row r="823" spans="1:11" x14ac:dyDescent="0.25">
      <c r="A823" s="1" t="s">
        <v>10</v>
      </c>
      <c r="B823" s="1" t="s">
        <v>11</v>
      </c>
      <c r="C823" s="2">
        <v>45037</v>
      </c>
      <c r="D823">
        <v>82.25</v>
      </c>
      <c r="E823">
        <v>85.3</v>
      </c>
      <c r="F823">
        <v>82.25</v>
      </c>
      <c r="G823">
        <v>83.3</v>
      </c>
      <c r="H823">
        <v>16668</v>
      </c>
      <c r="I823">
        <v>293.94</v>
      </c>
      <c r="J823">
        <v>0.31</v>
      </c>
      <c r="K823">
        <v>83.275000000000006</v>
      </c>
    </row>
    <row r="824" spans="1:11" x14ac:dyDescent="0.25">
      <c r="A824" s="1" t="s">
        <v>10</v>
      </c>
      <c r="B824" s="1" t="s">
        <v>11</v>
      </c>
      <c r="C824" s="2">
        <v>45040</v>
      </c>
      <c r="D824">
        <v>83.3</v>
      </c>
      <c r="E824">
        <v>85.88</v>
      </c>
      <c r="F824">
        <v>83.3</v>
      </c>
      <c r="G824">
        <v>84.52</v>
      </c>
      <c r="H824">
        <v>7149</v>
      </c>
      <c r="I824">
        <v>298.24</v>
      </c>
      <c r="J824">
        <v>0.31</v>
      </c>
      <c r="K824">
        <v>84.25</v>
      </c>
    </row>
    <row r="825" spans="1:11" x14ac:dyDescent="0.25">
      <c r="A825" s="1" t="s">
        <v>10</v>
      </c>
      <c r="B825" s="1" t="s">
        <v>11</v>
      </c>
      <c r="C825" s="2">
        <v>45041</v>
      </c>
      <c r="D825">
        <v>84.18</v>
      </c>
      <c r="E825">
        <v>85.23</v>
      </c>
      <c r="F825">
        <v>82.32</v>
      </c>
      <c r="G825">
        <v>83.53</v>
      </c>
      <c r="H825">
        <v>5058</v>
      </c>
      <c r="I825">
        <v>294.75</v>
      </c>
      <c r="J825">
        <v>0.31</v>
      </c>
      <c r="K825">
        <v>83.814999999999998</v>
      </c>
    </row>
    <row r="826" spans="1:11" x14ac:dyDescent="0.25">
      <c r="A826" s="1" t="s">
        <v>10</v>
      </c>
      <c r="B826" s="1" t="s">
        <v>11</v>
      </c>
      <c r="C826" s="2">
        <v>45042</v>
      </c>
      <c r="D826">
        <v>83.73</v>
      </c>
      <c r="E826">
        <v>85.42</v>
      </c>
      <c r="F826">
        <v>79.66</v>
      </c>
      <c r="G826">
        <v>80.42</v>
      </c>
      <c r="H826">
        <v>8940</v>
      </c>
      <c r="I826">
        <v>283.77</v>
      </c>
      <c r="J826">
        <v>0.31</v>
      </c>
      <c r="K826">
        <v>82.307500000000005</v>
      </c>
    </row>
    <row r="827" spans="1:11" x14ac:dyDescent="0.25">
      <c r="A827" s="1" t="s">
        <v>10</v>
      </c>
      <c r="B827" s="1" t="s">
        <v>11</v>
      </c>
      <c r="C827" s="2">
        <v>45043</v>
      </c>
      <c r="D827">
        <v>80.72</v>
      </c>
      <c r="E827">
        <v>83.2</v>
      </c>
      <c r="F827">
        <v>80.72</v>
      </c>
      <c r="G827">
        <v>82.58</v>
      </c>
      <c r="H827">
        <v>15430</v>
      </c>
      <c r="I827">
        <v>291.39999999999998</v>
      </c>
      <c r="J827">
        <v>0.31</v>
      </c>
      <c r="K827">
        <v>81.805000000000007</v>
      </c>
    </row>
    <row r="828" spans="1:11" x14ac:dyDescent="0.25">
      <c r="A828" s="1" t="s">
        <v>10</v>
      </c>
      <c r="B828" s="1" t="s">
        <v>11</v>
      </c>
      <c r="C828" s="2">
        <v>45044</v>
      </c>
      <c r="D828">
        <v>81.099999999999994</v>
      </c>
      <c r="E828">
        <v>84.5</v>
      </c>
      <c r="F828">
        <v>81.099999999999994</v>
      </c>
      <c r="G828">
        <v>83.81</v>
      </c>
      <c r="H828">
        <v>3422</v>
      </c>
      <c r="I828">
        <v>295.74</v>
      </c>
      <c r="J828">
        <v>0.31</v>
      </c>
      <c r="K828">
        <v>82.627499999999998</v>
      </c>
    </row>
    <row r="829" spans="1:11" x14ac:dyDescent="0.25">
      <c r="A829" s="1" t="s">
        <v>10</v>
      </c>
      <c r="B829" s="1" t="s">
        <v>11</v>
      </c>
      <c r="C829" s="2">
        <v>45048</v>
      </c>
      <c r="D829">
        <v>82</v>
      </c>
      <c r="E829">
        <v>85.15</v>
      </c>
      <c r="F829">
        <v>82</v>
      </c>
      <c r="G829">
        <v>83.87</v>
      </c>
      <c r="H829">
        <v>11853</v>
      </c>
      <c r="I829">
        <v>295.95</v>
      </c>
      <c r="J829">
        <v>0.31</v>
      </c>
      <c r="K829">
        <v>83.254999999999995</v>
      </c>
    </row>
    <row r="830" spans="1:11" x14ac:dyDescent="0.25">
      <c r="A830" s="1" t="s">
        <v>10</v>
      </c>
      <c r="B830" s="1" t="s">
        <v>11</v>
      </c>
      <c r="C830" s="2">
        <v>45049</v>
      </c>
      <c r="D830">
        <v>83</v>
      </c>
      <c r="E830">
        <v>86.85</v>
      </c>
      <c r="F830">
        <v>83</v>
      </c>
      <c r="G830">
        <v>84.77</v>
      </c>
      <c r="H830">
        <v>10223</v>
      </c>
      <c r="I830">
        <v>299.12</v>
      </c>
      <c r="J830">
        <v>0.31</v>
      </c>
      <c r="K830">
        <v>84.405000000000001</v>
      </c>
    </row>
    <row r="831" spans="1:11" x14ac:dyDescent="0.25">
      <c r="A831" s="1" t="s">
        <v>10</v>
      </c>
      <c r="B831" s="1" t="s">
        <v>11</v>
      </c>
      <c r="C831" s="2">
        <v>45050</v>
      </c>
      <c r="D831">
        <v>85.8</v>
      </c>
      <c r="E831">
        <v>86.08</v>
      </c>
      <c r="F831">
        <v>83.43</v>
      </c>
      <c r="G831">
        <v>85.37</v>
      </c>
      <c r="H831">
        <v>5998</v>
      </c>
      <c r="I831">
        <v>301.24</v>
      </c>
      <c r="J831">
        <v>0.31</v>
      </c>
      <c r="K831">
        <v>85.17</v>
      </c>
    </row>
    <row r="832" spans="1:11" x14ac:dyDescent="0.25">
      <c r="A832" s="1" t="s">
        <v>10</v>
      </c>
      <c r="B832" s="1" t="s">
        <v>11</v>
      </c>
      <c r="C832" s="2">
        <v>45051</v>
      </c>
      <c r="D832">
        <v>85</v>
      </c>
      <c r="E832">
        <v>87</v>
      </c>
      <c r="F832">
        <v>83.1</v>
      </c>
      <c r="G832">
        <v>85.33</v>
      </c>
      <c r="H832">
        <v>18847</v>
      </c>
      <c r="I832">
        <v>301.10000000000002</v>
      </c>
      <c r="J832">
        <v>0.31</v>
      </c>
      <c r="K832">
        <v>85.107500000000002</v>
      </c>
    </row>
    <row r="833" spans="1:11" x14ac:dyDescent="0.25">
      <c r="A833" s="1" t="s">
        <v>10</v>
      </c>
      <c r="B833" s="1" t="s">
        <v>11</v>
      </c>
      <c r="C833" s="2">
        <v>45054</v>
      </c>
      <c r="D833">
        <v>85.3</v>
      </c>
      <c r="E833">
        <v>87</v>
      </c>
      <c r="F833">
        <v>84.2</v>
      </c>
      <c r="G833">
        <v>84.36</v>
      </c>
      <c r="H833">
        <v>9071</v>
      </c>
      <c r="I833">
        <v>297.68</v>
      </c>
      <c r="J833">
        <v>0.31</v>
      </c>
      <c r="K833">
        <v>85.215000000000003</v>
      </c>
    </row>
    <row r="834" spans="1:11" x14ac:dyDescent="0.25">
      <c r="A834" s="1" t="s">
        <v>10</v>
      </c>
      <c r="B834" s="1" t="s">
        <v>11</v>
      </c>
      <c r="C834" s="2">
        <v>45055</v>
      </c>
      <c r="D834">
        <v>83.65</v>
      </c>
      <c r="E834">
        <v>85</v>
      </c>
      <c r="F834">
        <v>82.16</v>
      </c>
      <c r="G834">
        <v>82.37</v>
      </c>
      <c r="H834">
        <v>13357</v>
      </c>
      <c r="I834">
        <v>290.64999999999998</v>
      </c>
      <c r="J834">
        <v>0.31</v>
      </c>
      <c r="K834">
        <v>83.295000000000002</v>
      </c>
    </row>
    <row r="835" spans="1:11" x14ac:dyDescent="0.25">
      <c r="A835" s="1" t="s">
        <v>10</v>
      </c>
      <c r="B835" s="1" t="s">
        <v>11</v>
      </c>
      <c r="C835" s="2">
        <v>45056</v>
      </c>
      <c r="D835">
        <v>82.4</v>
      </c>
      <c r="E835">
        <v>83.22</v>
      </c>
      <c r="F835">
        <v>81.8</v>
      </c>
      <c r="G835">
        <v>82.28</v>
      </c>
      <c r="H835">
        <v>2704</v>
      </c>
      <c r="I835">
        <v>290.33999999999997</v>
      </c>
      <c r="J835">
        <v>0.31</v>
      </c>
      <c r="K835">
        <v>82.424999999999997</v>
      </c>
    </row>
    <row r="836" spans="1:11" x14ac:dyDescent="0.25">
      <c r="A836" s="1" t="s">
        <v>10</v>
      </c>
      <c r="B836" s="1" t="s">
        <v>11</v>
      </c>
      <c r="C836" s="2">
        <v>45057</v>
      </c>
      <c r="D836">
        <v>82.65</v>
      </c>
      <c r="E836">
        <v>84</v>
      </c>
      <c r="F836">
        <v>82.65</v>
      </c>
      <c r="G836">
        <v>83.08</v>
      </c>
      <c r="H836">
        <v>1589</v>
      </c>
      <c r="I836">
        <v>293.16000000000003</v>
      </c>
      <c r="J836">
        <v>0.31</v>
      </c>
      <c r="K836">
        <v>83.094999999999999</v>
      </c>
    </row>
    <row r="837" spans="1:11" x14ac:dyDescent="0.25">
      <c r="A837" s="1" t="s">
        <v>10</v>
      </c>
      <c r="B837" s="1" t="s">
        <v>11</v>
      </c>
      <c r="C837" s="2">
        <v>45058</v>
      </c>
      <c r="D837">
        <v>82.7</v>
      </c>
      <c r="E837">
        <v>87.5</v>
      </c>
      <c r="F837">
        <v>82.7</v>
      </c>
      <c r="G837">
        <v>85.34</v>
      </c>
      <c r="H837">
        <v>5394</v>
      </c>
      <c r="I837">
        <v>301.14</v>
      </c>
      <c r="J837">
        <v>0.31</v>
      </c>
      <c r="K837">
        <v>84.56</v>
      </c>
    </row>
    <row r="838" spans="1:11" x14ac:dyDescent="0.25">
      <c r="A838" s="1" t="s">
        <v>10</v>
      </c>
      <c r="B838" s="1" t="s">
        <v>11</v>
      </c>
      <c r="C838" s="2">
        <v>45061</v>
      </c>
      <c r="D838">
        <v>85.99</v>
      </c>
      <c r="E838">
        <v>86</v>
      </c>
      <c r="F838">
        <v>81.75</v>
      </c>
      <c r="G838">
        <v>82.2</v>
      </c>
      <c r="H838">
        <v>17765</v>
      </c>
      <c r="I838">
        <v>290.06</v>
      </c>
      <c r="J838">
        <v>0.31</v>
      </c>
      <c r="K838">
        <v>83.984999999999999</v>
      </c>
    </row>
    <row r="839" spans="1:11" x14ac:dyDescent="0.25">
      <c r="A839" s="1" t="s">
        <v>10</v>
      </c>
      <c r="B839" s="1" t="s">
        <v>11</v>
      </c>
      <c r="C839" s="2">
        <v>45062</v>
      </c>
      <c r="D839">
        <v>84</v>
      </c>
      <c r="E839">
        <v>85</v>
      </c>
      <c r="F839">
        <v>81.900000000000006</v>
      </c>
      <c r="G839">
        <v>82.21</v>
      </c>
      <c r="H839">
        <v>15238</v>
      </c>
      <c r="I839">
        <v>290.08999999999997</v>
      </c>
      <c r="J839">
        <v>0.31</v>
      </c>
      <c r="K839">
        <v>83.277500000000003</v>
      </c>
    </row>
    <row r="840" spans="1:11" x14ac:dyDescent="0.25">
      <c r="A840" s="1" t="s">
        <v>10</v>
      </c>
      <c r="B840" s="1" t="s">
        <v>11</v>
      </c>
      <c r="C840" s="2">
        <v>45063</v>
      </c>
      <c r="D840">
        <v>83.01</v>
      </c>
      <c r="E840">
        <v>84.45</v>
      </c>
      <c r="F840">
        <v>82.4</v>
      </c>
      <c r="G840">
        <v>83.64</v>
      </c>
      <c r="H840">
        <v>35293</v>
      </c>
      <c r="I840">
        <v>295.14</v>
      </c>
      <c r="J840">
        <v>0.31</v>
      </c>
      <c r="K840">
        <v>83.375</v>
      </c>
    </row>
    <row r="841" spans="1:11" x14ac:dyDescent="0.25">
      <c r="A841" s="1" t="s">
        <v>10</v>
      </c>
      <c r="B841" s="1" t="s">
        <v>11</v>
      </c>
      <c r="C841" s="2">
        <v>45064</v>
      </c>
      <c r="D841">
        <v>84.3</v>
      </c>
      <c r="E841">
        <v>85.3</v>
      </c>
      <c r="F841">
        <v>82.52</v>
      </c>
      <c r="G841">
        <v>83.11</v>
      </c>
      <c r="H841">
        <v>12691</v>
      </c>
      <c r="I841">
        <v>293.27</v>
      </c>
      <c r="J841">
        <v>0.31</v>
      </c>
      <c r="K841">
        <v>83.807500000000005</v>
      </c>
    </row>
    <row r="842" spans="1:11" x14ac:dyDescent="0.25">
      <c r="A842" s="1" t="s">
        <v>10</v>
      </c>
      <c r="B842" s="1" t="s">
        <v>11</v>
      </c>
      <c r="C842" s="2">
        <v>45065</v>
      </c>
      <c r="D842">
        <v>83.11</v>
      </c>
      <c r="E842">
        <v>84.88</v>
      </c>
      <c r="F842">
        <v>83</v>
      </c>
      <c r="G842">
        <v>83.97</v>
      </c>
      <c r="H842">
        <v>11077</v>
      </c>
      <c r="I842">
        <v>296.3</v>
      </c>
      <c r="J842">
        <v>0.31</v>
      </c>
      <c r="K842">
        <v>83.74</v>
      </c>
    </row>
    <row r="843" spans="1:11" x14ac:dyDescent="0.25">
      <c r="A843" s="1" t="s">
        <v>10</v>
      </c>
      <c r="B843" s="1" t="s">
        <v>11</v>
      </c>
      <c r="C843" s="2">
        <v>45068</v>
      </c>
      <c r="D843">
        <v>83.55</v>
      </c>
      <c r="E843">
        <v>85.4</v>
      </c>
      <c r="F843">
        <v>83.55</v>
      </c>
      <c r="G843">
        <v>84</v>
      </c>
      <c r="H843">
        <v>7218</v>
      </c>
      <c r="I843">
        <v>296.41000000000003</v>
      </c>
      <c r="J843">
        <v>0.31</v>
      </c>
      <c r="K843">
        <v>84.125</v>
      </c>
    </row>
    <row r="844" spans="1:11" x14ac:dyDescent="0.25">
      <c r="A844" s="1" t="s">
        <v>10</v>
      </c>
      <c r="B844" s="1" t="s">
        <v>11</v>
      </c>
      <c r="C844" s="2">
        <v>45069</v>
      </c>
      <c r="D844">
        <v>84.42</v>
      </c>
      <c r="E844">
        <v>90</v>
      </c>
      <c r="F844">
        <v>83.88</v>
      </c>
      <c r="G844">
        <v>87.54</v>
      </c>
      <c r="H844">
        <v>52412</v>
      </c>
      <c r="I844">
        <v>308.89999999999998</v>
      </c>
      <c r="J844">
        <v>0.31</v>
      </c>
      <c r="K844">
        <v>86.46</v>
      </c>
    </row>
    <row r="845" spans="1:11" x14ac:dyDescent="0.25">
      <c r="A845" s="1" t="s">
        <v>10</v>
      </c>
      <c r="B845" s="1" t="s">
        <v>11</v>
      </c>
      <c r="C845" s="2">
        <v>45070</v>
      </c>
      <c r="D845">
        <v>87.77</v>
      </c>
      <c r="E845">
        <v>95</v>
      </c>
      <c r="F845">
        <v>87.27</v>
      </c>
      <c r="G845">
        <v>92.58</v>
      </c>
      <c r="H845">
        <v>64457</v>
      </c>
      <c r="I845">
        <v>326.68</v>
      </c>
      <c r="J845">
        <v>0.31</v>
      </c>
      <c r="K845">
        <v>90.655000000000001</v>
      </c>
    </row>
    <row r="846" spans="1:11" x14ac:dyDescent="0.25">
      <c r="A846" s="1" t="s">
        <v>10</v>
      </c>
      <c r="B846" s="1" t="s">
        <v>11</v>
      </c>
      <c r="C846" s="2">
        <v>45071</v>
      </c>
      <c r="D846">
        <v>92</v>
      </c>
      <c r="E846">
        <v>99.5</v>
      </c>
      <c r="F846">
        <v>92</v>
      </c>
      <c r="G846">
        <v>98.21</v>
      </c>
      <c r="H846">
        <v>158930</v>
      </c>
      <c r="I846">
        <v>346.55</v>
      </c>
      <c r="J846">
        <v>0.31</v>
      </c>
      <c r="K846">
        <v>95.427499999999995</v>
      </c>
    </row>
    <row r="847" spans="1:11" x14ac:dyDescent="0.25">
      <c r="A847" s="1" t="s">
        <v>10</v>
      </c>
      <c r="B847" s="1" t="s">
        <v>11</v>
      </c>
      <c r="C847" s="2">
        <v>45072</v>
      </c>
      <c r="D847">
        <v>98.06</v>
      </c>
      <c r="E847">
        <v>100.7</v>
      </c>
      <c r="F847">
        <v>92.67</v>
      </c>
      <c r="G847">
        <v>93.16</v>
      </c>
      <c r="H847">
        <v>48245</v>
      </c>
      <c r="I847">
        <v>328.73</v>
      </c>
      <c r="J847">
        <v>0.31</v>
      </c>
      <c r="K847">
        <v>96.147499999999994</v>
      </c>
    </row>
    <row r="848" spans="1:11" x14ac:dyDescent="0.25">
      <c r="A848" s="1" t="s">
        <v>10</v>
      </c>
      <c r="B848" s="1" t="s">
        <v>11</v>
      </c>
      <c r="C848" s="2">
        <v>45075</v>
      </c>
      <c r="D848">
        <v>93.78</v>
      </c>
      <c r="E848">
        <v>95.58</v>
      </c>
      <c r="F848">
        <v>92.33</v>
      </c>
      <c r="G848">
        <v>93.59</v>
      </c>
      <c r="H848">
        <v>15505</v>
      </c>
      <c r="I848">
        <v>330.25</v>
      </c>
      <c r="J848">
        <v>0.31</v>
      </c>
      <c r="K848">
        <v>93.82</v>
      </c>
    </row>
    <row r="849" spans="1:11" x14ac:dyDescent="0.25">
      <c r="A849" s="1" t="s">
        <v>10</v>
      </c>
      <c r="B849" s="1" t="s">
        <v>11</v>
      </c>
      <c r="C849" s="2">
        <v>45076</v>
      </c>
      <c r="D849">
        <v>93.5</v>
      </c>
      <c r="E849">
        <v>93.5</v>
      </c>
      <c r="F849">
        <v>90.81</v>
      </c>
      <c r="G849">
        <v>91.02</v>
      </c>
      <c r="H849">
        <v>12694</v>
      </c>
      <c r="I849">
        <v>321.18</v>
      </c>
      <c r="J849">
        <v>0.31</v>
      </c>
      <c r="K849">
        <v>92.207499999999996</v>
      </c>
    </row>
    <row r="850" spans="1:11" x14ac:dyDescent="0.25">
      <c r="A850" s="1" t="s">
        <v>10</v>
      </c>
      <c r="B850" s="1" t="s">
        <v>11</v>
      </c>
      <c r="C850" s="2">
        <v>45077</v>
      </c>
      <c r="D850">
        <v>92</v>
      </c>
      <c r="E850">
        <v>93.45</v>
      </c>
      <c r="F850">
        <v>91.77</v>
      </c>
      <c r="G850">
        <v>92.26</v>
      </c>
      <c r="H850">
        <v>1373</v>
      </c>
      <c r="I850">
        <v>325.55</v>
      </c>
      <c r="J850">
        <v>0.31</v>
      </c>
      <c r="K850">
        <v>92.37</v>
      </c>
    </row>
    <row r="851" spans="1:11" x14ac:dyDescent="0.25">
      <c r="A851" s="1" t="s">
        <v>10</v>
      </c>
      <c r="B851" s="1" t="s">
        <v>11</v>
      </c>
      <c r="C851" s="2">
        <v>45078</v>
      </c>
      <c r="D851">
        <v>93.88</v>
      </c>
      <c r="E851">
        <v>94.2</v>
      </c>
      <c r="F851">
        <v>92.01</v>
      </c>
      <c r="G851">
        <v>92.57</v>
      </c>
      <c r="H851">
        <v>13382</v>
      </c>
      <c r="I851">
        <v>326.64999999999998</v>
      </c>
      <c r="J851">
        <v>0.31</v>
      </c>
      <c r="K851">
        <v>93.165000000000006</v>
      </c>
    </row>
    <row r="852" spans="1:11" x14ac:dyDescent="0.25">
      <c r="A852" s="1" t="s">
        <v>10</v>
      </c>
      <c r="B852" s="1" t="s">
        <v>11</v>
      </c>
      <c r="C852" s="2">
        <v>45079</v>
      </c>
      <c r="D852">
        <v>92.1</v>
      </c>
      <c r="E852">
        <v>93.97</v>
      </c>
      <c r="F852">
        <v>89.9</v>
      </c>
      <c r="G852">
        <v>90.99</v>
      </c>
      <c r="H852">
        <v>3633</v>
      </c>
      <c r="I852">
        <v>321.07</v>
      </c>
      <c r="J852">
        <v>0.31</v>
      </c>
      <c r="K852">
        <v>91.74</v>
      </c>
    </row>
    <row r="853" spans="1:11" x14ac:dyDescent="0.25">
      <c r="A853" s="1" t="s">
        <v>10</v>
      </c>
      <c r="B853" s="1" t="s">
        <v>11</v>
      </c>
      <c r="C853" s="2">
        <v>45082</v>
      </c>
      <c r="D853">
        <v>91</v>
      </c>
      <c r="E853">
        <v>93.5</v>
      </c>
      <c r="F853">
        <v>90</v>
      </c>
      <c r="G853">
        <v>93.03</v>
      </c>
      <c r="H853">
        <v>10232</v>
      </c>
      <c r="I853">
        <v>328.27</v>
      </c>
      <c r="J853">
        <v>0.31</v>
      </c>
      <c r="K853">
        <v>91.882499999999993</v>
      </c>
    </row>
    <row r="854" spans="1:11" x14ac:dyDescent="0.25">
      <c r="A854" s="1" t="s">
        <v>10</v>
      </c>
      <c r="B854" s="1" t="s">
        <v>11</v>
      </c>
      <c r="C854" s="2">
        <v>45083</v>
      </c>
      <c r="D854">
        <v>91</v>
      </c>
      <c r="E854">
        <v>102.49</v>
      </c>
      <c r="F854">
        <v>91</v>
      </c>
      <c r="G854">
        <v>98.7</v>
      </c>
      <c r="H854">
        <v>124281</v>
      </c>
      <c r="I854">
        <v>348.28</v>
      </c>
      <c r="J854">
        <v>0.31</v>
      </c>
      <c r="K854">
        <v>95.797499999999999</v>
      </c>
    </row>
    <row r="855" spans="1:11" x14ac:dyDescent="0.25">
      <c r="A855" s="1" t="s">
        <v>10</v>
      </c>
      <c r="B855" s="1" t="s">
        <v>11</v>
      </c>
      <c r="C855" s="2">
        <v>45084</v>
      </c>
      <c r="D855">
        <v>99.79</v>
      </c>
      <c r="E855">
        <v>99.79</v>
      </c>
      <c r="F855">
        <v>94.85</v>
      </c>
      <c r="G855">
        <v>96.89</v>
      </c>
      <c r="H855">
        <v>54937</v>
      </c>
      <c r="I855">
        <v>341.89</v>
      </c>
      <c r="J855">
        <v>0.31</v>
      </c>
      <c r="K855">
        <v>97.83</v>
      </c>
    </row>
    <row r="856" spans="1:11" x14ac:dyDescent="0.25">
      <c r="A856" s="1" t="s">
        <v>10</v>
      </c>
      <c r="B856" s="1" t="s">
        <v>11</v>
      </c>
      <c r="C856" s="2">
        <v>45085</v>
      </c>
      <c r="D856">
        <v>95.45</v>
      </c>
      <c r="E856">
        <v>97.5</v>
      </c>
      <c r="F856">
        <v>93.65</v>
      </c>
      <c r="G856">
        <v>94.07</v>
      </c>
      <c r="H856">
        <v>32423</v>
      </c>
      <c r="I856">
        <v>331.94</v>
      </c>
      <c r="J856">
        <v>0.31</v>
      </c>
      <c r="K856">
        <v>95.167500000000004</v>
      </c>
    </row>
    <row r="857" spans="1:11" x14ac:dyDescent="0.25">
      <c r="A857" s="1" t="s">
        <v>10</v>
      </c>
      <c r="B857" s="1" t="s">
        <v>11</v>
      </c>
      <c r="C857" s="2">
        <v>45086</v>
      </c>
      <c r="D857">
        <v>95</v>
      </c>
      <c r="E857">
        <v>98.45</v>
      </c>
      <c r="F857">
        <v>95</v>
      </c>
      <c r="G857">
        <v>96.78</v>
      </c>
      <c r="H857">
        <v>18613</v>
      </c>
      <c r="I857">
        <v>341.5</v>
      </c>
      <c r="J857">
        <v>0.31</v>
      </c>
      <c r="K857">
        <v>96.307500000000005</v>
      </c>
    </row>
    <row r="858" spans="1:11" x14ac:dyDescent="0.25">
      <c r="A858" s="1" t="s">
        <v>10</v>
      </c>
      <c r="B858" s="1" t="s">
        <v>11</v>
      </c>
      <c r="C858" s="2">
        <v>45089</v>
      </c>
      <c r="D858">
        <v>96.21</v>
      </c>
      <c r="E858">
        <v>98.9</v>
      </c>
      <c r="F858">
        <v>95.01</v>
      </c>
      <c r="G858">
        <v>97.07</v>
      </c>
      <c r="H858">
        <v>24823</v>
      </c>
      <c r="I858">
        <v>342.53</v>
      </c>
      <c r="J858">
        <v>0.31</v>
      </c>
      <c r="K858">
        <v>96.797499999999999</v>
      </c>
    </row>
    <row r="859" spans="1:11" x14ac:dyDescent="0.25">
      <c r="A859" s="1" t="s">
        <v>10</v>
      </c>
      <c r="B859" s="1" t="s">
        <v>11</v>
      </c>
      <c r="C859" s="2">
        <v>45090</v>
      </c>
      <c r="D859">
        <v>95.21</v>
      </c>
      <c r="E859">
        <v>97.95</v>
      </c>
      <c r="F859">
        <v>95.21</v>
      </c>
      <c r="G859">
        <v>96.81</v>
      </c>
      <c r="H859">
        <v>11651</v>
      </c>
      <c r="I859">
        <v>341.61</v>
      </c>
      <c r="J859">
        <v>0.31</v>
      </c>
      <c r="K859">
        <v>96.295000000000002</v>
      </c>
    </row>
    <row r="860" spans="1:11" x14ac:dyDescent="0.25">
      <c r="A860" s="1" t="s">
        <v>10</v>
      </c>
      <c r="B860" s="1" t="s">
        <v>11</v>
      </c>
      <c r="C860" s="2">
        <v>45091</v>
      </c>
      <c r="D860">
        <v>96.75</v>
      </c>
      <c r="E860">
        <v>104</v>
      </c>
      <c r="F860">
        <v>96.75</v>
      </c>
      <c r="G860">
        <v>100.68</v>
      </c>
      <c r="H860">
        <v>33832</v>
      </c>
      <c r="I860">
        <v>355.26</v>
      </c>
      <c r="J860">
        <v>0.31</v>
      </c>
      <c r="K860">
        <v>99.545000000000002</v>
      </c>
    </row>
    <row r="861" spans="1:11" x14ac:dyDescent="0.25">
      <c r="A861" s="1" t="s">
        <v>10</v>
      </c>
      <c r="B861" s="1" t="s">
        <v>11</v>
      </c>
      <c r="C861" s="2">
        <v>45092</v>
      </c>
      <c r="D861">
        <v>100</v>
      </c>
      <c r="E861">
        <v>101.6</v>
      </c>
      <c r="F861">
        <v>97.55</v>
      </c>
      <c r="G861">
        <v>98.26</v>
      </c>
      <c r="H861">
        <v>24678</v>
      </c>
      <c r="I861">
        <v>346.73</v>
      </c>
      <c r="J861">
        <v>0.31</v>
      </c>
      <c r="K861">
        <v>99.352500000000006</v>
      </c>
    </row>
    <row r="862" spans="1:11" x14ac:dyDescent="0.25">
      <c r="A862" s="1" t="s">
        <v>10</v>
      </c>
      <c r="B862" s="1" t="s">
        <v>11</v>
      </c>
      <c r="C862" s="2">
        <v>45093</v>
      </c>
      <c r="D862">
        <v>98.3</v>
      </c>
      <c r="E862">
        <v>100.68</v>
      </c>
      <c r="F862">
        <v>95.65</v>
      </c>
      <c r="G862">
        <v>97.07</v>
      </c>
      <c r="H862">
        <v>24645</v>
      </c>
      <c r="I862">
        <v>342.53</v>
      </c>
      <c r="J862">
        <v>0.31</v>
      </c>
      <c r="K862">
        <v>97.924999999999997</v>
      </c>
    </row>
    <row r="863" spans="1:11" x14ac:dyDescent="0.25">
      <c r="A863" s="1" t="s">
        <v>10</v>
      </c>
      <c r="B863" s="1" t="s">
        <v>11</v>
      </c>
      <c r="C863" s="2">
        <v>45096</v>
      </c>
      <c r="D863">
        <v>96.61</v>
      </c>
      <c r="E863">
        <v>98.55</v>
      </c>
      <c r="F863">
        <v>95.52</v>
      </c>
      <c r="G863">
        <v>96.9</v>
      </c>
      <c r="H863">
        <v>25497</v>
      </c>
      <c r="I863">
        <v>341.93</v>
      </c>
      <c r="J863">
        <v>0.31</v>
      </c>
      <c r="K863">
        <v>96.894999999999996</v>
      </c>
    </row>
    <row r="864" spans="1:11" x14ac:dyDescent="0.25">
      <c r="A864" s="1" t="s">
        <v>10</v>
      </c>
      <c r="B864" s="1" t="s">
        <v>11</v>
      </c>
      <c r="C864" s="2">
        <v>45097</v>
      </c>
      <c r="D864">
        <v>98</v>
      </c>
      <c r="E864">
        <v>100</v>
      </c>
      <c r="F864">
        <v>97.5</v>
      </c>
      <c r="G864">
        <v>98.75</v>
      </c>
      <c r="H864">
        <v>13784</v>
      </c>
      <c r="I864">
        <v>348.45</v>
      </c>
      <c r="J864">
        <v>0.31</v>
      </c>
      <c r="K864">
        <v>98.5625</v>
      </c>
    </row>
    <row r="865" spans="1:11" x14ac:dyDescent="0.25">
      <c r="A865" s="1" t="s">
        <v>10</v>
      </c>
      <c r="B865" s="1" t="s">
        <v>11</v>
      </c>
      <c r="C865" s="2">
        <v>45098</v>
      </c>
      <c r="D865">
        <v>98</v>
      </c>
      <c r="E865">
        <v>103.5</v>
      </c>
      <c r="F865">
        <v>98</v>
      </c>
      <c r="G865">
        <v>101.34</v>
      </c>
      <c r="H865">
        <v>52083</v>
      </c>
      <c r="I865">
        <v>357.59</v>
      </c>
      <c r="J865">
        <v>0.31</v>
      </c>
      <c r="K865">
        <v>100.21</v>
      </c>
    </row>
    <row r="866" spans="1:11" x14ac:dyDescent="0.25">
      <c r="A866" s="1" t="s">
        <v>10</v>
      </c>
      <c r="B866" s="1" t="s">
        <v>11</v>
      </c>
      <c r="C866" s="2">
        <v>45099</v>
      </c>
      <c r="D866">
        <v>101.18</v>
      </c>
      <c r="E866">
        <v>101.18</v>
      </c>
      <c r="F866">
        <v>95.1</v>
      </c>
      <c r="G866">
        <v>96.83</v>
      </c>
      <c r="H866">
        <v>33886</v>
      </c>
      <c r="I866">
        <v>341.68</v>
      </c>
      <c r="J866">
        <v>0.31</v>
      </c>
      <c r="K866">
        <v>98.572500000000005</v>
      </c>
    </row>
    <row r="867" spans="1:11" x14ac:dyDescent="0.25">
      <c r="A867" s="1" t="s">
        <v>10</v>
      </c>
      <c r="B867" s="1" t="s">
        <v>11</v>
      </c>
      <c r="C867" s="2">
        <v>45100</v>
      </c>
      <c r="D867">
        <v>96</v>
      </c>
      <c r="E867">
        <v>96.5</v>
      </c>
      <c r="F867">
        <v>92.4</v>
      </c>
      <c r="G867">
        <v>93.08</v>
      </c>
      <c r="H867">
        <v>14056</v>
      </c>
      <c r="I867">
        <v>328.45</v>
      </c>
      <c r="J867">
        <v>0.31</v>
      </c>
      <c r="K867">
        <v>94.495000000000005</v>
      </c>
    </row>
    <row r="868" spans="1:11" x14ac:dyDescent="0.25">
      <c r="A868" s="1" t="s">
        <v>10</v>
      </c>
      <c r="B868" s="1" t="s">
        <v>11</v>
      </c>
      <c r="C868" s="2">
        <v>45103</v>
      </c>
      <c r="D868">
        <v>93.1</v>
      </c>
      <c r="E868">
        <v>94</v>
      </c>
      <c r="F868">
        <v>91.85</v>
      </c>
      <c r="G868">
        <v>92.25</v>
      </c>
      <c r="H868">
        <v>6572</v>
      </c>
      <c r="I868">
        <v>325.52</v>
      </c>
      <c r="J868">
        <v>0.31</v>
      </c>
      <c r="K868">
        <v>92.8</v>
      </c>
    </row>
    <row r="869" spans="1:11" x14ac:dyDescent="0.25">
      <c r="A869" s="1" t="s">
        <v>10</v>
      </c>
      <c r="B869" s="1" t="s">
        <v>11</v>
      </c>
      <c r="C869" s="2">
        <v>45104</v>
      </c>
      <c r="D869">
        <v>92</v>
      </c>
      <c r="E869">
        <v>94</v>
      </c>
      <c r="F869">
        <v>91.85</v>
      </c>
      <c r="G869">
        <v>93.42</v>
      </c>
      <c r="H869">
        <v>5759</v>
      </c>
      <c r="I869">
        <v>329.65</v>
      </c>
      <c r="J869">
        <v>0.31</v>
      </c>
      <c r="K869">
        <v>92.817499999999995</v>
      </c>
    </row>
    <row r="870" spans="1:11" x14ac:dyDescent="0.25">
      <c r="A870" s="1" t="s">
        <v>10</v>
      </c>
      <c r="B870" s="1" t="s">
        <v>11</v>
      </c>
      <c r="C870" s="2">
        <v>45105</v>
      </c>
      <c r="D870">
        <v>95</v>
      </c>
      <c r="E870">
        <v>95</v>
      </c>
      <c r="F870">
        <v>92.27</v>
      </c>
      <c r="G870">
        <v>92.35</v>
      </c>
      <c r="H870">
        <v>3235</v>
      </c>
      <c r="I870">
        <v>325.87</v>
      </c>
      <c r="J870">
        <v>0.31</v>
      </c>
      <c r="K870">
        <v>93.655000000000001</v>
      </c>
    </row>
    <row r="871" spans="1:11" x14ac:dyDescent="0.25">
      <c r="A871" s="1" t="s">
        <v>10</v>
      </c>
      <c r="B871" s="1" t="s">
        <v>11</v>
      </c>
      <c r="C871" s="2">
        <v>45107</v>
      </c>
      <c r="D871">
        <v>91.6</v>
      </c>
      <c r="E871">
        <v>96.87</v>
      </c>
      <c r="F871">
        <v>91.6</v>
      </c>
      <c r="G871">
        <v>93.87</v>
      </c>
      <c r="H871">
        <v>4425</v>
      </c>
      <c r="I871">
        <v>331.23</v>
      </c>
      <c r="J871">
        <v>0.31</v>
      </c>
      <c r="K871">
        <v>93.484999999999999</v>
      </c>
    </row>
    <row r="872" spans="1:11" x14ac:dyDescent="0.25">
      <c r="A872" s="1" t="s">
        <v>10</v>
      </c>
      <c r="B872" s="1" t="s">
        <v>11</v>
      </c>
      <c r="C872" s="2">
        <v>45110</v>
      </c>
      <c r="D872">
        <v>95</v>
      </c>
      <c r="E872">
        <v>95.95</v>
      </c>
      <c r="F872">
        <v>93.37</v>
      </c>
      <c r="G872">
        <v>94.56</v>
      </c>
      <c r="H872">
        <v>2155</v>
      </c>
      <c r="I872">
        <v>333.67</v>
      </c>
      <c r="J872">
        <v>0.31</v>
      </c>
      <c r="K872">
        <v>94.72</v>
      </c>
    </row>
    <row r="873" spans="1:11" x14ac:dyDescent="0.25">
      <c r="A873" s="1" t="s">
        <v>10</v>
      </c>
      <c r="B873" s="1" t="s">
        <v>11</v>
      </c>
      <c r="C873" s="2">
        <v>45111</v>
      </c>
      <c r="D873">
        <v>94</v>
      </c>
      <c r="E873">
        <v>95</v>
      </c>
      <c r="F873">
        <v>92.55</v>
      </c>
      <c r="G873">
        <v>93.9</v>
      </c>
      <c r="H873">
        <v>5553</v>
      </c>
      <c r="I873">
        <v>331.34</v>
      </c>
      <c r="J873">
        <v>0.31</v>
      </c>
      <c r="K873">
        <v>93.862499999999997</v>
      </c>
    </row>
    <row r="874" spans="1:11" x14ac:dyDescent="0.25">
      <c r="A874" s="1" t="s">
        <v>10</v>
      </c>
      <c r="B874" s="1" t="s">
        <v>11</v>
      </c>
      <c r="C874" s="2">
        <v>45112</v>
      </c>
      <c r="D874">
        <v>93.25</v>
      </c>
      <c r="E874">
        <v>93.99</v>
      </c>
      <c r="F874">
        <v>92.35</v>
      </c>
      <c r="G874">
        <v>93.1</v>
      </c>
      <c r="H874">
        <v>12026</v>
      </c>
      <c r="I874">
        <v>328.52</v>
      </c>
      <c r="J874">
        <v>0.31</v>
      </c>
      <c r="K874">
        <v>93.172499999999999</v>
      </c>
    </row>
    <row r="875" spans="1:11" x14ac:dyDescent="0.25">
      <c r="A875" s="1" t="s">
        <v>10</v>
      </c>
      <c r="B875" s="1" t="s">
        <v>11</v>
      </c>
      <c r="C875" s="2">
        <v>45113</v>
      </c>
      <c r="D875">
        <v>94</v>
      </c>
      <c r="E875">
        <v>94.3</v>
      </c>
      <c r="F875">
        <v>92.85</v>
      </c>
      <c r="G875">
        <v>93.91</v>
      </c>
      <c r="H875">
        <v>1443</v>
      </c>
      <c r="I875">
        <v>331.38</v>
      </c>
      <c r="J875">
        <v>0.31</v>
      </c>
      <c r="K875">
        <v>93.765000000000001</v>
      </c>
    </row>
    <row r="876" spans="1:11" x14ac:dyDescent="0.25">
      <c r="A876" s="1" t="s">
        <v>10</v>
      </c>
      <c r="B876" s="1" t="s">
        <v>11</v>
      </c>
      <c r="C876" s="2">
        <v>45114</v>
      </c>
      <c r="D876">
        <v>93.15</v>
      </c>
      <c r="E876">
        <v>94</v>
      </c>
      <c r="F876">
        <v>92.9</v>
      </c>
      <c r="G876">
        <v>92.95</v>
      </c>
      <c r="H876">
        <v>7201</v>
      </c>
      <c r="I876">
        <v>327.99</v>
      </c>
      <c r="J876">
        <v>0.31</v>
      </c>
      <c r="K876">
        <v>93.25</v>
      </c>
    </row>
    <row r="877" spans="1:11" x14ac:dyDescent="0.25">
      <c r="A877" s="1" t="s">
        <v>10</v>
      </c>
      <c r="B877" s="1" t="s">
        <v>11</v>
      </c>
      <c r="C877" s="2">
        <v>45117</v>
      </c>
      <c r="D877">
        <v>92.85</v>
      </c>
      <c r="E877">
        <v>94.65</v>
      </c>
      <c r="F877">
        <v>92</v>
      </c>
      <c r="G877">
        <v>92.84</v>
      </c>
      <c r="H877">
        <v>6076</v>
      </c>
      <c r="I877">
        <v>327.60000000000002</v>
      </c>
      <c r="J877">
        <v>0.31</v>
      </c>
      <c r="K877">
        <v>93.084999999999994</v>
      </c>
    </row>
    <row r="878" spans="1:11" x14ac:dyDescent="0.25">
      <c r="A878" s="1" t="s">
        <v>10</v>
      </c>
      <c r="B878" s="1" t="s">
        <v>11</v>
      </c>
      <c r="C878" s="2">
        <v>45118</v>
      </c>
      <c r="D878">
        <v>94.7</v>
      </c>
      <c r="E878">
        <v>94.7</v>
      </c>
      <c r="F878">
        <v>93</v>
      </c>
      <c r="G878">
        <v>94.35</v>
      </c>
      <c r="H878">
        <v>3235</v>
      </c>
      <c r="I878">
        <v>332.93</v>
      </c>
      <c r="J878">
        <v>0.31</v>
      </c>
      <c r="K878">
        <v>94.1875</v>
      </c>
    </row>
    <row r="879" spans="1:11" x14ac:dyDescent="0.25">
      <c r="A879" s="1" t="s">
        <v>10</v>
      </c>
      <c r="B879" s="1" t="s">
        <v>11</v>
      </c>
      <c r="C879" s="2">
        <v>45119</v>
      </c>
      <c r="D879">
        <v>93.45</v>
      </c>
      <c r="E879">
        <v>93.8</v>
      </c>
      <c r="F879">
        <v>90</v>
      </c>
      <c r="G879">
        <v>93.18</v>
      </c>
      <c r="H879">
        <v>9383</v>
      </c>
      <c r="I879">
        <v>328.8</v>
      </c>
      <c r="J879">
        <v>0.31</v>
      </c>
      <c r="K879">
        <v>92.607500000000002</v>
      </c>
    </row>
    <row r="880" spans="1:11" x14ac:dyDescent="0.25">
      <c r="A880" s="1" t="s">
        <v>10</v>
      </c>
      <c r="B880" s="1" t="s">
        <v>11</v>
      </c>
      <c r="C880" s="2">
        <v>45120</v>
      </c>
      <c r="D880">
        <v>93</v>
      </c>
      <c r="E880">
        <v>95.95</v>
      </c>
      <c r="F880">
        <v>93</v>
      </c>
      <c r="G880">
        <v>93.01</v>
      </c>
      <c r="H880">
        <v>5078</v>
      </c>
      <c r="I880">
        <v>328.2</v>
      </c>
      <c r="J880">
        <v>0.31</v>
      </c>
      <c r="K880">
        <v>93.74</v>
      </c>
    </row>
    <row r="881" spans="1:11" x14ac:dyDescent="0.25">
      <c r="A881" s="1" t="s">
        <v>10</v>
      </c>
      <c r="B881" s="1" t="s">
        <v>11</v>
      </c>
      <c r="C881" s="2">
        <v>45121</v>
      </c>
      <c r="D881">
        <v>93.02</v>
      </c>
      <c r="E881">
        <v>97</v>
      </c>
      <c r="F881">
        <v>93.01</v>
      </c>
      <c r="G881">
        <v>96.3</v>
      </c>
      <c r="H881">
        <v>4596</v>
      </c>
      <c r="I881">
        <v>339.81</v>
      </c>
      <c r="J881">
        <v>0.31</v>
      </c>
      <c r="K881">
        <v>94.832499999999996</v>
      </c>
    </row>
    <row r="882" spans="1:11" x14ac:dyDescent="0.25">
      <c r="A882" s="1" t="s">
        <v>10</v>
      </c>
      <c r="B882" s="1" t="s">
        <v>11</v>
      </c>
      <c r="C882" s="2">
        <v>45124</v>
      </c>
      <c r="D882">
        <v>97</v>
      </c>
      <c r="E882">
        <v>100.45</v>
      </c>
      <c r="F882">
        <v>97</v>
      </c>
      <c r="G882">
        <v>99.6</v>
      </c>
      <c r="H882">
        <v>13797</v>
      </c>
      <c r="I882">
        <v>351.45</v>
      </c>
      <c r="J882">
        <v>0.31</v>
      </c>
      <c r="K882">
        <v>98.512500000000003</v>
      </c>
    </row>
    <row r="883" spans="1:11" x14ac:dyDescent="0.25">
      <c r="A883" s="1" t="s">
        <v>10</v>
      </c>
      <c r="B883" s="1" t="s">
        <v>11</v>
      </c>
      <c r="C883" s="2">
        <v>45125</v>
      </c>
      <c r="D883">
        <v>100</v>
      </c>
      <c r="E883">
        <v>104</v>
      </c>
      <c r="F883">
        <v>98.2</v>
      </c>
      <c r="G883">
        <v>99.81</v>
      </c>
      <c r="H883">
        <v>12935</v>
      </c>
      <c r="I883">
        <v>352.19</v>
      </c>
      <c r="J883">
        <v>0.31</v>
      </c>
      <c r="K883">
        <v>100.5025</v>
      </c>
    </row>
    <row r="884" spans="1:11" x14ac:dyDescent="0.25">
      <c r="A884" s="1" t="s">
        <v>10</v>
      </c>
      <c r="B884" s="1" t="s">
        <v>11</v>
      </c>
      <c r="C884" s="2">
        <v>45126</v>
      </c>
      <c r="D884">
        <v>98.35</v>
      </c>
      <c r="E884">
        <v>101.55</v>
      </c>
      <c r="F884">
        <v>98</v>
      </c>
      <c r="G884">
        <v>99.6</v>
      </c>
      <c r="H884">
        <v>25188</v>
      </c>
      <c r="I884">
        <v>351.45</v>
      </c>
      <c r="J884">
        <v>0.31</v>
      </c>
      <c r="K884">
        <v>99.375</v>
      </c>
    </row>
    <row r="885" spans="1:11" x14ac:dyDescent="0.25">
      <c r="A885" s="1" t="s">
        <v>10</v>
      </c>
      <c r="B885" s="1" t="s">
        <v>11</v>
      </c>
      <c r="C885" s="2">
        <v>45127</v>
      </c>
      <c r="D885">
        <v>100</v>
      </c>
      <c r="E885">
        <v>102.45</v>
      </c>
      <c r="F885">
        <v>99.1</v>
      </c>
      <c r="G885">
        <v>101.17</v>
      </c>
      <c r="H885">
        <v>12457</v>
      </c>
      <c r="I885">
        <v>356.99</v>
      </c>
      <c r="J885">
        <v>0.31</v>
      </c>
      <c r="K885">
        <v>100.68</v>
      </c>
    </row>
    <row r="886" spans="1:11" x14ac:dyDescent="0.25">
      <c r="A886" s="1" t="s">
        <v>10</v>
      </c>
      <c r="B886" s="1" t="s">
        <v>11</v>
      </c>
      <c r="C886" s="2">
        <v>45128</v>
      </c>
      <c r="D886">
        <v>99.51</v>
      </c>
      <c r="E886">
        <v>103.95</v>
      </c>
      <c r="F886">
        <v>99.51</v>
      </c>
      <c r="G886">
        <v>100.89</v>
      </c>
      <c r="H886">
        <v>6230</v>
      </c>
      <c r="I886">
        <v>356.01</v>
      </c>
      <c r="J886">
        <v>0.31</v>
      </c>
      <c r="K886">
        <v>100.965</v>
      </c>
    </row>
    <row r="887" spans="1:11" x14ac:dyDescent="0.25">
      <c r="A887" s="1" t="s">
        <v>10</v>
      </c>
      <c r="B887" s="1" t="s">
        <v>11</v>
      </c>
      <c r="C887" s="2">
        <v>45131</v>
      </c>
      <c r="D887">
        <v>105.93</v>
      </c>
      <c r="E887">
        <v>105.93</v>
      </c>
      <c r="F887">
        <v>105.93</v>
      </c>
      <c r="G887">
        <v>105.93</v>
      </c>
      <c r="H887">
        <v>4856</v>
      </c>
      <c r="I887">
        <v>373.79</v>
      </c>
      <c r="J887">
        <v>0.31</v>
      </c>
      <c r="K887">
        <v>105.93</v>
      </c>
    </row>
    <row r="888" spans="1:11" x14ac:dyDescent="0.25">
      <c r="A888" s="1" t="s">
        <v>10</v>
      </c>
      <c r="B888" s="1" t="s">
        <v>11</v>
      </c>
      <c r="C888" s="2">
        <v>45132</v>
      </c>
      <c r="D888">
        <v>111.22</v>
      </c>
      <c r="E888">
        <v>111.22</v>
      </c>
      <c r="F888">
        <v>104</v>
      </c>
      <c r="G888">
        <v>111.22</v>
      </c>
      <c r="H888">
        <v>29829</v>
      </c>
      <c r="I888">
        <v>392.46</v>
      </c>
      <c r="J888">
        <v>0.31</v>
      </c>
      <c r="K888">
        <v>109.41500000000001</v>
      </c>
    </row>
    <row r="889" spans="1:11" x14ac:dyDescent="0.25">
      <c r="A889" s="1" t="s">
        <v>10</v>
      </c>
      <c r="B889" s="1" t="s">
        <v>11</v>
      </c>
      <c r="C889" s="2">
        <v>45133</v>
      </c>
      <c r="D889">
        <v>115.9</v>
      </c>
      <c r="E889">
        <v>116.78</v>
      </c>
      <c r="F889">
        <v>110</v>
      </c>
      <c r="G889">
        <v>116</v>
      </c>
      <c r="H889">
        <v>44234</v>
      </c>
      <c r="I889">
        <v>409.32</v>
      </c>
      <c r="J889">
        <v>0.31</v>
      </c>
      <c r="K889">
        <v>114.67</v>
      </c>
    </row>
    <row r="890" spans="1:11" x14ac:dyDescent="0.25">
      <c r="A890" s="1" t="s">
        <v>10</v>
      </c>
      <c r="B890" s="1" t="s">
        <v>11</v>
      </c>
      <c r="C890" s="2">
        <v>45134</v>
      </c>
      <c r="D890">
        <v>117.8</v>
      </c>
      <c r="E890">
        <v>121.8</v>
      </c>
      <c r="F890">
        <v>111</v>
      </c>
      <c r="G890">
        <v>121.26</v>
      </c>
      <c r="H890">
        <v>36539</v>
      </c>
      <c r="I890">
        <v>427.88</v>
      </c>
      <c r="J890">
        <v>0.31</v>
      </c>
      <c r="K890">
        <v>117.965</v>
      </c>
    </row>
    <row r="891" spans="1:11" x14ac:dyDescent="0.25">
      <c r="A891" s="1" t="s">
        <v>10</v>
      </c>
      <c r="B891" s="1" t="s">
        <v>11</v>
      </c>
      <c r="C891" s="2">
        <v>45135</v>
      </c>
      <c r="D891">
        <v>119.15</v>
      </c>
      <c r="E891">
        <v>119.15</v>
      </c>
      <c r="F891">
        <v>118.84</v>
      </c>
      <c r="G891">
        <v>118.84</v>
      </c>
      <c r="H891">
        <v>37952</v>
      </c>
      <c r="I891">
        <v>419.34</v>
      </c>
      <c r="J891">
        <v>0.31</v>
      </c>
      <c r="K891">
        <v>118.995</v>
      </c>
    </row>
    <row r="892" spans="1:11" x14ac:dyDescent="0.25">
      <c r="A892" s="1" t="s">
        <v>10</v>
      </c>
      <c r="B892" s="1" t="s">
        <v>11</v>
      </c>
      <c r="C892" s="2">
        <v>45138</v>
      </c>
      <c r="D892">
        <v>116.47</v>
      </c>
      <c r="E892">
        <v>116.47</v>
      </c>
      <c r="F892">
        <v>116.47</v>
      </c>
      <c r="G892">
        <v>116.47</v>
      </c>
      <c r="H892">
        <v>6452</v>
      </c>
      <c r="I892">
        <v>410.98</v>
      </c>
      <c r="J892">
        <v>0.31</v>
      </c>
      <c r="K892">
        <v>116.47</v>
      </c>
    </row>
    <row r="893" spans="1:11" x14ac:dyDescent="0.25">
      <c r="A893" s="1" t="s">
        <v>10</v>
      </c>
      <c r="B893" s="1" t="s">
        <v>11</v>
      </c>
      <c r="C893" s="2">
        <v>45139</v>
      </c>
      <c r="D893">
        <v>114.15</v>
      </c>
      <c r="E893">
        <v>114.15</v>
      </c>
      <c r="F893">
        <v>114.15</v>
      </c>
      <c r="G893">
        <v>114.15</v>
      </c>
      <c r="H893">
        <v>10832</v>
      </c>
      <c r="I893">
        <v>402.8</v>
      </c>
      <c r="J893">
        <v>0.31</v>
      </c>
      <c r="K893">
        <v>114.15</v>
      </c>
    </row>
    <row r="894" spans="1:11" x14ac:dyDescent="0.25">
      <c r="A894" s="1" t="s">
        <v>10</v>
      </c>
      <c r="B894" s="1" t="s">
        <v>11</v>
      </c>
      <c r="C894" s="2">
        <v>45140</v>
      </c>
      <c r="D894">
        <v>112.05</v>
      </c>
      <c r="E894">
        <v>112.05</v>
      </c>
      <c r="F894">
        <v>111.9</v>
      </c>
      <c r="G894">
        <v>111.9</v>
      </c>
      <c r="H894">
        <v>39438</v>
      </c>
      <c r="I894">
        <v>394.86</v>
      </c>
      <c r="J894">
        <v>0.31</v>
      </c>
      <c r="K894">
        <v>111.97499999999999</v>
      </c>
    </row>
    <row r="895" spans="1:11" x14ac:dyDescent="0.25">
      <c r="A895" s="1" t="s">
        <v>10</v>
      </c>
      <c r="B895" s="1" t="s">
        <v>11</v>
      </c>
      <c r="C895" s="2">
        <v>45141</v>
      </c>
      <c r="D895">
        <v>109.7</v>
      </c>
      <c r="E895">
        <v>109.7</v>
      </c>
      <c r="F895">
        <v>109.7</v>
      </c>
      <c r="G895">
        <v>109.7</v>
      </c>
      <c r="H895">
        <v>11952</v>
      </c>
      <c r="I895">
        <v>387.09</v>
      </c>
      <c r="J895">
        <v>0.31</v>
      </c>
      <c r="K895">
        <v>109.7</v>
      </c>
    </row>
    <row r="896" spans="1:11" x14ac:dyDescent="0.25">
      <c r="A896" s="1" t="s">
        <v>10</v>
      </c>
      <c r="B896" s="1" t="s">
        <v>11</v>
      </c>
      <c r="C896" s="2">
        <v>45142</v>
      </c>
      <c r="D896">
        <v>107.55</v>
      </c>
      <c r="E896">
        <v>107.55</v>
      </c>
      <c r="F896">
        <v>107.55</v>
      </c>
      <c r="G896">
        <v>107.55</v>
      </c>
      <c r="H896">
        <v>15794</v>
      </c>
      <c r="I896">
        <v>379.51</v>
      </c>
      <c r="J896">
        <v>0.31</v>
      </c>
      <c r="K896">
        <v>107.55</v>
      </c>
    </row>
    <row r="897" spans="1:11" x14ac:dyDescent="0.25">
      <c r="A897" s="1" t="s">
        <v>10</v>
      </c>
      <c r="B897" s="1" t="s">
        <v>11</v>
      </c>
      <c r="C897" s="2">
        <v>45145</v>
      </c>
      <c r="D897">
        <v>105.4</v>
      </c>
      <c r="E897">
        <v>108.15</v>
      </c>
      <c r="F897">
        <v>105.4</v>
      </c>
      <c r="G897">
        <v>108.15</v>
      </c>
      <c r="H897">
        <v>19305</v>
      </c>
      <c r="I897">
        <v>381.62</v>
      </c>
      <c r="J897">
        <v>0.31</v>
      </c>
      <c r="K897">
        <v>106.77500000000001</v>
      </c>
    </row>
    <row r="898" spans="1:11" x14ac:dyDescent="0.25">
      <c r="A898" s="1" t="s">
        <v>10</v>
      </c>
      <c r="B898" s="1" t="s">
        <v>11</v>
      </c>
      <c r="C898" s="2">
        <v>45146</v>
      </c>
      <c r="D898">
        <v>110.3</v>
      </c>
      <c r="E898">
        <v>110.3</v>
      </c>
      <c r="F898">
        <v>110.3</v>
      </c>
      <c r="G898">
        <v>110.3</v>
      </c>
      <c r="H898">
        <v>15470</v>
      </c>
      <c r="I898">
        <v>389.21</v>
      </c>
      <c r="J898">
        <v>0.31</v>
      </c>
      <c r="K898">
        <v>110.3</v>
      </c>
    </row>
    <row r="899" spans="1:11" x14ac:dyDescent="0.25">
      <c r="A899" s="1" t="s">
        <v>10</v>
      </c>
      <c r="B899" s="1" t="s">
        <v>11</v>
      </c>
      <c r="C899" s="2">
        <v>45147</v>
      </c>
      <c r="D899">
        <v>112.5</v>
      </c>
      <c r="E899">
        <v>112.5</v>
      </c>
      <c r="F899">
        <v>112.5</v>
      </c>
      <c r="G899">
        <v>112.5</v>
      </c>
      <c r="H899">
        <v>5508</v>
      </c>
      <c r="I899">
        <v>396.97</v>
      </c>
      <c r="J899">
        <v>0.31</v>
      </c>
      <c r="K899">
        <v>112.5</v>
      </c>
    </row>
    <row r="900" spans="1:11" x14ac:dyDescent="0.25">
      <c r="A900" s="1" t="s">
        <v>10</v>
      </c>
      <c r="B900" s="1" t="s">
        <v>11</v>
      </c>
      <c r="C900" s="2">
        <v>45148</v>
      </c>
      <c r="D900">
        <v>114.75</v>
      </c>
      <c r="E900">
        <v>114.75</v>
      </c>
      <c r="F900">
        <v>114.75</v>
      </c>
      <c r="G900">
        <v>114.75</v>
      </c>
      <c r="H900">
        <v>15659</v>
      </c>
      <c r="I900">
        <v>404.91</v>
      </c>
      <c r="J900">
        <v>0.31</v>
      </c>
      <c r="K900">
        <v>114.75</v>
      </c>
    </row>
    <row r="901" spans="1:11" x14ac:dyDescent="0.25">
      <c r="A901" s="1" t="s">
        <v>10</v>
      </c>
      <c r="B901" s="1" t="s">
        <v>11</v>
      </c>
      <c r="C901" s="2">
        <v>45149</v>
      </c>
      <c r="D901">
        <v>117</v>
      </c>
      <c r="E901">
        <v>117</v>
      </c>
      <c r="F901">
        <v>115.95</v>
      </c>
      <c r="G901">
        <v>116</v>
      </c>
      <c r="H901">
        <v>42765</v>
      </c>
      <c r="I901">
        <v>409.32</v>
      </c>
      <c r="J901">
        <v>0.31</v>
      </c>
      <c r="K901">
        <v>116.4875</v>
      </c>
    </row>
    <row r="902" spans="1:11" x14ac:dyDescent="0.25">
      <c r="A902" s="1" t="s">
        <v>10</v>
      </c>
      <c r="B902" s="1" t="s">
        <v>11</v>
      </c>
      <c r="C902" s="2">
        <v>45152</v>
      </c>
      <c r="D902">
        <v>113.7</v>
      </c>
      <c r="E902">
        <v>116</v>
      </c>
      <c r="F902">
        <v>113.7</v>
      </c>
      <c r="G902">
        <v>116</v>
      </c>
      <c r="H902">
        <v>19016</v>
      </c>
      <c r="I902">
        <v>409.32</v>
      </c>
      <c r="J902">
        <v>0.31</v>
      </c>
      <c r="K902">
        <v>114.85</v>
      </c>
    </row>
    <row r="903" spans="1:11" x14ac:dyDescent="0.25">
      <c r="A903" s="1" t="s">
        <v>10</v>
      </c>
      <c r="B903" s="1" t="s">
        <v>11</v>
      </c>
      <c r="C903" s="2">
        <v>45154</v>
      </c>
      <c r="D903">
        <v>115.8</v>
      </c>
      <c r="E903">
        <v>116</v>
      </c>
      <c r="F903">
        <v>113.7</v>
      </c>
      <c r="G903">
        <v>114</v>
      </c>
      <c r="H903">
        <v>10138</v>
      </c>
      <c r="I903">
        <v>402.27</v>
      </c>
      <c r="J903">
        <v>0.31</v>
      </c>
      <c r="K903">
        <v>114.875</v>
      </c>
    </row>
    <row r="904" spans="1:11" x14ac:dyDescent="0.25">
      <c r="A904" s="1" t="s">
        <v>10</v>
      </c>
      <c r="B904" s="1" t="s">
        <v>11</v>
      </c>
      <c r="C904" s="2">
        <v>45155</v>
      </c>
      <c r="D904">
        <v>113</v>
      </c>
      <c r="E904">
        <v>114</v>
      </c>
      <c r="F904">
        <v>111.75</v>
      </c>
      <c r="G904">
        <v>111.75</v>
      </c>
      <c r="H904">
        <v>11233</v>
      </c>
      <c r="I904">
        <v>394.33</v>
      </c>
      <c r="J904">
        <v>0.31</v>
      </c>
      <c r="K904">
        <v>112.625</v>
      </c>
    </row>
    <row r="905" spans="1:11" x14ac:dyDescent="0.25">
      <c r="A905" s="1" t="s">
        <v>10</v>
      </c>
      <c r="B905" s="1" t="s">
        <v>11</v>
      </c>
      <c r="C905" s="2">
        <v>45156</v>
      </c>
      <c r="D905">
        <v>110.25</v>
      </c>
      <c r="E905">
        <v>111.35</v>
      </c>
      <c r="F905">
        <v>110.25</v>
      </c>
      <c r="G905">
        <v>111</v>
      </c>
      <c r="H905">
        <v>4416</v>
      </c>
      <c r="I905">
        <v>391.68</v>
      </c>
      <c r="J905">
        <v>0.31</v>
      </c>
      <c r="K905">
        <v>110.71250000000001</v>
      </c>
    </row>
    <row r="906" spans="1:11" x14ac:dyDescent="0.25">
      <c r="A906" s="1" t="s">
        <v>10</v>
      </c>
      <c r="B906" s="1" t="s">
        <v>11</v>
      </c>
      <c r="C906" s="2">
        <v>45159</v>
      </c>
      <c r="D906">
        <v>111</v>
      </c>
      <c r="E906">
        <v>111</v>
      </c>
      <c r="F906">
        <v>109.65</v>
      </c>
      <c r="G906">
        <v>109.75</v>
      </c>
      <c r="H906">
        <v>2819</v>
      </c>
      <c r="I906">
        <v>387.27</v>
      </c>
      <c r="J906">
        <v>0.31</v>
      </c>
      <c r="K906">
        <v>110.35</v>
      </c>
    </row>
    <row r="907" spans="1:11" x14ac:dyDescent="0.25">
      <c r="A907" s="1" t="s">
        <v>10</v>
      </c>
      <c r="B907" s="1" t="s">
        <v>11</v>
      </c>
      <c r="C907" s="2">
        <v>45160</v>
      </c>
      <c r="D907">
        <v>110</v>
      </c>
      <c r="E907">
        <v>111.9</v>
      </c>
      <c r="F907">
        <v>110</v>
      </c>
      <c r="G907">
        <v>111.5</v>
      </c>
      <c r="H907">
        <v>3217</v>
      </c>
      <c r="I907">
        <v>393.44</v>
      </c>
      <c r="J907">
        <v>0.31</v>
      </c>
      <c r="K907">
        <v>110.85</v>
      </c>
    </row>
    <row r="908" spans="1:11" x14ac:dyDescent="0.25">
      <c r="A908" s="1" t="s">
        <v>10</v>
      </c>
      <c r="B908" s="1" t="s">
        <v>11</v>
      </c>
      <c r="C908" s="2">
        <v>45161</v>
      </c>
      <c r="D908">
        <v>111.35</v>
      </c>
      <c r="E908">
        <v>111.35</v>
      </c>
      <c r="F908">
        <v>109.45</v>
      </c>
      <c r="G908">
        <v>110</v>
      </c>
      <c r="H908">
        <v>12541</v>
      </c>
      <c r="I908">
        <v>388.15</v>
      </c>
      <c r="J908">
        <v>0.31</v>
      </c>
      <c r="K908">
        <v>110.53749999999999</v>
      </c>
    </row>
    <row r="909" spans="1:11" x14ac:dyDescent="0.25">
      <c r="A909" s="1" t="s">
        <v>10</v>
      </c>
      <c r="B909" s="1" t="s">
        <v>11</v>
      </c>
      <c r="C909" s="2">
        <v>45162</v>
      </c>
      <c r="D909">
        <v>110.8</v>
      </c>
      <c r="E909">
        <v>112</v>
      </c>
      <c r="F909">
        <v>110.8</v>
      </c>
      <c r="G909">
        <v>112</v>
      </c>
      <c r="H909">
        <v>11618</v>
      </c>
      <c r="I909">
        <v>395.21</v>
      </c>
      <c r="J909">
        <v>0.31</v>
      </c>
      <c r="K909">
        <v>111.4</v>
      </c>
    </row>
    <row r="910" spans="1:11" x14ac:dyDescent="0.25">
      <c r="A910" s="1" t="s">
        <v>10</v>
      </c>
      <c r="B910" s="1" t="s">
        <v>11</v>
      </c>
      <c r="C910" s="2">
        <v>45163</v>
      </c>
      <c r="D910">
        <v>114.2</v>
      </c>
      <c r="E910">
        <v>114.2</v>
      </c>
      <c r="F910">
        <v>114.2</v>
      </c>
      <c r="G910">
        <v>114.2</v>
      </c>
      <c r="H910">
        <v>2021</v>
      </c>
      <c r="I910">
        <v>402.97</v>
      </c>
      <c r="J910">
        <v>0.31</v>
      </c>
      <c r="K910">
        <v>114.2</v>
      </c>
    </row>
    <row r="911" spans="1:11" x14ac:dyDescent="0.25">
      <c r="A911" s="1" t="s">
        <v>10</v>
      </c>
      <c r="B911" s="1" t="s">
        <v>11</v>
      </c>
      <c r="C911" s="2">
        <v>45166</v>
      </c>
      <c r="D911">
        <v>116.45</v>
      </c>
      <c r="E911">
        <v>116.45</v>
      </c>
      <c r="F911">
        <v>116.45</v>
      </c>
      <c r="G911">
        <v>116.45</v>
      </c>
      <c r="H911">
        <v>2506</v>
      </c>
      <c r="I911">
        <v>410.91</v>
      </c>
      <c r="J911">
        <v>0.31</v>
      </c>
      <c r="K911">
        <v>116.45</v>
      </c>
    </row>
    <row r="912" spans="1:11" x14ac:dyDescent="0.25">
      <c r="A912" s="1" t="s">
        <v>10</v>
      </c>
      <c r="B912" s="1" t="s">
        <v>11</v>
      </c>
      <c r="C912" s="2">
        <v>45167</v>
      </c>
      <c r="D912">
        <v>118.75</v>
      </c>
      <c r="E912">
        <v>118.75</v>
      </c>
      <c r="F912">
        <v>117</v>
      </c>
      <c r="G912">
        <v>117</v>
      </c>
      <c r="H912">
        <v>8278</v>
      </c>
      <c r="I912">
        <v>412.85</v>
      </c>
      <c r="J912">
        <v>0.31</v>
      </c>
      <c r="K912">
        <v>117.875</v>
      </c>
    </row>
    <row r="913" spans="1:11" x14ac:dyDescent="0.25">
      <c r="A913" s="1" t="s">
        <v>10</v>
      </c>
      <c r="B913" s="1" t="s">
        <v>11</v>
      </c>
      <c r="C913" s="2">
        <v>45168</v>
      </c>
      <c r="D913">
        <v>117.1</v>
      </c>
      <c r="E913">
        <v>118.75</v>
      </c>
      <c r="F913">
        <v>115.2</v>
      </c>
      <c r="G913">
        <v>115.2</v>
      </c>
      <c r="H913">
        <v>4234</v>
      </c>
      <c r="I913">
        <v>406.5</v>
      </c>
      <c r="J913">
        <v>0.31</v>
      </c>
      <c r="K913">
        <v>116.5625</v>
      </c>
    </row>
    <row r="914" spans="1:11" x14ac:dyDescent="0.25">
      <c r="A914" s="1" t="s">
        <v>10</v>
      </c>
      <c r="B914" s="1" t="s">
        <v>11</v>
      </c>
      <c r="C914" s="2">
        <v>45169</v>
      </c>
      <c r="D914">
        <v>115</v>
      </c>
      <c r="E914">
        <v>117</v>
      </c>
      <c r="F914">
        <v>115</v>
      </c>
      <c r="G914">
        <v>116</v>
      </c>
      <c r="H914">
        <v>8482</v>
      </c>
      <c r="I914">
        <v>409.32</v>
      </c>
      <c r="J914">
        <v>0.31</v>
      </c>
      <c r="K914">
        <v>115.75</v>
      </c>
    </row>
    <row r="915" spans="1:11" x14ac:dyDescent="0.25">
      <c r="A915" s="1" t="s">
        <v>10</v>
      </c>
      <c r="B915" s="1" t="s">
        <v>11</v>
      </c>
      <c r="C915" s="2">
        <v>45170</v>
      </c>
      <c r="D915">
        <v>115.05</v>
      </c>
      <c r="E915">
        <v>115.95</v>
      </c>
      <c r="F915">
        <v>114.9</v>
      </c>
      <c r="G915">
        <v>114.9</v>
      </c>
      <c r="H915">
        <v>5860</v>
      </c>
      <c r="I915">
        <v>405.44</v>
      </c>
      <c r="J915">
        <v>0.31</v>
      </c>
      <c r="K915">
        <v>115.2</v>
      </c>
    </row>
    <row r="916" spans="1:11" x14ac:dyDescent="0.25">
      <c r="A916" s="1" t="s">
        <v>10</v>
      </c>
      <c r="B916" s="1" t="s">
        <v>11</v>
      </c>
      <c r="C916" s="2">
        <v>45173</v>
      </c>
      <c r="D916">
        <v>120.6</v>
      </c>
      <c r="E916">
        <v>120.6</v>
      </c>
      <c r="F916">
        <v>115.2</v>
      </c>
      <c r="G916">
        <v>120.6</v>
      </c>
      <c r="H916">
        <v>8329</v>
      </c>
      <c r="I916">
        <v>425.56</v>
      </c>
      <c r="J916">
        <v>0.31</v>
      </c>
      <c r="K916">
        <v>119.25</v>
      </c>
    </row>
    <row r="917" spans="1:11" x14ac:dyDescent="0.25">
      <c r="A917" s="1" t="s">
        <v>10</v>
      </c>
      <c r="B917" s="1" t="s">
        <v>11</v>
      </c>
      <c r="C917" s="2">
        <v>45174</v>
      </c>
      <c r="D917">
        <v>126.6</v>
      </c>
      <c r="E917">
        <v>126.6</v>
      </c>
      <c r="F917">
        <v>126.6</v>
      </c>
      <c r="G917">
        <v>126.6</v>
      </c>
      <c r="H917">
        <v>2550</v>
      </c>
      <c r="I917">
        <v>446.73</v>
      </c>
      <c r="J917">
        <v>0.31</v>
      </c>
      <c r="K917">
        <v>126.6</v>
      </c>
    </row>
    <row r="918" spans="1:11" x14ac:dyDescent="0.25">
      <c r="A918" s="1" t="s">
        <v>10</v>
      </c>
      <c r="B918" s="1" t="s">
        <v>11</v>
      </c>
      <c r="C918" s="2">
        <v>45175</v>
      </c>
      <c r="D918">
        <v>132.9</v>
      </c>
      <c r="E918">
        <v>132.9</v>
      </c>
      <c r="F918">
        <v>129.94999999999999</v>
      </c>
      <c r="G918">
        <v>132.9</v>
      </c>
      <c r="H918">
        <v>25174</v>
      </c>
      <c r="I918">
        <v>468.96</v>
      </c>
      <c r="J918">
        <v>0.31</v>
      </c>
      <c r="K918">
        <v>132.16249999999999</v>
      </c>
    </row>
    <row r="919" spans="1:11" x14ac:dyDescent="0.25">
      <c r="A919" s="1" t="s">
        <v>10</v>
      </c>
      <c r="B919" s="1" t="s">
        <v>11</v>
      </c>
      <c r="C919" s="2">
        <v>45176</v>
      </c>
      <c r="D919">
        <v>133</v>
      </c>
      <c r="E919">
        <v>139.5</v>
      </c>
      <c r="F919">
        <v>126.3</v>
      </c>
      <c r="G919">
        <v>127.5</v>
      </c>
      <c r="H919">
        <v>38819</v>
      </c>
      <c r="I919">
        <v>449.9</v>
      </c>
      <c r="J919">
        <v>0.31</v>
      </c>
      <c r="K919">
        <v>131.57499999999999</v>
      </c>
    </row>
    <row r="920" spans="1:11" x14ac:dyDescent="0.25">
      <c r="A920" s="1" t="s">
        <v>10</v>
      </c>
      <c r="B920" s="1" t="s">
        <v>11</v>
      </c>
      <c r="C920" s="2">
        <v>45177</v>
      </c>
      <c r="D920">
        <v>127.5</v>
      </c>
      <c r="E920">
        <v>129.1</v>
      </c>
      <c r="F920">
        <v>123.1</v>
      </c>
      <c r="G920">
        <v>124.35</v>
      </c>
      <c r="H920">
        <v>15722</v>
      </c>
      <c r="I920">
        <v>438.79</v>
      </c>
      <c r="J920">
        <v>0.31</v>
      </c>
      <c r="K920">
        <v>126.0125</v>
      </c>
    </row>
    <row r="921" spans="1:11" x14ac:dyDescent="0.25">
      <c r="A921" s="1" t="s">
        <v>10</v>
      </c>
      <c r="B921" s="1" t="s">
        <v>11</v>
      </c>
      <c r="C921" s="2">
        <v>45180</v>
      </c>
      <c r="D921">
        <v>121.8</v>
      </c>
      <c r="E921">
        <v>126</v>
      </c>
      <c r="F921">
        <v>121.8</v>
      </c>
      <c r="G921">
        <v>124.7</v>
      </c>
      <c r="H921">
        <v>11764</v>
      </c>
      <c r="I921">
        <v>440.02</v>
      </c>
      <c r="J921">
        <v>0.31</v>
      </c>
      <c r="K921">
        <v>123.575</v>
      </c>
    </row>
    <row r="922" spans="1:11" x14ac:dyDescent="0.25">
      <c r="A922" s="1" t="s">
        <v>10</v>
      </c>
      <c r="B922" s="1" t="s">
        <v>11</v>
      </c>
      <c r="C922" s="2">
        <v>45181</v>
      </c>
      <c r="D922">
        <v>124.1</v>
      </c>
      <c r="E922">
        <v>124.15</v>
      </c>
      <c r="F922">
        <v>118.5</v>
      </c>
      <c r="G922">
        <v>118.8</v>
      </c>
      <c r="H922">
        <v>9866</v>
      </c>
      <c r="I922">
        <v>419.2</v>
      </c>
      <c r="J922">
        <v>0.31</v>
      </c>
      <c r="K922">
        <v>121.3875</v>
      </c>
    </row>
    <row r="923" spans="1:11" x14ac:dyDescent="0.25">
      <c r="A923" s="1" t="s">
        <v>10</v>
      </c>
      <c r="B923" s="1" t="s">
        <v>11</v>
      </c>
      <c r="C923" s="2">
        <v>45182</v>
      </c>
      <c r="D923">
        <v>118.9</v>
      </c>
      <c r="E923">
        <v>122.85</v>
      </c>
      <c r="F923">
        <v>112.9</v>
      </c>
      <c r="G923">
        <v>122.2</v>
      </c>
      <c r="H923">
        <v>9745</v>
      </c>
      <c r="I923">
        <v>431.2</v>
      </c>
      <c r="J923">
        <v>0.31</v>
      </c>
      <c r="K923">
        <v>119.21250000000001</v>
      </c>
    </row>
    <row r="924" spans="1:11" x14ac:dyDescent="0.25">
      <c r="A924" s="1" t="s">
        <v>10</v>
      </c>
      <c r="B924" s="1" t="s">
        <v>11</v>
      </c>
      <c r="C924" s="2">
        <v>45183</v>
      </c>
      <c r="D924">
        <v>125.75</v>
      </c>
      <c r="E924">
        <v>127.5</v>
      </c>
      <c r="F924">
        <v>122</v>
      </c>
      <c r="G924">
        <v>127</v>
      </c>
      <c r="H924">
        <v>10872</v>
      </c>
      <c r="I924">
        <v>448.14</v>
      </c>
      <c r="J924">
        <v>0.31</v>
      </c>
      <c r="K924">
        <v>125.5625</v>
      </c>
    </row>
    <row r="925" spans="1:11" x14ac:dyDescent="0.25">
      <c r="A925" s="1" t="s">
        <v>10</v>
      </c>
      <c r="B925" s="1" t="s">
        <v>11</v>
      </c>
      <c r="C925" s="2">
        <v>45184</v>
      </c>
      <c r="D925">
        <v>126.75</v>
      </c>
      <c r="E925">
        <v>128</v>
      </c>
      <c r="F925">
        <v>122.1</v>
      </c>
      <c r="G925">
        <v>124.95</v>
      </c>
      <c r="H925">
        <v>8659</v>
      </c>
      <c r="I925">
        <v>440.9</v>
      </c>
      <c r="J925">
        <v>0.31</v>
      </c>
      <c r="K925">
        <v>125.45</v>
      </c>
    </row>
    <row r="926" spans="1:11" x14ac:dyDescent="0.25">
      <c r="A926" s="1" t="s">
        <v>10</v>
      </c>
      <c r="B926" s="1" t="s">
        <v>11</v>
      </c>
      <c r="C926" s="2">
        <v>45187</v>
      </c>
      <c r="D926">
        <v>122.5</v>
      </c>
      <c r="E926">
        <v>126.9</v>
      </c>
      <c r="F926">
        <v>122.5</v>
      </c>
      <c r="G926">
        <v>126.85</v>
      </c>
      <c r="H926">
        <v>4901</v>
      </c>
      <c r="I926">
        <v>447.61</v>
      </c>
      <c r="J926">
        <v>0.31</v>
      </c>
      <c r="K926">
        <v>124.6875</v>
      </c>
    </row>
    <row r="927" spans="1:11" x14ac:dyDescent="0.25">
      <c r="A927" s="1" t="s">
        <v>10</v>
      </c>
      <c r="B927" s="1" t="s">
        <v>11</v>
      </c>
      <c r="C927" s="2">
        <v>45189</v>
      </c>
      <c r="D927">
        <v>121.5</v>
      </c>
      <c r="E927">
        <v>126</v>
      </c>
      <c r="F927">
        <v>121.5</v>
      </c>
      <c r="G927">
        <v>123.35</v>
      </c>
      <c r="H927">
        <v>8394</v>
      </c>
      <c r="I927">
        <v>435.26</v>
      </c>
      <c r="J927">
        <v>0.31</v>
      </c>
      <c r="K927">
        <v>123.08750000000001</v>
      </c>
    </row>
    <row r="928" spans="1:11" x14ac:dyDescent="0.25">
      <c r="A928" s="1" t="s">
        <v>10</v>
      </c>
      <c r="B928" s="1" t="s">
        <v>11</v>
      </c>
      <c r="C928" s="2">
        <v>45190</v>
      </c>
      <c r="D928">
        <v>125.85</v>
      </c>
      <c r="E928">
        <v>126.75</v>
      </c>
      <c r="F928">
        <v>125</v>
      </c>
      <c r="G928">
        <v>125.6</v>
      </c>
      <c r="H928">
        <v>1414</v>
      </c>
      <c r="I928">
        <v>443.2</v>
      </c>
      <c r="J928">
        <v>0.31</v>
      </c>
      <c r="K928">
        <v>125.8</v>
      </c>
    </row>
    <row r="929" spans="1:11" x14ac:dyDescent="0.25">
      <c r="A929" s="1" t="s">
        <v>10</v>
      </c>
      <c r="B929" s="1" t="s">
        <v>11</v>
      </c>
      <c r="C929" s="2">
        <v>45191</v>
      </c>
      <c r="D929">
        <v>127.95</v>
      </c>
      <c r="E929">
        <v>130</v>
      </c>
      <c r="F929">
        <v>125.1</v>
      </c>
      <c r="G929">
        <v>129.44999999999999</v>
      </c>
      <c r="H929">
        <v>6297</v>
      </c>
      <c r="I929">
        <v>456.78</v>
      </c>
      <c r="J929">
        <v>0.31</v>
      </c>
      <c r="K929">
        <v>128.125</v>
      </c>
    </row>
    <row r="930" spans="1:11" x14ac:dyDescent="0.25">
      <c r="A930" s="1" t="s">
        <v>10</v>
      </c>
      <c r="B930" s="1" t="s">
        <v>11</v>
      </c>
      <c r="C930" s="2">
        <v>45194</v>
      </c>
      <c r="D930">
        <v>131</v>
      </c>
      <c r="E930">
        <v>134</v>
      </c>
      <c r="F930">
        <v>130.9</v>
      </c>
      <c r="G930">
        <v>131.4</v>
      </c>
      <c r="H930">
        <v>8620</v>
      </c>
      <c r="I930">
        <v>463.66</v>
      </c>
      <c r="J930">
        <v>0.31</v>
      </c>
      <c r="K930">
        <v>131.82499999999999</v>
      </c>
    </row>
    <row r="931" spans="1:11" x14ac:dyDescent="0.25">
      <c r="A931" s="1" t="s">
        <v>10</v>
      </c>
      <c r="B931" s="1" t="s">
        <v>11</v>
      </c>
      <c r="C931" s="2">
        <v>45195</v>
      </c>
      <c r="D931">
        <v>134</v>
      </c>
      <c r="E931">
        <v>134</v>
      </c>
      <c r="F931">
        <v>130.19999999999999</v>
      </c>
      <c r="G931">
        <v>131.6</v>
      </c>
      <c r="H931">
        <v>4124</v>
      </c>
      <c r="I931">
        <v>464.37</v>
      </c>
      <c r="J931">
        <v>0.31</v>
      </c>
      <c r="K931">
        <v>132.44999999999999</v>
      </c>
    </row>
    <row r="932" spans="1:11" x14ac:dyDescent="0.25">
      <c r="A932" s="1" t="s">
        <v>10</v>
      </c>
      <c r="B932" s="1" t="s">
        <v>11</v>
      </c>
      <c r="C932" s="2">
        <v>45196</v>
      </c>
      <c r="D932">
        <v>132</v>
      </c>
      <c r="E932">
        <v>133.75</v>
      </c>
      <c r="F932">
        <v>127.05</v>
      </c>
      <c r="G932">
        <v>129.94999999999999</v>
      </c>
      <c r="H932">
        <v>5266</v>
      </c>
      <c r="I932">
        <v>458.55</v>
      </c>
      <c r="J932">
        <v>0.31</v>
      </c>
      <c r="K932">
        <v>130.6875</v>
      </c>
    </row>
    <row r="933" spans="1:11" x14ac:dyDescent="0.25">
      <c r="A933" s="1" t="s">
        <v>10</v>
      </c>
      <c r="B933" s="1" t="s">
        <v>11</v>
      </c>
      <c r="C933" s="2">
        <v>45197</v>
      </c>
      <c r="D933">
        <v>132</v>
      </c>
      <c r="E933">
        <v>132</v>
      </c>
      <c r="F933">
        <v>124.05</v>
      </c>
      <c r="G933">
        <v>127.35</v>
      </c>
      <c r="H933">
        <v>4253</v>
      </c>
      <c r="I933">
        <v>449.37</v>
      </c>
      <c r="J933">
        <v>0.31</v>
      </c>
      <c r="K933">
        <v>128.85</v>
      </c>
    </row>
    <row r="934" spans="1:11" x14ac:dyDescent="0.25">
      <c r="A934" s="1" t="s">
        <v>10</v>
      </c>
      <c r="B934" s="1" t="s">
        <v>11</v>
      </c>
      <c r="C934" s="2">
        <v>45198</v>
      </c>
      <c r="D934">
        <v>126</v>
      </c>
      <c r="E934">
        <v>133.69999999999999</v>
      </c>
      <c r="F934">
        <v>126</v>
      </c>
      <c r="G934">
        <v>133.4</v>
      </c>
      <c r="H934">
        <v>2928</v>
      </c>
      <c r="I934">
        <v>470.72</v>
      </c>
      <c r="J934">
        <v>0.31</v>
      </c>
      <c r="K934">
        <v>129.77500000000001</v>
      </c>
    </row>
    <row r="935" spans="1:11" x14ac:dyDescent="0.25">
      <c r="A935" s="1" t="s">
        <v>10</v>
      </c>
      <c r="B935" s="1" t="s">
        <v>11</v>
      </c>
      <c r="C935" s="2">
        <v>45202</v>
      </c>
      <c r="D935">
        <v>134.05000000000001</v>
      </c>
      <c r="E935">
        <v>140.05000000000001</v>
      </c>
      <c r="F935">
        <v>132.69999999999999</v>
      </c>
      <c r="G935">
        <v>140.05000000000001</v>
      </c>
      <c r="H935">
        <v>41561</v>
      </c>
      <c r="I935">
        <v>494.19</v>
      </c>
      <c r="J935">
        <v>0.31</v>
      </c>
      <c r="K935">
        <v>136.71250000000001</v>
      </c>
    </row>
    <row r="936" spans="1:11" x14ac:dyDescent="0.25">
      <c r="A936" s="1" t="s">
        <v>10</v>
      </c>
      <c r="B936" s="1" t="s">
        <v>11</v>
      </c>
      <c r="C936" s="2">
        <v>45203</v>
      </c>
      <c r="D936">
        <v>140</v>
      </c>
      <c r="E936">
        <v>147.05000000000001</v>
      </c>
      <c r="F936">
        <v>139.1</v>
      </c>
      <c r="G936">
        <v>146.69999999999999</v>
      </c>
      <c r="H936">
        <v>46415</v>
      </c>
      <c r="I936">
        <v>517.65</v>
      </c>
      <c r="J936">
        <v>0.31</v>
      </c>
      <c r="K936">
        <v>143.21250000000001</v>
      </c>
    </row>
    <row r="937" spans="1:11" x14ac:dyDescent="0.25">
      <c r="A937" s="1" t="s">
        <v>10</v>
      </c>
      <c r="B937" s="1" t="s">
        <v>11</v>
      </c>
      <c r="C937" s="2">
        <v>45204</v>
      </c>
      <c r="D937">
        <v>152.4</v>
      </c>
      <c r="E937">
        <v>154</v>
      </c>
      <c r="F937">
        <v>149</v>
      </c>
      <c r="G937">
        <v>154</v>
      </c>
      <c r="H937">
        <v>24232</v>
      </c>
      <c r="I937">
        <v>543.41</v>
      </c>
      <c r="J937">
        <v>0.31</v>
      </c>
      <c r="K937">
        <v>152.35</v>
      </c>
    </row>
    <row r="938" spans="1:11" x14ac:dyDescent="0.25">
      <c r="A938" s="1" t="s">
        <v>10</v>
      </c>
      <c r="B938" s="1" t="s">
        <v>11</v>
      </c>
      <c r="C938" s="2">
        <v>45205</v>
      </c>
      <c r="D938">
        <v>156.75</v>
      </c>
      <c r="E938">
        <v>161.69999999999999</v>
      </c>
      <c r="F938">
        <v>151.15</v>
      </c>
      <c r="G938">
        <v>158.6</v>
      </c>
      <c r="H938">
        <v>17432</v>
      </c>
      <c r="I938">
        <v>559.64</v>
      </c>
      <c r="J938">
        <v>0.31</v>
      </c>
      <c r="K938">
        <v>157.05000000000001</v>
      </c>
    </row>
    <row r="939" spans="1:11" x14ac:dyDescent="0.25">
      <c r="A939" s="1" t="s">
        <v>10</v>
      </c>
      <c r="B939" s="1" t="s">
        <v>11</v>
      </c>
      <c r="C939" s="2">
        <v>45208</v>
      </c>
      <c r="D939">
        <v>155.44999999999999</v>
      </c>
      <c r="E939">
        <v>155.44999999999999</v>
      </c>
      <c r="F939">
        <v>155.44999999999999</v>
      </c>
      <c r="G939">
        <v>155.44999999999999</v>
      </c>
      <c r="H939">
        <v>4933</v>
      </c>
      <c r="I939">
        <v>548.53</v>
      </c>
      <c r="J939">
        <v>0.31</v>
      </c>
      <c r="K939">
        <v>155.44999999999999</v>
      </c>
    </row>
    <row r="940" spans="1:11" x14ac:dyDescent="0.25">
      <c r="A940" s="1" t="s">
        <v>10</v>
      </c>
      <c r="B940" s="1" t="s">
        <v>11</v>
      </c>
      <c r="C940" s="2">
        <v>45209</v>
      </c>
      <c r="D940">
        <v>152.35</v>
      </c>
      <c r="E940">
        <v>152.35</v>
      </c>
      <c r="F940">
        <v>152.35</v>
      </c>
      <c r="G940">
        <v>152.35</v>
      </c>
      <c r="H940">
        <v>1158</v>
      </c>
      <c r="I940">
        <v>537.59</v>
      </c>
      <c r="J940">
        <v>0.31</v>
      </c>
      <c r="K940">
        <v>152.35</v>
      </c>
    </row>
    <row r="941" spans="1:11" x14ac:dyDescent="0.25">
      <c r="A941" s="1" t="s">
        <v>10</v>
      </c>
      <c r="B941" s="1" t="s">
        <v>11</v>
      </c>
      <c r="C941" s="2">
        <v>45210</v>
      </c>
      <c r="D941">
        <v>149.35</v>
      </c>
      <c r="E941">
        <v>149.35</v>
      </c>
      <c r="F941">
        <v>149.35</v>
      </c>
      <c r="G941">
        <v>149.35</v>
      </c>
      <c r="H941">
        <v>1828</v>
      </c>
      <c r="I941">
        <v>527</v>
      </c>
      <c r="J941">
        <v>0.31</v>
      </c>
      <c r="K941">
        <v>149.35</v>
      </c>
    </row>
    <row r="942" spans="1:11" x14ac:dyDescent="0.25">
      <c r="A942" s="1" t="s">
        <v>10</v>
      </c>
      <c r="B942" s="1" t="s">
        <v>11</v>
      </c>
      <c r="C942" s="2">
        <v>45211</v>
      </c>
      <c r="D942">
        <v>146.4</v>
      </c>
      <c r="E942">
        <v>147</v>
      </c>
      <c r="F942">
        <v>146.4</v>
      </c>
      <c r="G942">
        <v>146.4</v>
      </c>
      <c r="H942">
        <v>20099</v>
      </c>
      <c r="I942">
        <v>516.59</v>
      </c>
      <c r="J942">
        <v>0.31</v>
      </c>
      <c r="K942">
        <v>146.55000000000001</v>
      </c>
    </row>
    <row r="943" spans="1:11" x14ac:dyDescent="0.25">
      <c r="A943" s="1" t="s">
        <v>10</v>
      </c>
      <c r="B943" s="1" t="s">
        <v>11</v>
      </c>
      <c r="C943" s="2">
        <v>45212</v>
      </c>
      <c r="D943">
        <v>145</v>
      </c>
      <c r="E943">
        <v>145</v>
      </c>
      <c r="F943">
        <v>143.5</v>
      </c>
      <c r="G943">
        <v>143.5</v>
      </c>
      <c r="H943">
        <v>8108</v>
      </c>
      <c r="I943">
        <v>506.36</v>
      </c>
      <c r="J943">
        <v>0.31</v>
      </c>
      <c r="K943">
        <v>144.25</v>
      </c>
    </row>
    <row r="944" spans="1:11" x14ac:dyDescent="0.25">
      <c r="A944" s="1" t="s">
        <v>10</v>
      </c>
      <c r="B944" s="1" t="s">
        <v>11</v>
      </c>
      <c r="C944" s="2">
        <v>45215</v>
      </c>
      <c r="D944">
        <v>140.65</v>
      </c>
      <c r="E944">
        <v>140.65</v>
      </c>
      <c r="F944">
        <v>140.65</v>
      </c>
      <c r="G944">
        <v>140.65</v>
      </c>
      <c r="H944">
        <v>4298</v>
      </c>
      <c r="I944">
        <v>496.3</v>
      </c>
      <c r="J944">
        <v>0.31</v>
      </c>
      <c r="K944">
        <v>140.65</v>
      </c>
    </row>
    <row r="945" spans="1:11" x14ac:dyDescent="0.25">
      <c r="A945" s="1" t="s">
        <v>10</v>
      </c>
      <c r="B945" s="1" t="s">
        <v>11</v>
      </c>
      <c r="C945" s="2">
        <v>45216</v>
      </c>
      <c r="D945">
        <v>137.85</v>
      </c>
      <c r="E945">
        <v>143.44999999999999</v>
      </c>
      <c r="F945">
        <v>137.85</v>
      </c>
      <c r="G945">
        <v>143.44999999999999</v>
      </c>
      <c r="H945">
        <v>22734</v>
      </c>
      <c r="I945">
        <v>506.18</v>
      </c>
      <c r="J945">
        <v>0.31</v>
      </c>
      <c r="K945">
        <v>140.65</v>
      </c>
    </row>
    <row r="946" spans="1:11" x14ac:dyDescent="0.25">
      <c r="A946" s="1" t="s">
        <v>10</v>
      </c>
      <c r="B946" s="1" t="s">
        <v>11</v>
      </c>
      <c r="C946" s="2">
        <v>45217</v>
      </c>
      <c r="D946">
        <v>145.6</v>
      </c>
      <c r="E946">
        <v>145.6</v>
      </c>
      <c r="F946">
        <v>140.6</v>
      </c>
      <c r="G946">
        <v>140.6</v>
      </c>
      <c r="H946">
        <v>13190</v>
      </c>
      <c r="I946">
        <v>496.13</v>
      </c>
      <c r="J946">
        <v>0.31</v>
      </c>
      <c r="K946">
        <v>143.1</v>
      </c>
    </row>
    <row r="947" spans="1:11" x14ac:dyDescent="0.25">
      <c r="A947" s="1" t="s">
        <v>10</v>
      </c>
      <c r="B947" s="1" t="s">
        <v>11</v>
      </c>
      <c r="C947" s="2">
        <v>45218</v>
      </c>
      <c r="D947">
        <v>139</v>
      </c>
      <c r="E947">
        <v>139</v>
      </c>
      <c r="F947">
        <v>138</v>
      </c>
      <c r="G947">
        <v>138.55000000000001</v>
      </c>
      <c r="H947">
        <v>5813</v>
      </c>
      <c r="I947">
        <v>488.89</v>
      </c>
      <c r="J947">
        <v>0.31</v>
      </c>
      <c r="K947">
        <v>138.63749999999999</v>
      </c>
    </row>
    <row r="948" spans="1:11" x14ac:dyDescent="0.25">
      <c r="A948" s="1" t="s">
        <v>10</v>
      </c>
      <c r="B948" s="1" t="s">
        <v>11</v>
      </c>
      <c r="C948" s="2">
        <v>45219</v>
      </c>
      <c r="D948">
        <v>138.55000000000001</v>
      </c>
      <c r="E948">
        <v>138.55000000000001</v>
      </c>
      <c r="F948">
        <v>135.80000000000001</v>
      </c>
      <c r="G948">
        <v>135.80000000000001</v>
      </c>
      <c r="H948">
        <v>4454</v>
      </c>
      <c r="I948">
        <v>479.19</v>
      </c>
      <c r="J948">
        <v>0.31</v>
      </c>
      <c r="K948">
        <v>137.17500000000001</v>
      </c>
    </row>
    <row r="949" spans="1:11" x14ac:dyDescent="0.25">
      <c r="A949" s="1" t="s">
        <v>10</v>
      </c>
      <c r="B949" s="1" t="s">
        <v>11</v>
      </c>
      <c r="C949" s="2">
        <v>45222</v>
      </c>
      <c r="D949">
        <v>133.1</v>
      </c>
      <c r="E949">
        <v>133.1</v>
      </c>
      <c r="F949">
        <v>133.1</v>
      </c>
      <c r="G949">
        <v>133.1</v>
      </c>
      <c r="H949">
        <v>2799</v>
      </c>
      <c r="I949">
        <v>469.66</v>
      </c>
      <c r="J949">
        <v>0.31</v>
      </c>
      <c r="K949">
        <v>133.1</v>
      </c>
    </row>
    <row r="950" spans="1:11" x14ac:dyDescent="0.25">
      <c r="A950" s="1" t="s">
        <v>10</v>
      </c>
      <c r="B950" s="1" t="s">
        <v>11</v>
      </c>
      <c r="C950" s="2">
        <v>45224</v>
      </c>
      <c r="D950">
        <v>133.1</v>
      </c>
      <c r="E950">
        <v>133.1</v>
      </c>
      <c r="F950">
        <v>130.5</v>
      </c>
      <c r="G950">
        <v>130.55000000000001</v>
      </c>
      <c r="H950">
        <v>11192</v>
      </c>
      <c r="I950">
        <v>460.67</v>
      </c>
      <c r="J950">
        <v>0.31</v>
      </c>
      <c r="K950">
        <v>131.8125</v>
      </c>
    </row>
    <row r="951" spans="1:11" x14ac:dyDescent="0.25">
      <c r="A951" s="1" t="s">
        <v>10</v>
      </c>
      <c r="B951" s="1" t="s">
        <v>11</v>
      </c>
      <c r="C951" s="2">
        <v>45225</v>
      </c>
      <c r="D951">
        <v>133.15</v>
      </c>
      <c r="E951">
        <v>133.15</v>
      </c>
      <c r="F951">
        <v>133.15</v>
      </c>
      <c r="G951">
        <v>133.15</v>
      </c>
      <c r="H951">
        <v>5509</v>
      </c>
      <c r="I951">
        <v>469.84</v>
      </c>
      <c r="J951">
        <v>0.31</v>
      </c>
      <c r="K951">
        <v>133.15</v>
      </c>
    </row>
    <row r="952" spans="1:11" x14ac:dyDescent="0.25">
      <c r="A952" s="1" t="s">
        <v>10</v>
      </c>
      <c r="B952" s="1" t="s">
        <v>11</v>
      </c>
      <c r="C952" s="2">
        <v>45226</v>
      </c>
      <c r="D952">
        <v>135.80000000000001</v>
      </c>
      <c r="E952">
        <v>135.80000000000001</v>
      </c>
      <c r="F952">
        <v>135.80000000000001</v>
      </c>
      <c r="G952">
        <v>135.80000000000001</v>
      </c>
      <c r="H952">
        <v>3400</v>
      </c>
      <c r="I952">
        <v>479.19</v>
      </c>
      <c r="J952">
        <v>0.31</v>
      </c>
      <c r="K952">
        <v>135.80000000000001</v>
      </c>
    </row>
    <row r="953" spans="1:11" x14ac:dyDescent="0.25">
      <c r="A953" s="1" t="s">
        <v>10</v>
      </c>
      <c r="B953" s="1" t="s">
        <v>11</v>
      </c>
      <c r="C953" s="2">
        <v>45229</v>
      </c>
      <c r="D953">
        <v>138.5</v>
      </c>
      <c r="E953">
        <v>138.5</v>
      </c>
      <c r="F953">
        <v>138.5</v>
      </c>
      <c r="G953">
        <v>138.5</v>
      </c>
      <c r="H953">
        <v>1593</v>
      </c>
      <c r="I953">
        <v>488.72</v>
      </c>
      <c r="J953">
        <v>0.31</v>
      </c>
      <c r="K953">
        <v>138.5</v>
      </c>
    </row>
    <row r="954" spans="1:11" x14ac:dyDescent="0.25">
      <c r="A954" s="1" t="s">
        <v>10</v>
      </c>
      <c r="B954" s="1" t="s">
        <v>11</v>
      </c>
      <c r="C954" s="2">
        <v>45230</v>
      </c>
      <c r="D954">
        <v>141.25</v>
      </c>
      <c r="E954">
        <v>141.25</v>
      </c>
      <c r="F954">
        <v>141.25</v>
      </c>
      <c r="G954">
        <v>141.25</v>
      </c>
      <c r="H954">
        <v>4345</v>
      </c>
      <c r="I954">
        <v>498.42</v>
      </c>
      <c r="J954">
        <v>0.31</v>
      </c>
      <c r="K954">
        <v>141.25</v>
      </c>
    </row>
    <row r="955" spans="1:11" x14ac:dyDescent="0.25">
      <c r="A955" s="1" t="s">
        <v>10</v>
      </c>
      <c r="B955" s="1" t="s">
        <v>11</v>
      </c>
      <c r="C955" s="2">
        <v>45231</v>
      </c>
      <c r="D955">
        <v>144.05000000000001</v>
      </c>
      <c r="E955">
        <v>144.05000000000001</v>
      </c>
      <c r="F955">
        <v>144.05000000000001</v>
      </c>
      <c r="G955">
        <v>144.05000000000001</v>
      </c>
      <c r="H955">
        <v>714</v>
      </c>
      <c r="I955">
        <v>508.3</v>
      </c>
      <c r="J955">
        <v>0.31</v>
      </c>
      <c r="K955">
        <v>144.05000000000001</v>
      </c>
    </row>
    <row r="956" spans="1:11" x14ac:dyDescent="0.25">
      <c r="A956" s="1" t="s">
        <v>10</v>
      </c>
      <c r="B956" s="1" t="s">
        <v>11</v>
      </c>
      <c r="C956" s="2">
        <v>45232</v>
      </c>
      <c r="D956">
        <v>146.9</v>
      </c>
      <c r="E956">
        <v>146.9</v>
      </c>
      <c r="F956">
        <v>146.9</v>
      </c>
      <c r="G956">
        <v>146.9</v>
      </c>
      <c r="H956">
        <v>2523</v>
      </c>
      <c r="I956">
        <v>518.36</v>
      </c>
      <c r="J956">
        <v>0.31</v>
      </c>
      <c r="K956">
        <v>146.9</v>
      </c>
    </row>
    <row r="957" spans="1:11" x14ac:dyDescent="0.25">
      <c r="A957" s="1" t="s">
        <v>10</v>
      </c>
      <c r="B957" s="1" t="s">
        <v>11</v>
      </c>
      <c r="C957" s="2">
        <v>45233</v>
      </c>
      <c r="D957">
        <v>147</v>
      </c>
      <c r="E957">
        <v>149.80000000000001</v>
      </c>
      <c r="F957">
        <v>146.9</v>
      </c>
      <c r="G957">
        <v>149.80000000000001</v>
      </c>
      <c r="H957">
        <v>33278</v>
      </c>
      <c r="I957">
        <v>528.59</v>
      </c>
      <c r="J957">
        <v>0.31</v>
      </c>
      <c r="K957">
        <v>148.375</v>
      </c>
    </row>
    <row r="958" spans="1:11" x14ac:dyDescent="0.25">
      <c r="A958" s="1" t="s">
        <v>10</v>
      </c>
      <c r="B958" s="1" t="s">
        <v>11</v>
      </c>
      <c r="C958" s="2">
        <v>45236</v>
      </c>
      <c r="D958">
        <v>152.75</v>
      </c>
      <c r="E958">
        <v>152.75</v>
      </c>
      <c r="F958">
        <v>152.75</v>
      </c>
      <c r="G958">
        <v>152.75</v>
      </c>
      <c r="H958">
        <v>993</v>
      </c>
      <c r="I958">
        <v>539</v>
      </c>
      <c r="J958">
        <v>0.31</v>
      </c>
      <c r="K958">
        <v>152.75</v>
      </c>
    </row>
    <row r="959" spans="1:11" x14ac:dyDescent="0.25">
      <c r="A959" s="1" t="s">
        <v>10</v>
      </c>
      <c r="B959" s="1" t="s">
        <v>11</v>
      </c>
      <c r="C959" s="2">
        <v>45237</v>
      </c>
      <c r="D959">
        <v>155.80000000000001</v>
      </c>
      <c r="E959">
        <v>155.80000000000001</v>
      </c>
      <c r="F959">
        <v>155.80000000000001</v>
      </c>
      <c r="G959">
        <v>155.80000000000001</v>
      </c>
      <c r="H959">
        <v>4311</v>
      </c>
      <c r="I959">
        <v>549.76</v>
      </c>
      <c r="J959">
        <v>0.31</v>
      </c>
      <c r="K959">
        <v>155.80000000000001</v>
      </c>
    </row>
    <row r="960" spans="1:11" x14ac:dyDescent="0.25">
      <c r="A960" s="1" t="s">
        <v>10</v>
      </c>
      <c r="B960" s="1" t="s">
        <v>11</v>
      </c>
      <c r="C960" s="2">
        <v>45238</v>
      </c>
      <c r="D960">
        <v>158.9</v>
      </c>
      <c r="E960">
        <v>158.9</v>
      </c>
      <c r="F960">
        <v>156.94999999999999</v>
      </c>
      <c r="G960">
        <v>156.94999999999999</v>
      </c>
      <c r="H960">
        <v>15766</v>
      </c>
      <c r="I960">
        <v>553.82000000000005</v>
      </c>
      <c r="J960">
        <v>0.31</v>
      </c>
      <c r="K960">
        <v>157.92500000000001</v>
      </c>
    </row>
    <row r="961" spans="1:11" x14ac:dyDescent="0.25">
      <c r="A961" s="1" t="s">
        <v>10</v>
      </c>
      <c r="B961" s="1" t="s">
        <v>11</v>
      </c>
      <c r="C961" s="2">
        <v>45239</v>
      </c>
      <c r="D961">
        <v>155.1</v>
      </c>
      <c r="E961">
        <v>160.05000000000001</v>
      </c>
      <c r="F961">
        <v>155.1</v>
      </c>
      <c r="G961">
        <v>160.05000000000001</v>
      </c>
      <c r="H961">
        <v>4284</v>
      </c>
      <c r="I961">
        <v>564.76</v>
      </c>
      <c r="J961">
        <v>0.31</v>
      </c>
      <c r="K961">
        <v>157.57499999999999</v>
      </c>
    </row>
    <row r="962" spans="1:11" x14ac:dyDescent="0.25">
      <c r="A962" s="1" t="s">
        <v>10</v>
      </c>
      <c r="B962" s="1" t="s">
        <v>11</v>
      </c>
      <c r="C962" s="2">
        <v>45240</v>
      </c>
      <c r="D962">
        <v>157.1</v>
      </c>
      <c r="E962">
        <v>163.25</v>
      </c>
      <c r="F962">
        <v>157.1</v>
      </c>
      <c r="G962">
        <v>163.19999999999999</v>
      </c>
      <c r="H962">
        <v>2574</v>
      </c>
      <c r="I962">
        <v>575.88</v>
      </c>
      <c r="J962">
        <v>0.31</v>
      </c>
      <c r="K962">
        <v>160.16249999999999</v>
      </c>
    </row>
    <row r="963" spans="1:11" x14ac:dyDescent="0.25">
      <c r="A963" s="1" t="s">
        <v>10</v>
      </c>
      <c r="B963" s="1" t="s">
        <v>11</v>
      </c>
      <c r="C963" s="2">
        <v>45242</v>
      </c>
      <c r="D963">
        <v>155.5</v>
      </c>
      <c r="E963">
        <v>171.35</v>
      </c>
      <c r="F963">
        <v>155.5</v>
      </c>
      <c r="G963">
        <v>171.35</v>
      </c>
      <c r="H963">
        <v>5400</v>
      </c>
      <c r="I963">
        <v>604.63</v>
      </c>
      <c r="J963">
        <v>0.31</v>
      </c>
      <c r="K963">
        <v>163.42500000000001</v>
      </c>
    </row>
    <row r="964" spans="1:11" x14ac:dyDescent="0.25">
      <c r="A964" s="1" t="s">
        <v>10</v>
      </c>
      <c r="B964" s="1" t="s">
        <v>11</v>
      </c>
      <c r="C964" s="2">
        <v>45243</v>
      </c>
      <c r="D964">
        <v>177.9</v>
      </c>
      <c r="E964">
        <v>177.9</v>
      </c>
      <c r="F964">
        <v>162.80000000000001</v>
      </c>
      <c r="G964">
        <v>164.6</v>
      </c>
      <c r="H964">
        <v>15881</v>
      </c>
      <c r="I964">
        <v>580.82000000000005</v>
      </c>
      <c r="J964">
        <v>0.31</v>
      </c>
      <c r="K964">
        <v>170.8</v>
      </c>
    </row>
    <row r="965" spans="1:11" x14ac:dyDescent="0.25">
      <c r="A965" s="1" t="s">
        <v>10</v>
      </c>
      <c r="B965" s="1" t="s">
        <v>11</v>
      </c>
      <c r="C965" s="2">
        <v>45245</v>
      </c>
      <c r="D965">
        <v>164</v>
      </c>
      <c r="E965">
        <v>166</v>
      </c>
      <c r="F965">
        <v>156.4</v>
      </c>
      <c r="G965">
        <v>163</v>
      </c>
      <c r="H965">
        <v>19182</v>
      </c>
      <c r="I965">
        <v>575.16999999999996</v>
      </c>
      <c r="J965">
        <v>0.31</v>
      </c>
      <c r="K965">
        <v>162.35</v>
      </c>
    </row>
    <row r="966" spans="1:11" x14ac:dyDescent="0.25">
      <c r="A966" s="1" t="s">
        <v>10</v>
      </c>
      <c r="B966" s="1" t="s">
        <v>11</v>
      </c>
      <c r="C966" s="2">
        <v>45246</v>
      </c>
      <c r="D966">
        <v>162.9</v>
      </c>
      <c r="E966">
        <v>165</v>
      </c>
      <c r="F966">
        <v>159.05000000000001</v>
      </c>
      <c r="G966">
        <v>162.75</v>
      </c>
      <c r="H966">
        <v>3351</v>
      </c>
      <c r="I966">
        <v>574.29</v>
      </c>
      <c r="J966">
        <v>0.31</v>
      </c>
      <c r="K966">
        <v>162.42500000000001</v>
      </c>
    </row>
    <row r="967" spans="1:11" x14ac:dyDescent="0.25">
      <c r="A967" s="1" t="s">
        <v>10</v>
      </c>
      <c r="B967" s="1" t="s">
        <v>11</v>
      </c>
      <c r="C967" s="2">
        <v>45247</v>
      </c>
      <c r="D967">
        <v>163.9</v>
      </c>
      <c r="E967">
        <v>170.85</v>
      </c>
      <c r="F967">
        <v>160.25</v>
      </c>
      <c r="G967">
        <v>170.85</v>
      </c>
      <c r="H967">
        <v>15341</v>
      </c>
      <c r="I967">
        <v>602.87</v>
      </c>
      <c r="J967">
        <v>0.31</v>
      </c>
      <c r="K967">
        <v>166.46250000000001</v>
      </c>
    </row>
    <row r="968" spans="1:11" x14ac:dyDescent="0.25">
      <c r="A968" s="1" t="s">
        <v>10</v>
      </c>
      <c r="B968" s="1" t="s">
        <v>11</v>
      </c>
      <c r="C968" s="2">
        <v>45250</v>
      </c>
      <c r="D968">
        <v>177.75</v>
      </c>
      <c r="E968">
        <v>177.75</v>
      </c>
      <c r="F968">
        <v>164</v>
      </c>
      <c r="G968">
        <v>166.95</v>
      </c>
      <c r="H968">
        <v>9131</v>
      </c>
      <c r="I968">
        <v>589.11</v>
      </c>
      <c r="J968">
        <v>0.31</v>
      </c>
      <c r="K968">
        <v>171.61250000000001</v>
      </c>
    </row>
    <row r="969" spans="1:11" x14ac:dyDescent="0.25">
      <c r="A969" s="1" t="s">
        <v>10</v>
      </c>
      <c r="B969" s="1" t="s">
        <v>11</v>
      </c>
      <c r="C969" s="2">
        <v>45251</v>
      </c>
      <c r="D969">
        <v>160.1</v>
      </c>
      <c r="E969">
        <v>171</v>
      </c>
      <c r="F969">
        <v>160.1</v>
      </c>
      <c r="G969">
        <v>168</v>
      </c>
      <c r="H969">
        <v>5601</v>
      </c>
      <c r="I969">
        <v>592.80999999999995</v>
      </c>
      <c r="J969">
        <v>0.31</v>
      </c>
      <c r="K969">
        <v>164.8</v>
      </c>
    </row>
    <row r="970" spans="1:11" x14ac:dyDescent="0.25">
      <c r="A970" s="1" t="s">
        <v>10</v>
      </c>
      <c r="B970" s="1" t="s">
        <v>11</v>
      </c>
      <c r="C970" s="2">
        <v>45252</v>
      </c>
      <c r="D970">
        <v>173.2</v>
      </c>
      <c r="E970">
        <v>173.2</v>
      </c>
      <c r="F970">
        <v>169</v>
      </c>
      <c r="G970">
        <v>171.9</v>
      </c>
      <c r="H970">
        <v>4838</v>
      </c>
      <c r="I970">
        <v>606.57000000000005</v>
      </c>
      <c r="J970">
        <v>0.31</v>
      </c>
      <c r="K970">
        <v>171.82499999999999</v>
      </c>
    </row>
    <row r="971" spans="1:11" x14ac:dyDescent="0.25">
      <c r="A971" s="1" t="s">
        <v>10</v>
      </c>
      <c r="B971" s="1" t="s">
        <v>11</v>
      </c>
      <c r="C971" s="2">
        <v>45253</v>
      </c>
      <c r="D971">
        <v>170</v>
      </c>
      <c r="E971">
        <v>180.45</v>
      </c>
      <c r="F971">
        <v>170</v>
      </c>
      <c r="G971">
        <v>178.4</v>
      </c>
      <c r="H971">
        <v>29551</v>
      </c>
      <c r="I971">
        <v>629.51</v>
      </c>
      <c r="J971">
        <v>0.31</v>
      </c>
      <c r="K971">
        <v>174.71250000000001</v>
      </c>
    </row>
    <row r="972" spans="1:11" x14ac:dyDescent="0.25">
      <c r="A972" s="1" t="s">
        <v>10</v>
      </c>
      <c r="B972" s="1" t="s">
        <v>11</v>
      </c>
      <c r="C972" s="2">
        <v>45254</v>
      </c>
      <c r="D972">
        <v>180</v>
      </c>
      <c r="E972">
        <v>184.95</v>
      </c>
      <c r="F972">
        <v>180</v>
      </c>
      <c r="G972">
        <v>181.3</v>
      </c>
      <c r="H972">
        <v>10437</v>
      </c>
      <c r="I972">
        <v>639.74</v>
      </c>
      <c r="J972">
        <v>0.31</v>
      </c>
      <c r="K972">
        <v>181.5625</v>
      </c>
    </row>
    <row r="973" spans="1:11" x14ac:dyDescent="0.25">
      <c r="A973" s="1" t="s">
        <v>10</v>
      </c>
      <c r="B973" s="1" t="s">
        <v>11</v>
      </c>
      <c r="C973" s="2">
        <v>45258</v>
      </c>
      <c r="D973">
        <v>186.55</v>
      </c>
      <c r="E973">
        <v>190.1</v>
      </c>
      <c r="F973">
        <v>176.4</v>
      </c>
      <c r="G973">
        <v>177.85</v>
      </c>
      <c r="H973">
        <v>36115</v>
      </c>
      <c r="I973">
        <v>627.57000000000005</v>
      </c>
      <c r="J973">
        <v>0.31</v>
      </c>
      <c r="K973">
        <v>182.72499999999999</v>
      </c>
    </row>
    <row r="974" spans="1:11" x14ac:dyDescent="0.25">
      <c r="A974" s="1" t="s">
        <v>10</v>
      </c>
      <c r="B974" s="1" t="s">
        <v>11</v>
      </c>
      <c r="C974" s="2">
        <v>45259</v>
      </c>
      <c r="D974">
        <v>179.3</v>
      </c>
      <c r="E974">
        <v>186.7</v>
      </c>
      <c r="F974">
        <v>173</v>
      </c>
      <c r="G974">
        <v>184.05</v>
      </c>
      <c r="H974">
        <v>16636</v>
      </c>
      <c r="I974">
        <v>649.45000000000005</v>
      </c>
      <c r="J974">
        <v>0.31</v>
      </c>
      <c r="K974">
        <v>180.76249999999999</v>
      </c>
    </row>
    <row r="975" spans="1:11" x14ac:dyDescent="0.25">
      <c r="A975" s="1" t="s">
        <v>10</v>
      </c>
      <c r="B975" s="1" t="s">
        <v>11</v>
      </c>
      <c r="C975" s="2">
        <v>45260</v>
      </c>
      <c r="D975">
        <v>184.05</v>
      </c>
      <c r="E975">
        <v>184.5</v>
      </c>
      <c r="F975">
        <v>178.3</v>
      </c>
      <c r="G975">
        <v>183.45</v>
      </c>
      <c r="H975">
        <v>27377</v>
      </c>
      <c r="I975">
        <v>647.33000000000004</v>
      </c>
      <c r="J975">
        <v>0.31</v>
      </c>
      <c r="K975">
        <v>182.57499999999999</v>
      </c>
    </row>
    <row r="976" spans="1:11" x14ac:dyDescent="0.25">
      <c r="A976" s="1" t="s">
        <v>10</v>
      </c>
      <c r="B976" s="1" t="s">
        <v>11</v>
      </c>
      <c r="C976" s="2">
        <v>45261</v>
      </c>
      <c r="D976">
        <v>184.35</v>
      </c>
      <c r="E976">
        <v>185.25</v>
      </c>
      <c r="F976">
        <v>174.85</v>
      </c>
      <c r="G976">
        <v>177.1</v>
      </c>
      <c r="H976">
        <v>17490</v>
      </c>
      <c r="I976">
        <v>624.91999999999996</v>
      </c>
      <c r="J976">
        <v>0.31</v>
      </c>
      <c r="K976">
        <v>180.38749999999999</v>
      </c>
    </row>
    <row r="977" spans="1:11" x14ac:dyDescent="0.25">
      <c r="A977" s="1" t="s">
        <v>10</v>
      </c>
      <c r="B977" s="1" t="s">
        <v>11</v>
      </c>
      <c r="C977" s="2">
        <v>45264</v>
      </c>
      <c r="D977">
        <v>178</v>
      </c>
      <c r="E977">
        <v>182.5</v>
      </c>
      <c r="F977">
        <v>174.5</v>
      </c>
      <c r="G977">
        <v>176.5</v>
      </c>
      <c r="H977">
        <v>18025</v>
      </c>
      <c r="I977">
        <v>622.80999999999995</v>
      </c>
      <c r="J977">
        <v>0.31</v>
      </c>
      <c r="K977">
        <v>177.875</v>
      </c>
    </row>
    <row r="978" spans="1:11" x14ac:dyDescent="0.25">
      <c r="A978" s="1" t="s">
        <v>10</v>
      </c>
      <c r="B978" s="1" t="s">
        <v>11</v>
      </c>
      <c r="C978" s="2">
        <v>45265</v>
      </c>
      <c r="D978">
        <v>177.55</v>
      </c>
      <c r="E978">
        <v>178.5</v>
      </c>
      <c r="F978">
        <v>170.85</v>
      </c>
      <c r="G978">
        <v>171.45</v>
      </c>
      <c r="H978">
        <v>8572</v>
      </c>
      <c r="I978">
        <v>604.99</v>
      </c>
      <c r="J978">
        <v>0.31</v>
      </c>
      <c r="K978">
        <v>174.58750000000001</v>
      </c>
    </row>
    <row r="979" spans="1:11" x14ac:dyDescent="0.25">
      <c r="A979" s="1" t="s">
        <v>10</v>
      </c>
      <c r="B979" s="1" t="s">
        <v>11</v>
      </c>
      <c r="C979" s="2">
        <v>45266</v>
      </c>
      <c r="D979">
        <v>175</v>
      </c>
      <c r="E979">
        <v>175</v>
      </c>
      <c r="F979">
        <v>160.35</v>
      </c>
      <c r="G979">
        <v>166.85</v>
      </c>
      <c r="H979">
        <v>16968</v>
      </c>
      <c r="I979">
        <v>588.76</v>
      </c>
      <c r="J979">
        <v>0.31</v>
      </c>
      <c r="K979">
        <v>169.3</v>
      </c>
    </row>
    <row r="980" spans="1:11" x14ac:dyDescent="0.25">
      <c r="A980" s="1" t="s">
        <v>10</v>
      </c>
      <c r="B980" s="1" t="s">
        <v>11</v>
      </c>
      <c r="C980" s="2">
        <v>45267</v>
      </c>
      <c r="D980">
        <v>164.65</v>
      </c>
      <c r="E980">
        <v>181</v>
      </c>
      <c r="F980">
        <v>164.65</v>
      </c>
      <c r="G980">
        <v>178.3</v>
      </c>
      <c r="H980">
        <v>21957</v>
      </c>
      <c r="I980">
        <v>629.16</v>
      </c>
      <c r="J980">
        <v>0.31</v>
      </c>
      <c r="K980">
        <v>172.15</v>
      </c>
    </row>
    <row r="981" spans="1:11" x14ac:dyDescent="0.25">
      <c r="A981" s="1" t="s">
        <v>10</v>
      </c>
      <c r="B981" s="1" t="s">
        <v>11</v>
      </c>
      <c r="C981" s="2">
        <v>45268</v>
      </c>
      <c r="D981">
        <v>182.05</v>
      </c>
      <c r="E981">
        <v>196</v>
      </c>
      <c r="F981">
        <v>176.1</v>
      </c>
      <c r="G981">
        <v>182.85</v>
      </c>
      <c r="H981">
        <v>26233</v>
      </c>
      <c r="I981">
        <v>645.21</v>
      </c>
      <c r="J981">
        <v>0.31</v>
      </c>
      <c r="K981">
        <v>184.25</v>
      </c>
    </row>
    <row r="982" spans="1:11" x14ac:dyDescent="0.25">
      <c r="A982" s="1" t="s">
        <v>10</v>
      </c>
      <c r="B982" s="1" t="s">
        <v>11</v>
      </c>
      <c r="C982" s="2">
        <v>45271</v>
      </c>
      <c r="D982">
        <v>186.55</v>
      </c>
      <c r="E982">
        <v>195.05</v>
      </c>
      <c r="F982">
        <v>186.5</v>
      </c>
      <c r="G982">
        <v>189.15</v>
      </c>
      <c r="H982">
        <v>50563</v>
      </c>
      <c r="I982">
        <v>667.44</v>
      </c>
      <c r="J982">
        <v>0.31</v>
      </c>
      <c r="K982">
        <v>189.3125</v>
      </c>
    </row>
    <row r="983" spans="1:11" x14ac:dyDescent="0.25">
      <c r="A983" s="1" t="s">
        <v>10</v>
      </c>
      <c r="B983" s="1" t="s">
        <v>11</v>
      </c>
      <c r="C983" s="2">
        <v>45272</v>
      </c>
      <c r="D983">
        <v>187.15</v>
      </c>
      <c r="E983">
        <v>191.3</v>
      </c>
      <c r="F983">
        <v>186.15</v>
      </c>
      <c r="G983">
        <v>186.5</v>
      </c>
      <c r="H983">
        <v>7926</v>
      </c>
      <c r="I983">
        <v>658.09</v>
      </c>
      <c r="J983">
        <v>0.31</v>
      </c>
      <c r="K983">
        <v>187.77500000000001</v>
      </c>
    </row>
    <row r="984" spans="1:11" x14ac:dyDescent="0.25">
      <c r="A984" s="1" t="s">
        <v>10</v>
      </c>
      <c r="B984" s="1" t="s">
        <v>11</v>
      </c>
      <c r="C984" s="2">
        <v>45273</v>
      </c>
      <c r="D984">
        <v>186.15</v>
      </c>
      <c r="E984">
        <v>186.15</v>
      </c>
      <c r="F984">
        <v>182.4</v>
      </c>
      <c r="G984">
        <v>183</v>
      </c>
      <c r="H984">
        <v>12936</v>
      </c>
      <c r="I984">
        <v>645.74</v>
      </c>
      <c r="J984">
        <v>0.31</v>
      </c>
      <c r="K984">
        <v>184.42500000000001</v>
      </c>
    </row>
    <row r="985" spans="1:11" x14ac:dyDescent="0.25">
      <c r="A985" s="1" t="s">
        <v>10</v>
      </c>
      <c r="B985" s="1" t="s">
        <v>11</v>
      </c>
      <c r="C985" s="2">
        <v>45274</v>
      </c>
      <c r="D985">
        <v>186.25</v>
      </c>
      <c r="E985">
        <v>186.25</v>
      </c>
      <c r="F985">
        <v>177.4</v>
      </c>
      <c r="G985">
        <v>179.05</v>
      </c>
      <c r="H985">
        <v>25163</v>
      </c>
      <c r="I985">
        <v>631.79999999999995</v>
      </c>
      <c r="J985">
        <v>0.31</v>
      </c>
      <c r="K985">
        <v>182.23750000000001</v>
      </c>
    </row>
    <row r="986" spans="1:11" x14ac:dyDescent="0.25">
      <c r="A986" s="1" t="s">
        <v>10</v>
      </c>
      <c r="B986" s="1" t="s">
        <v>11</v>
      </c>
      <c r="C986" s="2">
        <v>45275</v>
      </c>
      <c r="D986">
        <v>182.8</v>
      </c>
      <c r="E986">
        <v>183.25</v>
      </c>
      <c r="F986">
        <v>178.1</v>
      </c>
      <c r="G986">
        <v>178.9</v>
      </c>
      <c r="H986">
        <v>18256</v>
      </c>
      <c r="I986">
        <v>631.28</v>
      </c>
      <c r="J986">
        <v>0.31</v>
      </c>
      <c r="K986">
        <v>180.76249999999999</v>
      </c>
    </row>
    <row r="987" spans="1:11" x14ac:dyDescent="0.25">
      <c r="A987" s="1" t="s">
        <v>10</v>
      </c>
      <c r="B987" s="1" t="s">
        <v>11</v>
      </c>
      <c r="C987" s="2">
        <v>45278</v>
      </c>
      <c r="D987">
        <v>184.45</v>
      </c>
      <c r="E987">
        <v>184.45</v>
      </c>
      <c r="F987">
        <v>175.95</v>
      </c>
      <c r="G987">
        <v>178.35</v>
      </c>
      <c r="H987">
        <v>16589</v>
      </c>
      <c r="I987">
        <v>629.33000000000004</v>
      </c>
      <c r="J987">
        <v>0.31</v>
      </c>
      <c r="K987">
        <v>180.8</v>
      </c>
    </row>
    <row r="988" spans="1:11" x14ac:dyDescent="0.25">
      <c r="A988" s="1" t="s">
        <v>10</v>
      </c>
      <c r="B988" s="1" t="s">
        <v>11</v>
      </c>
      <c r="C988" s="2">
        <v>45279</v>
      </c>
      <c r="D988">
        <v>183.55</v>
      </c>
      <c r="E988">
        <v>184</v>
      </c>
      <c r="F988">
        <v>176</v>
      </c>
      <c r="G988">
        <v>178.15</v>
      </c>
      <c r="H988">
        <v>10578</v>
      </c>
      <c r="I988">
        <v>628.63</v>
      </c>
      <c r="J988">
        <v>0.31</v>
      </c>
      <c r="K988">
        <v>180.42500000000001</v>
      </c>
    </row>
    <row r="989" spans="1:11" x14ac:dyDescent="0.25">
      <c r="A989" s="1" t="s">
        <v>10</v>
      </c>
      <c r="B989" s="1" t="s">
        <v>11</v>
      </c>
      <c r="C989" s="2">
        <v>45280</v>
      </c>
      <c r="D989">
        <v>182.75</v>
      </c>
      <c r="E989">
        <v>182.75</v>
      </c>
      <c r="F989">
        <v>161.69999999999999</v>
      </c>
      <c r="G989">
        <v>166.35</v>
      </c>
      <c r="H989">
        <v>19914</v>
      </c>
      <c r="I989">
        <v>586.99</v>
      </c>
      <c r="J989">
        <v>0.31</v>
      </c>
      <c r="K989">
        <v>173.38749999999999</v>
      </c>
    </row>
    <row r="990" spans="1:11" x14ac:dyDescent="0.25">
      <c r="A990" s="1" t="s">
        <v>10</v>
      </c>
      <c r="B990" s="1" t="s">
        <v>11</v>
      </c>
      <c r="C990" s="2">
        <v>45281</v>
      </c>
      <c r="D990">
        <v>171.9</v>
      </c>
      <c r="E990">
        <v>174</v>
      </c>
      <c r="F990">
        <v>159.94999999999999</v>
      </c>
      <c r="G990">
        <v>171.5</v>
      </c>
      <c r="H990">
        <v>22505</v>
      </c>
      <c r="I990">
        <v>605.16</v>
      </c>
      <c r="J990">
        <v>0.31</v>
      </c>
      <c r="K990">
        <v>169.33750000000001</v>
      </c>
    </row>
    <row r="991" spans="1:11" x14ac:dyDescent="0.25">
      <c r="A991" s="1" t="s">
        <v>10</v>
      </c>
      <c r="B991" s="1" t="s">
        <v>11</v>
      </c>
      <c r="C991" s="2">
        <v>45282</v>
      </c>
      <c r="D991">
        <v>173.8</v>
      </c>
      <c r="E991">
        <v>200</v>
      </c>
      <c r="F991">
        <v>173</v>
      </c>
      <c r="G991">
        <v>189.3</v>
      </c>
      <c r="H991">
        <v>153434</v>
      </c>
      <c r="I991">
        <v>667.97</v>
      </c>
      <c r="J991">
        <v>0.31</v>
      </c>
      <c r="K991">
        <v>184.02500000000001</v>
      </c>
    </row>
    <row r="992" spans="1:11" x14ac:dyDescent="0.25">
      <c r="A992" s="1" t="s">
        <v>10</v>
      </c>
      <c r="B992" s="1" t="s">
        <v>11</v>
      </c>
      <c r="C992" s="2">
        <v>45286</v>
      </c>
      <c r="D992">
        <v>190.8</v>
      </c>
      <c r="E992">
        <v>196.05</v>
      </c>
      <c r="F992">
        <v>183.3</v>
      </c>
      <c r="G992">
        <v>188.9</v>
      </c>
      <c r="H992">
        <v>40524</v>
      </c>
      <c r="I992">
        <v>666.56</v>
      </c>
      <c r="J992">
        <v>0.31</v>
      </c>
      <c r="K992">
        <v>189.76249999999999</v>
      </c>
    </row>
    <row r="993" spans="1:11" x14ac:dyDescent="0.25">
      <c r="A993" s="1" t="s">
        <v>10</v>
      </c>
      <c r="B993" s="1" t="s">
        <v>11</v>
      </c>
      <c r="C993" s="2">
        <v>45287</v>
      </c>
      <c r="D993">
        <v>192.75</v>
      </c>
      <c r="E993">
        <v>192.75</v>
      </c>
      <c r="F993">
        <v>180.85</v>
      </c>
      <c r="G993">
        <v>185.95</v>
      </c>
      <c r="H993">
        <v>22336</v>
      </c>
      <c r="I993">
        <v>656.15</v>
      </c>
      <c r="J993">
        <v>0.31</v>
      </c>
      <c r="K993">
        <v>188.07499999999999</v>
      </c>
    </row>
    <row r="994" spans="1:11" x14ac:dyDescent="0.25">
      <c r="A994" s="1" t="s">
        <v>10</v>
      </c>
      <c r="B994" s="1" t="s">
        <v>11</v>
      </c>
      <c r="C994" s="2">
        <v>45288</v>
      </c>
      <c r="D994">
        <v>177.15</v>
      </c>
      <c r="E994">
        <v>187.1</v>
      </c>
      <c r="F994">
        <v>177.15</v>
      </c>
      <c r="G994">
        <v>179.15</v>
      </c>
      <c r="H994">
        <v>29087</v>
      </c>
      <c r="I994">
        <v>632.16</v>
      </c>
      <c r="J994">
        <v>0.31</v>
      </c>
      <c r="K994">
        <v>180.13749999999999</v>
      </c>
    </row>
    <row r="995" spans="1:11" x14ac:dyDescent="0.25">
      <c r="A995" s="1" t="s">
        <v>10</v>
      </c>
      <c r="B995" s="1" t="s">
        <v>11</v>
      </c>
      <c r="C995" s="2">
        <v>45289</v>
      </c>
      <c r="D995">
        <v>180</v>
      </c>
      <c r="E995">
        <v>180</v>
      </c>
      <c r="F995">
        <v>174.7</v>
      </c>
      <c r="G995">
        <v>176.55</v>
      </c>
      <c r="H995">
        <v>15126</v>
      </c>
      <c r="I995">
        <v>622.98</v>
      </c>
      <c r="J995">
        <v>0.31</v>
      </c>
      <c r="K995">
        <v>177.8125</v>
      </c>
    </row>
    <row r="996" spans="1:11" x14ac:dyDescent="0.25">
      <c r="A996" s="1" t="s">
        <v>10</v>
      </c>
      <c r="B996" s="1" t="s">
        <v>11</v>
      </c>
      <c r="C996" s="2">
        <v>45292</v>
      </c>
      <c r="D996">
        <v>178</v>
      </c>
      <c r="E996">
        <v>182.65</v>
      </c>
      <c r="F996">
        <v>174.1</v>
      </c>
      <c r="G996">
        <v>176.4</v>
      </c>
      <c r="H996">
        <v>33655</v>
      </c>
      <c r="I996">
        <v>622.45000000000005</v>
      </c>
      <c r="J996">
        <v>0.31</v>
      </c>
      <c r="K996">
        <v>177.78749999999999</v>
      </c>
    </row>
    <row r="997" spans="1:11" x14ac:dyDescent="0.25">
      <c r="A997" s="1" t="s">
        <v>10</v>
      </c>
      <c r="B997" s="1" t="s">
        <v>11</v>
      </c>
      <c r="C997" s="2">
        <v>45293</v>
      </c>
      <c r="D997">
        <v>176.4</v>
      </c>
      <c r="E997">
        <v>176.65</v>
      </c>
      <c r="F997">
        <v>169</v>
      </c>
      <c r="G997">
        <v>171.05</v>
      </c>
      <c r="H997">
        <v>20460</v>
      </c>
      <c r="I997">
        <v>603.58000000000004</v>
      </c>
      <c r="J997">
        <v>0.31</v>
      </c>
      <c r="K997">
        <v>173.27500000000001</v>
      </c>
    </row>
    <row r="998" spans="1:11" x14ac:dyDescent="0.25">
      <c r="A998" s="1" t="s">
        <v>10</v>
      </c>
      <c r="B998" s="1" t="s">
        <v>11</v>
      </c>
      <c r="C998" s="2">
        <v>45294</v>
      </c>
      <c r="D998">
        <v>172.95</v>
      </c>
      <c r="E998">
        <v>180.65</v>
      </c>
      <c r="F998">
        <v>169.35</v>
      </c>
      <c r="G998">
        <v>179.15</v>
      </c>
      <c r="H998">
        <v>33348</v>
      </c>
      <c r="I998">
        <v>632.16</v>
      </c>
      <c r="J998">
        <v>0.31</v>
      </c>
      <c r="K998">
        <v>175.52500000000001</v>
      </c>
    </row>
    <row r="999" spans="1:11" x14ac:dyDescent="0.25">
      <c r="A999" s="1" t="s">
        <v>10</v>
      </c>
      <c r="B999" s="1" t="s">
        <v>11</v>
      </c>
      <c r="C999" s="2">
        <v>45295</v>
      </c>
      <c r="D999">
        <v>180</v>
      </c>
      <c r="E999">
        <v>182.8</v>
      </c>
      <c r="F999">
        <v>175.15</v>
      </c>
      <c r="G999">
        <v>175.7</v>
      </c>
      <c r="H999">
        <v>17511</v>
      </c>
      <c r="I999">
        <v>619.98</v>
      </c>
      <c r="J999">
        <v>0.31</v>
      </c>
      <c r="K999">
        <v>178.41249999999999</v>
      </c>
    </row>
    <row r="1000" spans="1:11" x14ac:dyDescent="0.25">
      <c r="A1000" s="1" t="s">
        <v>10</v>
      </c>
      <c r="B1000" s="1" t="s">
        <v>11</v>
      </c>
      <c r="C1000" s="2">
        <v>45296</v>
      </c>
      <c r="D1000">
        <v>175.8</v>
      </c>
      <c r="E1000">
        <v>178.4</v>
      </c>
      <c r="F1000">
        <v>173.3</v>
      </c>
      <c r="G1000">
        <v>175</v>
      </c>
      <c r="H1000">
        <v>20691</v>
      </c>
      <c r="I1000">
        <v>617.51</v>
      </c>
      <c r="J1000">
        <v>0.31</v>
      </c>
      <c r="K1000">
        <v>175.625</v>
      </c>
    </row>
    <row r="1001" spans="1:11" x14ac:dyDescent="0.25">
      <c r="A1001" s="1" t="s">
        <v>10</v>
      </c>
      <c r="B1001" s="1" t="s">
        <v>11</v>
      </c>
      <c r="C1001" s="2">
        <v>45299</v>
      </c>
      <c r="D1001">
        <v>175.3</v>
      </c>
      <c r="E1001">
        <v>180.8</v>
      </c>
      <c r="F1001">
        <v>172.1</v>
      </c>
      <c r="G1001">
        <v>175.45</v>
      </c>
      <c r="H1001">
        <v>9230</v>
      </c>
      <c r="I1001">
        <v>619.1</v>
      </c>
      <c r="J1001">
        <v>0.31</v>
      </c>
      <c r="K1001">
        <v>175.91249999999999</v>
      </c>
    </row>
    <row r="1002" spans="1:11" x14ac:dyDescent="0.25">
      <c r="A1002" s="1" t="s">
        <v>10</v>
      </c>
      <c r="B1002" s="1" t="s">
        <v>11</v>
      </c>
      <c r="C1002" s="2">
        <v>45300</v>
      </c>
      <c r="D1002">
        <v>178</v>
      </c>
      <c r="E1002">
        <v>179.6</v>
      </c>
      <c r="F1002">
        <v>173.95</v>
      </c>
      <c r="G1002">
        <v>175.15</v>
      </c>
      <c r="H1002">
        <v>24785</v>
      </c>
      <c r="I1002">
        <v>618.04</v>
      </c>
      <c r="J1002">
        <v>0.31</v>
      </c>
      <c r="K1002">
        <v>176.67500000000001</v>
      </c>
    </row>
    <row r="1003" spans="1:11" x14ac:dyDescent="0.25">
      <c r="A1003" s="1" t="s">
        <v>10</v>
      </c>
      <c r="B1003" s="1" t="s">
        <v>11</v>
      </c>
      <c r="C1003" s="2">
        <v>45301</v>
      </c>
      <c r="D1003">
        <v>174.05</v>
      </c>
      <c r="E1003">
        <v>176.55</v>
      </c>
      <c r="F1003">
        <v>173.75</v>
      </c>
      <c r="G1003">
        <v>174.9</v>
      </c>
      <c r="H1003">
        <v>6287</v>
      </c>
      <c r="I1003">
        <v>617.16</v>
      </c>
      <c r="J1003">
        <v>0.31</v>
      </c>
      <c r="K1003">
        <v>174.8125</v>
      </c>
    </row>
    <row r="1004" spans="1:11" x14ac:dyDescent="0.25">
      <c r="A1004" s="1" t="s">
        <v>10</v>
      </c>
      <c r="B1004" s="1" t="s">
        <v>11</v>
      </c>
      <c r="C1004" s="2">
        <v>45302</v>
      </c>
      <c r="D1004">
        <v>177</v>
      </c>
      <c r="E1004">
        <v>179</v>
      </c>
      <c r="F1004">
        <v>175</v>
      </c>
      <c r="G1004">
        <v>177.9</v>
      </c>
      <c r="H1004">
        <v>7548</v>
      </c>
      <c r="I1004">
        <v>627.75</v>
      </c>
      <c r="J1004">
        <v>0.31</v>
      </c>
      <c r="K1004">
        <v>177.22499999999999</v>
      </c>
    </row>
    <row r="1005" spans="1:11" x14ac:dyDescent="0.25">
      <c r="A1005" s="1" t="s">
        <v>10</v>
      </c>
      <c r="B1005" s="1" t="s">
        <v>11</v>
      </c>
      <c r="C1005" s="2">
        <v>45303</v>
      </c>
      <c r="D1005">
        <v>179</v>
      </c>
      <c r="E1005">
        <v>181.5</v>
      </c>
      <c r="F1005">
        <v>177</v>
      </c>
      <c r="G1005">
        <v>178.2</v>
      </c>
      <c r="H1005">
        <v>29851</v>
      </c>
      <c r="I1005">
        <v>628.80999999999995</v>
      </c>
      <c r="J1005">
        <v>0.31</v>
      </c>
      <c r="K1005">
        <v>178.92500000000001</v>
      </c>
    </row>
    <row r="1006" spans="1:11" x14ac:dyDescent="0.25">
      <c r="A1006" s="1" t="s">
        <v>10</v>
      </c>
      <c r="B1006" s="1" t="s">
        <v>11</v>
      </c>
      <c r="C1006" s="2">
        <v>45306</v>
      </c>
      <c r="D1006">
        <v>179.9</v>
      </c>
      <c r="E1006">
        <v>183.05</v>
      </c>
      <c r="F1006">
        <v>175</v>
      </c>
      <c r="G1006">
        <v>176.35</v>
      </c>
      <c r="H1006">
        <v>19673</v>
      </c>
      <c r="I1006">
        <v>622.28</v>
      </c>
      <c r="J1006">
        <v>0.31</v>
      </c>
      <c r="K1006">
        <v>178.57499999999999</v>
      </c>
    </row>
    <row r="1007" spans="1:11" x14ac:dyDescent="0.25">
      <c r="A1007" s="1" t="s">
        <v>10</v>
      </c>
      <c r="B1007" s="1" t="s">
        <v>11</v>
      </c>
      <c r="C1007" s="2">
        <v>45307</v>
      </c>
      <c r="D1007">
        <v>179.85</v>
      </c>
      <c r="E1007">
        <v>179.95</v>
      </c>
      <c r="F1007">
        <v>163.65</v>
      </c>
      <c r="G1007">
        <v>165.65</v>
      </c>
      <c r="H1007">
        <v>19592</v>
      </c>
      <c r="I1007">
        <v>584.52</v>
      </c>
      <c r="J1007">
        <v>0.31</v>
      </c>
      <c r="K1007">
        <v>172.27500000000001</v>
      </c>
    </row>
    <row r="1008" spans="1:11" x14ac:dyDescent="0.25">
      <c r="A1008" s="1" t="s">
        <v>10</v>
      </c>
      <c r="B1008" s="1" t="s">
        <v>11</v>
      </c>
      <c r="C1008" s="2">
        <v>45308</v>
      </c>
      <c r="D1008">
        <v>165.6</v>
      </c>
      <c r="E1008">
        <v>173.8</v>
      </c>
      <c r="F1008">
        <v>162.6</v>
      </c>
      <c r="G1008">
        <v>170.2</v>
      </c>
      <c r="H1008">
        <v>39367</v>
      </c>
      <c r="I1008">
        <v>600.58000000000004</v>
      </c>
      <c r="J1008">
        <v>0.31</v>
      </c>
      <c r="K1008">
        <v>168.05</v>
      </c>
    </row>
    <row r="1009" spans="1:11" x14ac:dyDescent="0.25">
      <c r="A1009" s="1" t="s">
        <v>10</v>
      </c>
      <c r="B1009" s="1" t="s">
        <v>11</v>
      </c>
      <c r="C1009" s="2">
        <v>45309</v>
      </c>
      <c r="D1009">
        <v>172.85</v>
      </c>
      <c r="E1009">
        <v>172.85</v>
      </c>
      <c r="F1009">
        <v>164.75</v>
      </c>
      <c r="G1009">
        <v>169.3</v>
      </c>
      <c r="H1009">
        <v>28069</v>
      </c>
      <c r="I1009">
        <v>597.4</v>
      </c>
      <c r="J1009">
        <v>0.31</v>
      </c>
      <c r="K1009">
        <v>169.9375</v>
      </c>
    </row>
    <row r="1010" spans="1:11" x14ac:dyDescent="0.25">
      <c r="A1010" s="1" t="s">
        <v>10</v>
      </c>
      <c r="B1010" s="1" t="s">
        <v>11</v>
      </c>
      <c r="C1010" s="2">
        <v>45310</v>
      </c>
      <c r="D1010">
        <v>170.05</v>
      </c>
      <c r="E1010">
        <v>172.65</v>
      </c>
      <c r="F1010">
        <v>168.3</v>
      </c>
      <c r="G1010">
        <v>170.9</v>
      </c>
      <c r="H1010">
        <v>5980</v>
      </c>
      <c r="I1010">
        <v>603.04999999999995</v>
      </c>
      <c r="J1010">
        <v>0.31</v>
      </c>
      <c r="K1010">
        <v>170.47499999999999</v>
      </c>
    </row>
    <row r="1011" spans="1:11" x14ac:dyDescent="0.25">
      <c r="A1011" s="1" t="s">
        <v>10</v>
      </c>
      <c r="B1011" s="1" t="s">
        <v>11</v>
      </c>
      <c r="C1011" s="2">
        <v>45311</v>
      </c>
      <c r="D1011">
        <v>172</v>
      </c>
      <c r="E1011">
        <v>173.15</v>
      </c>
      <c r="F1011">
        <v>168.1</v>
      </c>
      <c r="G1011">
        <v>170.6</v>
      </c>
      <c r="H1011">
        <v>13387</v>
      </c>
      <c r="I1011">
        <v>601.99</v>
      </c>
      <c r="J1011">
        <v>0.31</v>
      </c>
      <c r="K1011">
        <v>170.96250000000001</v>
      </c>
    </row>
    <row r="1012" spans="1:11" x14ac:dyDescent="0.25">
      <c r="A1012" s="1" t="s">
        <v>10</v>
      </c>
      <c r="B1012" s="1" t="s">
        <v>11</v>
      </c>
      <c r="C1012" s="2">
        <v>45314</v>
      </c>
      <c r="D1012">
        <v>171.4</v>
      </c>
      <c r="E1012">
        <v>171.4</v>
      </c>
      <c r="F1012">
        <v>165.5</v>
      </c>
      <c r="G1012">
        <v>166.95</v>
      </c>
      <c r="H1012">
        <v>16164</v>
      </c>
      <c r="I1012">
        <v>589.11</v>
      </c>
      <c r="J1012">
        <v>0.31</v>
      </c>
      <c r="K1012">
        <v>168.8125</v>
      </c>
    </row>
    <row r="1013" spans="1:11" x14ac:dyDescent="0.25">
      <c r="A1013" s="1" t="s">
        <v>10</v>
      </c>
      <c r="B1013" s="1" t="s">
        <v>11</v>
      </c>
      <c r="C1013" s="2">
        <v>45315</v>
      </c>
      <c r="D1013">
        <v>167</v>
      </c>
      <c r="E1013">
        <v>169.1</v>
      </c>
      <c r="F1013">
        <v>164.1</v>
      </c>
      <c r="G1013">
        <v>166.7</v>
      </c>
      <c r="H1013">
        <v>4545</v>
      </c>
      <c r="I1013">
        <v>588.23</v>
      </c>
      <c r="J1013">
        <v>0.31</v>
      </c>
      <c r="K1013">
        <v>166.72499999999999</v>
      </c>
    </row>
    <row r="1014" spans="1:11" x14ac:dyDescent="0.25">
      <c r="A1014" s="1" t="s">
        <v>10</v>
      </c>
      <c r="B1014" s="1" t="s">
        <v>11</v>
      </c>
      <c r="C1014" s="2">
        <v>45316</v>
      </c>
      <c r="D1014">
        <v>168.25</v>
      </c>
      <c r="E1014">
        <v>177.8</v>
      </c>
      <c r="F1014">
        <v>166.5</v>
      </c>
      <c r="G1014">
        <v>175.95</v>
      </c>
      <c r="H1014">
        <v>27213</v>
      </c>
      <c r="I1014">
        <v>620.87</v>
      </c>
      <c r="J1014">
        <v>0.31</v>
      </c>
      <c r="K1014">
        <v>172.125</v>
      </c>
    </row>
    <row r="1015" spans="1:11" x14ac:dyDescent="0.25">
      <c r="A1015" s="1" t="s">
        <v>10</v>
      </c>
      <c r="B1015" s="1" t="s">
        <v>11</v>
      </c>
      <c r="C1015" s="2">
        <v>45320</v>
      </c>
      <c r="D1015">
        <v>176.45</v>
      </c>
      <c r="E1015">
        <v>177</v>
      </c>
      <c r="F1015">
        <v>168.3</v>
      </c>
      <c r="G1015">
        <v>169.1</v>
      </c>
      <c r="H1015">
        <v>28867</v>
      </c>
      <c r="I1015">
        <v>596.69000000000005</v>
      </c>
      <c r="J1015">
        <v>0.31</v>
      </c>
      <c r="K1015">
        <v>172.71250000000001</v>
      </c>
    </row>
    <row r="1016" spans="1:11" x14ac:dyDescent="0.25">
      <c r="A1016" s="1" t="s">
        <v>10</v>
      </c>
      <c r="B1016" s="1" t="s">
        <v>11</v>
      </c>
      <c r="C1016" s="2">
        <v>45321</v>
      </c>
      <c r="D1016">
        <v>170</v>
      </c>
      <c r="E1016">
        <v>172.9</v>
      </c>
      <c r="F1016">
        <v>163.35</v>
      </c>
      <c r="G1016">
        <v>170.3</v>
      </c>
      <c r="H1016">
        <v>28969</v>
      </c>
      <c r="I1016">
        <v>600.92999999999995</v>
      </c>
      <c r="J1016">
        <v>0.31</v>
      </c>
      <c r="K1016">
        <v>169.13749999999999</v>
      </c>
    </row>
    <row r="1017" spans="1:11" x14ac:dyDescent="0.25">
      <c r="A1017" s="1" t="s">
        <v>10</v>
      </c>
      <c r="B1017" s="1" t="s">
        <v>11</v>
      </c>
      <c r="C1017" s="2">
        <v>45322</v>
      </c>
      <c r="D1017">
        <v>170.25</v>
      </c>
      <c r="E1017">
        <v>170.8</v>
      </c>
      <c r="F1017">
        <v>166</v>
      </c>
      <c r="G1017">
        <v>168.85</v>
      </c>
      <c r="H1017">
        <v>16137</v>
      </c>
      <c r="I1017">
        <v>595.80999999999995</v>
      </c>
      <c r="J1017">
        <v>0.31</v>
      </c>
      <c r="K1017">
        <v>168.97499999999999</v>
      </c>
    </row>
    <row r="1018" spans="1:11" x14ac:dyDescent="0.25">
      <c r="A1018" s="1" t="s">
        <v>10</v>
      </c>
      <c r="B1018" s="1" t="s">
        <v>11</v>
      </c>
      <c r="C1018" s="2">
        <v>45323</v>
      </c>
      <c r="D1018">
        <v>167.7</v>
      </c>
      <c r="E1018">
        <v>169.75</v>
      </c>
      <c r="F1018">
        <v>165.75</v>
      </c>
      <c r="G1018">
        <v>166.35</v>
      </c>
      <c r="H1018">
        <v>6283</v>
      </c>
      <c r="I1018">
        <v>586.99</v>
      </c>
      <c r="J1018">
        <v>0.31</v>
      </c>
      <c r="K1018">
        <v>167.38749999999999</v>
      </c>
    </row>
    <row r="1019" spans="1:11" x14ac:dyDescent="0.25">
      <c r="A1019" s="1" t="s">
        <v>10</v>
      </c>
      <c r="B1019" s="1" t="s">
        <v>11</v>
      </c>
      <c r="C1019" s="2">
        <v>45324</v>
      </c>
      <c r="D1019">
        <v>173</v>
      </c>
      <c r="E1019">
        <v>173</v>
      </c>
      <c r="F1019">
        <v>163.5</v>
      </c>
      <c r="G1019">
        <v>163.65</v>
      </c>
      <c r="H1019">
        <v>32808</v>
      </c>
      <c r="I1019">
        <v>577.46</v>
      </c>
      <c r="J1019">
        <v>0.31</v>
      </c>
      <c r="K1019">
        <v>168.28749999999999</v>
      </c>
    </row>
    <row r="1020" spans="1:11" x14ac:dyDescent="0.25">
      <c r="A1020" s="1" t="s">
        <v>10</v>
      </c>
      <c r="B1020" s="1" t="s">
        <v>11</v>
      </c>
      <c r="C1020" s="2">
        <v>45327</v>
      </c>
      <c r="D1020">
        <v>166.95</v>
      </c>
      <c r="E1020">
        <v>166.95</v>
      </c>
      <c r="F1020">
        <v>156.30000000000001</v>
      </c>
      <c r="G1020">
        <v>157.4</v>
      </c>
      <c r="H1020">
        <v>37511</v>
      </c>
      <c r="I1020">
        <v>555.41</v>
      </c>
      <c r="J1020">
        <v>0.31</v>
      </c>
      <c r="K1020">
        <v>161.9</v>
      </c>
    </row>
    <row r="1021" spans="1:11" x14ac:dyDescent="0.25">
      <c r="A1021" s="1" t="s">
        <v>10</v>
      </c>
      <c r="B1021" s="1" t="s">
        <v>11</v>
      </c>
      <c r="C1021" s="2">
        <v>45328</v>
      </c>
      <c r="D1021">
        <v>159</v>
      </c>
      <c r="E1021">
        <v>159.55000000000001</v>
      </c>
      <c r="F1021">
        <v>152</v>
      </c>
      <c r="G1021">
        <v>154.9</v>
      </c>
      <c r="H1021">
        <v>11104</v>
      </c>
      <c r="I1021">
        <v>546.59</v>
      </c>
      <c r="J1021">
        <v>0.31</v>
      </c>
      <c r="K1021">
        <v>156.36250000000001</v>
      </c>
    </row>
    <row r="1022" spans="1:11" x14ac:dyDescent="0.25">
      <c r="A1022" s="1" t="s">
        <v>10</v>
      </c>
      <c r="B1022" s="1" t="s">
        <v>11</v>
      </c>
      <c r="C1022" s="2">
        <v>45329</v>
      </c>
      <c r="D1022">
        <v>158</v>
      </c>
      <c r="E1022">
        <v>164.95</v>
      </c>
      <c r="F1022">
        <v>157.1</v>
      </c>
      <c r="G1022">
        <v>161.25</v>
      </c>
      <c r="H1022">
        <v>11357</v>
      </c>
      <c r="I1022">
        <v>568.99</v>
      </c>
      <c r="J1022">
        <v>0.31</v>
      </c>
      <c r="K1022">
        <v>160.32499999999999</v>
      </c>
    </row>
    <row r="1023" spans="1:11" x14ac:dyDescent="0.25">
      <c r="A1023" s="1" t="s">
        <v>10</v>
      </c>
      <c r="B1023" s="1" t="s">
        <v>11</v>
      </c>
      <c r="C1023" s="2">
        <v>45330</v>
      </c>
      <c r="D1023">
        <v>165.05</v>
      </c>
      <c r="E1023">
        <v>167</v>
      </c>
      <c r="F1023">
        <v>158.1</v>
      </c>
      <c r="G1023">
        <v>160.44999999999999</v>
      </c>
      <c r="H1023">
        <v>15494</v>
      </c>
      <c r="I1023">
        <v>566.16999999999996</v>
      </c>
      <c r="J1023">
        <v>0.31</v>
      </c>
      <c r="K1023">
        <v>162.65</v>
      </c>
    </row>
    <row r="1024" spans="1:11" x14ac:dyDescent="0.25">
      <c r="A1024" s="1" t="s">
        <v>10</v>
      </c>
      <c r="B1024" s="1" t="s">
        <v>11</v>
      </c>
      <c r="C1024" s="2">
        <v>45331</v>
      </c>
      <c r="D1024">
        <v>158.05000000000001</v>
      </c>
      <c r="E1024">
        <v>167.25</v>
      </c>
      <c r="F1024">
        <v>155.6</v>
      </c>
      <c r="G1024">
        <v>156.6</v>
      </c>
      <c r="H1024">
        <v>20102</v>
      </c>
      <c r="I1024">
        <v>552.59</v>
      </c>
      <c r="J1024">
        <v>0.31</v>
      </c>
      <c r="K1024">
        <v>159.375</v>
      </c>
    </row>
    <row r="1025" spans="1:11" x14ac:dyDescent="0.25">
      <c r="A1025" s="1" t="s">
        <v>10</v>
      </c>
      <c r="B1025" s="1" t="s">
        <v>11</v>
      </c>
      <c r="C1025" s="2">
        <v>45334</v>
      </c>
      <c r="D1025">
        <v>156.05000000000001</v>
      </c>
      <c r="E1025">
        <v>157.25</v>
      </c>
      <c r="F1025">
        <v>149.05000000000001</v>
      </c>
      <c r="G1025">
        <v>150</v>
      </c>
      <c r="H1025">
        <v>35209</v>
      </c>
      <c r="I1025">
        <v>529.29999999999995</v>
      </c>
      <c r="J1025">
        <v>0.31</v>
      </c>
      <c r="K1025">
        <v>153.08750000000001</v>
      </c>
    </row>
    <row r="1026" spans="1:11" x14ac:dyDescent="0.25">
      <c r="A1026" s="1" t="s">
        <v>10</v>
      </c>
      <c r="B1026" s="1" t="s">
        <v>11</v>
      </c>
      <c r="C1026" s="2">
        <v>45335</v>
      </c>
      <c r="D1026">
        <v>150</v>
      </c>
      <c r="E1026">
        <v>152</v>
      </c>
      <c r="F1026">
        <v>144.5</v>
      </c>
      <c r="G1026">
        <v>150.19999999999999</v>
      </c>
      <c r="H1026">
        <v>38993</v>
      </c>
      <c r="I1026">
        <v>530</v>
      </c>
      <c r="J1026">
        <v>0.31</v>
      </c>
      <c r="K1026">
        <v>149.17500000000001</v>
      </c>
    </row>
    <row r="1027" spans="1:11" x14ac:dyDescent="0.25">
      <c r="A1027" s="1" t="s">
        <v>10</v>
      </c>
      <c r="B1027" s="1" t="s">
        <v>11</v>
      </c>
      <c r="C1027" s="2">
        <v>45336</v>
      </c>
      <c r="D1027">
        <v>146</v>
      </c>
      <c r="E1027">
        <v>156.05000000000001</v>
      </c>
      <c r="F1027">
        <v>145</v>
      </c>
      <c r="G1027">
        <v>155.1</v>
      </c>
      <c r="H1027">
        <v>9296</v>
      </c>
      <c r="I1027">
        <v>547.29</v>
      </c>
      <c r="J1027">
        <v>0.31</v>
      </c>
      <c r="K1027">
        <v>150.53749999999999</v>
      </c>
    </row>
    <row r="1028" spans="1:11" x14ac:dyDescent="0.25">
      <c r="A1028" s="1" t="s">
        <v>10</v>
      </c>
      <c r="B1028" s="1" t="s">
        <v>11</v>
      </c>
      <c r="C1028" s="2">
        <v>45337</v>
      </c>
      <c r="D1028">
        <v>155.55000000000001</v>
      </c>
      <c r="E1028">
        <v>157.19999999999999</v>
      </c>
      <c r="F1028">
        <v>152.25</v>
      </c>
      <c r="G1028">
        <v>153.65</v>
      </c>
      <c r="H1028">
        <v>5207</v>
      </c>
      <c r="I1028">
        <v>542.17999999999995</v>
      </c>
      <c r="J1028">
        <v>0.31</v>
      </c>
      <c r="K1028">
        <v>154.66249999999999</v>
      </c>
    </row>
    <row r="1029" spans="1:11" x14ac:dyDescent="0.25">
      <c r="A1029" s="1" t="s">
        <v>10</v>
      </c>
      <c r="B1029" s="1" t="s">
        <v>11</v>
      </c>
      <c r="C1029" s="2">
        <v>45338</v>
      </c>
      <c r="D1029">
        <v>155</v>
      </c>
      <c r="E1029">
        <v>158.25</v>
      </c>
      <c r="F1029">
        <v>152.80000000000001</v>
      </c>
      <c r="G1029">
        <v>154.30000000000001</v>
      </c>
      <c r="H1029">
        <v>7449</v>
      </c>
      <c r="I1029">
        <v>544.47</v>
      </c>
      <c r="J1029">
        <v>0.31</v>
      </c>
      <c r="K1029">
        <v>155.08750000000001</v>
      </c>
    </row>
    <row r="1030" spans="1:11" x14ac:dyDescent="0.25">
      <c r="A1030" s="1" t="s">
        <v>10</v>
      </c>
      <c r="B1030" s="1" t="s">
        <v>11</v>
      </c>
      <c r="C1030" s="2">
        <v>45341</v>
      </c>
      <c r="D1030">
        <v>155</v>
      </c>
      <c r="E1030">
        <v>156.30000000000001</v>
      </c>
      <c r="F1030">
        <v>153.4</v>
      </c>
      <c r="G1030">
        <v>154.65</v>
      </c>
      <c r="H1030">
        <v>5114</v>
      </c>
      <c r="I1030">
        <v>545.71</v>
      </c>
      <c r="J1030">
        <v>0.31</v>
      </c>
      <c r="K1030">
        <v>154.83750000000001</v>
      </c>
    </row>
    <row r="1031" spans="1:11" x14ac:dyDescent="0.25">
      <c r="A1031" s="1" t="s">
        <v>10</v>
      </c>
      <c r="B1031" s="1" t="s">
        <v>11</v>
      </c>
      <c r="C1031" s="2">
        <v>45342</v>
      </c>
      <c r="D1031">
        <v>155</v>
      </c>
      <c r="E1031">
        <v>159</v>
      </c>
      <c r="F1031">
        <v>154.4</v>
      </c>
      <c r="G1031">
        <v>158.05000000000001</v>
      </c>
      <c r="H1031">
        <v>9922</v>
      </c>
      <c r="I1031">
        <v>557.70000000000005</v>
      </c>
      <c r="J1031">
        <v>0.31</v>
      </c>
      <c r="K1031">
        <v>156.61250000000001</v>
      </c>
    </row>
    <row r="1032" spans="1:11" x14ac:dyDescent="0.25">
      <c r="A1032" s="1" t="s">
        <v>10</v>
      </c>
      <c r="B1032" s="1" t="s">
        <v>11</v>
      </c>
      <c r="C1032" s="2">
        <v>45343</v>
      </c>
      <c r="D1032">
        <v>156.4</v>
      </c>
      <c r="E1032">
        <v>159</v>
      </c>
      <c r="F1032">
        <v>151.94999999999999</v>
      </c>
      <c r="G1032">
        <v>153.1</v>
      </c>
      <c r="H1032">
        <v>12555</v>
      </c>
      <c r="I1032">
        <v>540.24</v>
      </c>
      <c r="J1032">
        <v>0.31</v>
      </c>
      <c r="K1032">
        <v>155.11250000000001</v>
      </c>
    </row>
    <row r="1033" spans="1:11" x14ac:dyDescent="0.25">
      <c r="A1033" s="1" t="s">
        <v>10</v>
      </c>
      <c r="B1033" s="1" t="s">
        <v>11</v>
      </c>
      <c r="C1033" s="2">
        <v>45344</v>
      </c>
      <c r="D1033">
        <v>154.94999999999999</v>
      </c>
      <c r="E1033">
        <v>154.94999999999999</v>
      </c>
      <c r="F1033">
        <v>145.19999999999999</v>
      </c>
      <c r="G1033">
        <v>149.80000000000001</v>
      </c>
      <c r="H1033">
        <v>20683</v>
      </c>
      <c r="I1033">
        <v>528.59</v>
      </c>
      <c r="J1033">
        <v>0.31</v>
      </c>
      <c r="K1033">
        <v>151.22499999999999</v>
      </c>
    </row>
    <row r="1034" spans="1:11" x14ac:dyDescent="0.25">
      <c r="A1034" s="1" t="s">
        <v>10</v>
      </c>
      <c r="B1034" s="1" t="s">
        <v>11</v>
      </c>
      <c r="C1034" s="2">
        <v>45345</v>
      </c>
      <c r="D1034">
        <v>150.05000000000001</v>
      </c>
      <c r="E1034">
        <v>157</v>
      </c>
      <c r="F1034">
        <v>150.05000000000001</v>
      </c>
      <c r="G1034">
        <v>154.69999999999999</v>
      </c>
      <c r="H1034">
        <v>28434</v>
      </c>
      <c r="I1034">
        <v>545.88</v>
      </c>
      <c r="J1034">
        <v>0.31</v>
      </c>
      <c r="K1034">
        <v>152.94999999999999</v>
      </c>
    </row>
    <row r="1035" spans="1:11" x14ac:dyDescent="0.25">
      <c r="A1035" s="1" t="s">
        <v>10</v>
      </c>
      <c r="B1035" s="1" t="s">
        <v>11</v>
      </c>
      <c r="C1035" s="2">
        <v>45348</v>
      </c>
      <c r="D1035">
        <v>152.15</v>
      </c>
      <c r="E1035">
        <v>155.65</v>
      </c>
      <c r="F1035">
        <v>148.65</v>
      </c>
      <c r="G1035">
        <v>149.30000000000001</v>
      </c>
      <c r="H1035">
        <v>5853</v>
      </c>
      <c r="I1035">
        <v>526.83000000000004</v>
      </c>
      <c r="J1035">
        <v>0.31</v>
      </c>
      <c r="K1035">
        <v>151.4375</v>
      </c>
    </row>
    <row r="1036" spans="1:11" x14ac:dyDescent="0.25">
      <c r="A1036" s="1" t="s">
        <v>10</v>
      </c>
      <c r="B1036" s="1" t="s">
        <v>11</v>
      </c>
      <c r="C1036" s="2">
        <v>45349</v>
      </c>
      <c r="D1036">
        <v>150.19999999999999</v>
      </c>
      <c r="E1036">
        <v>150.65</v>
      </c>
      <c r="F1036">
        <v>147.69999999999999</v>
      </c>
      <c r="G1036">
        <v>149.1</v>
      </c>
      <c r="H1036">
        <v>13938</v>
      </c>
      <c r="I1036">
        <v>526.12</v>
      </c>
      <c r="J1036">
        <v>0.31</v>
      </c>
      <c r="K1036">
        <v>149.41249999999999</v>
      </c>
    </row>
    <row r="1037" spans="1:11" x14ac:dyDescent="0.25">
      <c r="A1037" s="1" t="s">
        <v>10</v>
      </c>
      <c r="B1037" s="1" t="s">
        <v>11</v>
      </c>
      <c r="C1037" s="2">
        <v>45350</v>
      </c>
      <c r="D1037">
        <v>151.30000000000001</v>
      </c>
      <c r="E1037">
        <v>151.30000000000001</v>
      </c>
      <c r="F1037">
        <v>143.85</v>
      </c>
      <c r="G1037">
        <v>144.6</v>
      </c>
      <c r="H1037">
        <v>7547</v>
      </c>
      <c r="I1037">
        <v>510.24</v>
      </c>
      <c r="J1037">
        <v>0.31</v>
      </c>
      <c r="K1037">
        <v>147.76249999999999</v>
      </c>
    </row>
    <row r="1038" spans="1:11" x14ac:dyDescent="0.25">
      <c r="A1038" s="1" t="s">
        <v>10</v>
      </c>
      <c r="B1038" s="1" t="s">
        <v>11</v>
      </c>
      <c r="C1038" s="2">
        <v>45351</v>
      </c>
      <c r="D1038">
        <v>143</v>
      </c>
      <c r="E1038">
        <v>150.94999999999999</v>
      </c>
      <c r="F1038">
        <v>143</v>
      </c>
      <c r="G1038">
        <v>149.25</v>
      </c>
      <c r="H1038">
        <v>6071</v>
      </c>
      <c r="I1038">
        <v>526.65</v>
      </c>
      <c r="J1038">
        <v>0.31</v>
      </c>
      <c r="K1038">
        <v>146.55000000000001</v>
      </c>
    </row>
    <row r="1039" spans="1:11" x14ac:dyDescent="0.25">
      <c r="A1039" s="1" t="s">
        <v>10</v>
      </c>
      <c r="B1039" s="1" t="s">
        <v>11</v>
      </c>
      <c r="C1039" s="2">
        <v>45352</v>
      </c>
      <c r="D1039">
        <v>150.15</v>
      </c>
      <c r="E1039">
        <v>150.25</v>
      </c>
      <c r="F1039">
        <v>145.25</v>
      </c>
      <c r="G1039">
        <v>148.85</v>
      </c>
      <c r="H1039">
        <v>5290</v>
      </c>
      <c r="I1039">
        <v>525.24</v>
      </c>
      <c r="J1039">
        <v>0.31</v>
      </c>
      <c r="K1039">
        <v>148.625</v>
      </c>
    </row>
    <row r="1040" spans="1:11" x14ac:dyDescent="0.25">
      <c r="A1040" s="1" t="s">
        <v>10</v>
      </c>
      <c r="B1040" s="1" t="s">
        <v>11</v>
      </c>
      <c r="C1040" s="2">
        <v>45353</v>
      </c>
      <c r="D1040">
        <v>148.94999999999999</v>
      </c>
      <c r="E1040">
        <v>149.9</v>
      </c>
      <c r="F1040">
        <v>148.19999999999999</v>
      </c>
      <c r="G1040">
        <v>149.19999999999999</v>
      </c>
      <c r="H1040">
        <v>27</v>
      </c>
      <c r="I1040">
        <v>526.47</v>
      </c>
      <c r="J1040">
        <v>0.31</v>
      </c>
      <c r="K1040">
        <v>149.0625</v>
      </c>
    </row>
    <row r="1041" spans="1:11" x14ac:dyDescent="0.25">
      <c r="A1041" s="1" t="s">
        <v>10</v>
      </c>
      <c r="B1041" s="1" t="s">
        <v>11</v>
      </c>
      <c r="C1041" s="2">
        <v>45355</v>
      </c>
      <c r="D1041">
        <v>149.69999999999999</v>
      </c>
      <c r="E1041">
        <v>149.69999999999999</v>
      </c>
      <c r="F1041">
        <v>143.4</v>
      </c>
      <c r="G1041">
        <v>143.94999999999999</v>
      </c>
      <c r="H1041">
        <v>3736</v>
      </c>
      <c r="I1041">
        <v>507.95</v>
      </c>
      <c r="J1041">
        <v>0.31</v>
      </c>
      <c r="K1041">
        <v>146.6875</v>
      </c>
    </row>
    <row r="1042" spans="1:11" x14ac:dyDescent="0.25">
      <c r="A1042" s="1" t="s">
        <v>10</v>
      </c>
      <c r="B1042" s="1" t="s">
        <v>11</v>
      </c>
      <c r="C1042" s="2">
        <v>45356</v>
      </c>
      <c r="D1042">
        <v>146.25</v>
      </c>
      <c r="E1042">
        <v>146.75</v>
      </c>
      <c r="F1042">
        <v>143.80000000000001</v>
      </c>
      <c r="G1042">
        <v>145.25</v>
      </c>
      <c r="H1042">
        <v>2905</v>
      </c>
      <c r="I1042">
        <v>512.54</v>
      </c>
      <c r="J1042">
        <v>0.31</v>
      </c>
      <c r="K1042">
        <v>145.51249999999999</v>
      </c>
    </row>
    <row r="1043" spans="1:11" x14ac:dyDescent="0.25">
      <c r="A1043" s="1" t="s">
        <v>10</v>
      </c>
      <c r="B1043" s="1" t="s">
        <v>11</v>
      </c>
      <c r="C1043" s="2">
        <v>45357</v>
      </c>
      <c r="D1043">
        <v>163.15</v>
      </c>
      <c r="E1043">
        <v>174.05</v>
      </c>
      <c r="F1043">
        <v>150.55000000000001</v>
      </c>
      <c r="G1043">
        <v>157.4</v>
      </c>
      <c r="H1043">
        <v>242093</v>
      </c>
      <c r="I1043">
        <v>555.41</v>
      </c>
      <c r="J1043">
        <v>0.31</v>
      </c>
      <c r="K1043">
        <v>161.28749999999999</v>
      </c>
    </row>
    <row r="1044" spans="1:11" x14ac:dyDescent="0.25">
      <c r="A1044" s="1" t="s">
        <v>10</v>
      </c>
      <c r="B1044" s="1" t="s">
        <v>11</v>
      </c>
      <c r="C1044" s="2">
        <v>45358</v>
      </c>
      <c r="D1044">
        <v>157.19999999999999</v>
      </c>
      <c r="E1044">
        <v>157.19999999999999</v>
      </c>
      <c r="F1044">
        <v>147.4</v>
      </c>
      <c r="G1044">
        <v>149.1</v>
      </c>
      <c r="H1044">
        <v>26645</v>
      </c>
      <c r="I1044">
        <v>526.12</v>
      </c>
      <c r="J1044">
        <v>0.31</v>
      </c>
      <c r="K1044">
        <v>152.72499999999999</v>
      </c>
    </row>
    <row r="1045" spans="1:11" x14ac:dyDescent="0.25">
      <c r="A1045" s="1" t="s">
        <v>10</v>
      </c>
      <c r="B1045" s="1" t="s">
        <v>11</v>
      </c>
      <c r="C1045" s="2">
        <v>45362</v>
      </c>
      <c r="D1045">
        <v>149.1</v>
      </c>
      <c r="E1045">
        <v>150.19999999999999</v>
      </c>
      <c r="F1045">
        <v>143.55000000000001</v>
      </c>
      <c r="G1045">
        <v>145.05000000000001</v>
      </c>
      <c r="H1045">
        <v>18477</v>
      </c>
      <c r="I1045">
        <v>511.83</v>
      </c>
      <c r="J1045">
        <v>0.31</v>
      </c>
      <c r="K1045">
        <v>146.97499999999999</v>
      </c>
    </row>
    <row r="1046" spans="1:11" x14ac:dyDescent="0.25">
      <c r="A1046" s="1" t="s">
        <v>10</v>
      </c>
      <c r="B1046" s="1" t="s">
        <v>11</v>
      </c>
      <c r="C1046" s="2">
        <v>45363</v>
      </c>
      <c r="D1046">
        <v>145</v>
      </c>
      <c r="E1046">
        <v>146</v>
      </c>
      <c r="F1046">
        <v>141.5</v>
      </c>
      <c r="G1046">
        <v>144.75</v>
      </c>
      <c r="H1046">
        <v>14602</v>
      </c>
      <c r="I1046">
        <v>510.77</v>
      </c>
      <c r="J1046">
        <v>0.31</v>
      </c>
      <c r="K1046">
        <v>144.3125</v>
      </c>
    </row>
    <row r="1047" spans="1:11" x14ac:dyDescent="0.25">
      <c r="A1047" s="1" t="s">
        <v>10</v>
      </c>
      <c r="B1047" s="1" t="s">
        <v>11</v>
      </c>
      <c r="C1047" s="2">
        <v>45364</v>
      </c>
      <c r="D1047">
        <v>143.75</v>
      </c>
      <c r="E1047">
        <v>145.35</v>
      </c>
      <c r="F1047">
        <v>131.25</v>
      </c>
      <c r="G1047">
        <v>136.94999999999999</v>
      </c>
      <c r="H1047">
        <v>63439</v>
      </c>
      <c r="I1047">
        <v>483.25</v>
      </c>
      <c r="J1047">
        <v>0.31</v>
      </c>
      <c r="K1047">
        <v>139.32499999999999</v>
      </c>
    </row>
    <row r="1048" spans="1:11" x14ac:dyDescent="0.25">
      <c r="A1048" s="1" t="s">
        <v>10</v>
      </c>
      <c r="B1048" s="1" t="s">
        <v>11</v>
      </c>
      <c r="C1048" s="2">
        <v>45365</v>
      </c>
      <c r="D1048">
        <v>136.94999999999999</v>
      </c>
      <c r="E1048">
        <v>151</v>
      </c>
      <c r="F1048">
        <v>136.05000000000001</v>
      </c>
      <c r="G1048">
        <v>149.1</v>
      </c>
      <c r="H1048">
        <v>25414</v>
      </c>
      <c r="I1048">
        <v>526.12</v>
      </c>
      <c r="J1048">
        <v>0.31</v>
      </c>
      <c r="K1048">
        <v>143.27500000000001</v>
      </c>
    </row>
    <row r="1049" spans="1:11" x14ac:dyDescent="0.25">
      <c r="A1049" s="1" t="s">
        <v>10</v>
      </c>
      <c r="B1049" s="1" t="s">
        <v>11</v>
      </c>
      <c r="C1049" s="2">
        <v>45366</v>
      </c>
      <c r="D1049">
        <v>149.85</v>
      </c>
      <c r="E1049">
        <v>154.19999999999999</v>
      </c>
      <c r="F1049">
        <v>145.1</v>
      </c>
      <c r="G1049">
        <v>150.55000000000001</v>
      </c>
      <c r="H1049">
        <v>25723</v>
      </c>
      <c r="I1049">
        <v>531.24</v>
      </c>
      <c r="J1049">
        <v>0.31</v>
      </c>
      <c r="K1049">
        <v>149.92500000000001</v>
      </c>
    </row>
    <row r="1050" spans="1:11" x14ac:dyDescent="0.25">
      <c r="A1050" s="1" t="s">
        <v>10</v>
      </c>
      <c r="B1050" s="1" t="s">
        <v>11</v>
      </c>
      <c r="C1050" s="2">
        <v>45369</v>
      </c>
      <c r="D1050">
        <v>153.6</v>
      </c>
      <c r="E1050">
        <v>158.5</v>
      </c>
      <c r="F1050">
        <v>150.15</v>
      </c>
      <c r="G1050">
        <v>150.6</v>
      </c>
      <c r="H1050">
        <v>5296</v>
      </c>
      <c r="I1050">
        <v>531.41</v>
      </c>
      <c r="J1050">
        <v>0.31</v>
      </c>
      <c r="K1050">
        <v>153.21250000000001</v>
      </c>
    </row>
    <row r="1051" spans="1:11" x14ac:dyDescent="0.25">
      <c r="A1051" s="1" t="s">
        <v>10</v>
      </c>
      <c r="B1051" s="1" t="s">
        <v>11</v>
      </c>
      <c r="C1051" s="2">
        <v>45370</v>
      </c>
      <c r="D1051">
        <v>154.9</v>
      </c>
      <c r="E1051">
        <v>154.9</v>
      </c>
      <c r="F1051">
        <v>144</v>
      </c>
      <c r="G1051">
        <v>145.25</v>
      </c>
      <c r="H1051">
        <v>10028</v>
      </c>
      <c r="I1051">
        <v>512.54</v>
      </c>
      <c r="J1051">
        <v>0.31</v>
      </c>
      <c r="K1051">
        <v>149.76249999999999</v>
      </c>
    </row>
    <row r="1052" spans="1:11" x14ac:dyDescent="0.25">
      <c r="A1052" s="1" t="s">
        <v>10</v>
      </c>
      <c r="B1052" s="1" t="s">
        <v>11</v>
      </c>
      <c r="C1052" s="2">
        <v>45371</v>
      </c>
      <c r="D1052">
        <v>146</v>
      </c>
      <c r="E1052">
        <v>148.85</v>
      </c>
      <c r="F1052">
        <v>145</v>
      </c>
      <c r="G1052">
        <v>145.35</v>
      </c>
      <c r="H1052">
        <v>10480</v>
      </c>
      <c r="I1052">
        <v>512.89</v>
      </c>
      <c r="J1052">
        <v>0.31</v>
      </c>
      <c r="K1052">
        <v>146.30000000000001</v>
      </c>
    </row>
    <row r="1053" spans="1:11" x14ac:dyDescent="0.25">
      <c r="A1053" s="1" t="s">
        <v>10</v>
      </c>
      <c r="B1053" s="1" t="s">
        <v>11</v>
      </c>
      <c r="C1053" s="2">
        <v>45372</v>
      </c>
      <c r="D1053">
        <v>145.55000000000001</v>
      </c>
      <c r="E1053">
        <v>150</v>
      </c>
      <c r="F1053">
        <v>144.4</v>
      </c>
      <c r="G1053">
        <v>144.75</v>
      </c>
      <c r="H1053">
        <v>4933</v>
      </c>
      <c r="I1053">
        <v>510.77</v>
      </c>
      <c r="J1053">
        <v>0.31</v>
      </c>
      <c r="K1053">
        <v>146.17500000000001</v>
      </c>
    </row>
    <row r="1054" spans="1:11" x14ac:dyDescent="0.25">
      <c r="A1054" s="1" t="s">
        <v>10</v>
      </c>
      <c r="B1054" s="1" t="s">
        <v>11</v>
      </c>
      <c r="C1054" s="2">
        <v>45373</v>
      </c>
      <c r="D1054">
        <v>147.65</v>
      </c>
      <c r="E1054">
        <v>150</v>
      </c>
      <c r="F1054">
        <v>144.5</v>
      </c>
      <c r="G1054">
        <v>145.35</v>
      </c>
      <c r="H1054">
        <v>10895</v>
      </c>
      <c r="I1054">
        <v>512.89</v>
      </c>
      <c r="J1054">
        <v>0.31</v>
      </c>
      <c r="K1054">
        <v>146.875</v>
      </c>
    </row>
    <row r="1055" spans="1:11" x14ac:dyDescent="0.25">
      <c r="A1055" s="1" t="s">
        <v>10</v>
      </c>
      <c r="B1055" s="1" t="s">
        <v>11</v>
      </c>
      <c r="C1055" s="2">
        <v>45377</v>
      </c>
      <c r="D1055">
        <v>144.85</v>
      </c>
      <c r="E1055">
        <v>149.9</v>
      </c>
      <c r="F1055">
        <v>142.30000000000001</v>
      </c>
      <c r="G1055">
        <v>142.75</v>
      </c>
      <c r="H1055">
        <v>29966</v>
      </c>
      <c r="I1055">
        <v>503.71</v>
      </c>
      <c r="J1055">
        <v>0.31</v>
      </c>
      <c r="K1055">
        <v>144.94999999999999</v>
      </c>
    </row>
    <row r="1056" spans="1:11" x14ac:dyDescent="0.25">
      <c r="A1056" s="1" t="s">
        <v>10</v>
      </c>
      <c r="B1056" s="1" t="s">
        <v>11</v>
      </c>
      <c r="C1056" s="2">
        <v>45378</v>
      </c>
      <c r="D1056">
        <v>145.65</v>
      </c>
      <c r="E1056">
        <v>146.30000000000001</v>
      </c>
      <c r="F1056">
        <v>143</v>
      </c>
      <c r="G1056">
        <v>143.44999999999999</v>
      </c>
      <c r="H1056">
        <v>3450</v>
      </c>
      <c r="I1056">
        <v>506.18</v>
      </c>
      <c r="J1056">
        <v>0.31</v>
      </c>
      <c r="K1056">
        <v>144.6</v>
      </c>
    </row>
    <row r="1057" spans="1:11" x14ac:dyDescent="0.25">
      <c r="A1057" s="1" t="s">
        <v>10</v>
      </c>
      <c r="B1057" s="1" t="s">
        <v>11</v>
      </c>
      <c r="C1057" s="2">
        <v>45379</v>
      </c>
      <c r="D1057">
        <v>149.9</v>
      </c>
      <c r="E1057">
        <v>149.9</v>
      </c>
      <c r="F1057">
        <v>141.30000000000001</v>
      </c>
      <c r="G1057">
        <v>143.69999999999999</v>
      </c>
      <c r="H1057">
        <v>10679</v>
      </c>
      <c r="I1057">
        <v>507.07</v>
      </c>
      <c r="J1057">
        <v>0.31</v>
      </c>
      <c r="K1057">
        <v>146.19999999999999</v>
      </c>
    </row>
    <row r="1058" spans="1:11" x14ac:dyDescent="0.25">
      <c r="A1058" s="1" t="s">
        <v>10</v>
      </c>
      <c r="B1058" s="1" t="s">
        <v>11</v>
      </c>
      <c r="C1058" s="2">
        <v>45383</v>
      </c>
      <c r="D1058">
        <v>144.4</v>
      </c>
      <c r="E1058">
        <v>149</v>
      </c>
      <c r="F1058">
        <v>135.9</v>
      </c>
      <c r="G1058">
        <v>143.69999999999999</v>
      </c>
      <c r="H1058">
        <v>17649</v>
      </c>
      <c r="I1058">
        <v>507.07</v>
      </c>
      <c r="J1058">
        <v>0.31</v>
      </c>
      <c r="K1058">
        <v>143.25</v>
      </c>
    </row>
    <row r="1059" spans="1:11" x14ac:dyDescent="0.25">
      <c r="A1059" s="1" t="s">
        <v>10</v>
      </c>
      <c r="B1059" s="1" t="s">
        <v>11</v>
      </c>
      <c r="C1059" s="2">
        <v>45384</v>
      </c>
      <c r="D1059">
        <v>151.94999999999999</v>
      </c>
      <c r="E1059">
        <v>161.05000000000001</v>
      </c>
      <c r="F1059">
        <v>150.69999999999999</v>
      </c>
      <c r="G1059">
        <v>152.5</v>
      </c>
      <c r="H1059">
        <v>29189</v>
      </c>
      <c r="I1059">
        <v>538.12</v>
      </c>
      <c r="J1059">
        <v>0.31</v>
      </c>
      <c r="K1059">
        <v>154.05000000000001</v>
      </c>
    </row>
    <row r="1060" spans="1:11" x14ac:dyDescent="0.25">
      <c r="A1060" s="1" t="s">
        <v>10</v>
      </c>
      <c r="B1060" s="1" t="s">
        <v>11</v>
      </c>
      <c r="C1060" s="2">
        <v>45385</v>
      </c>
      <c r="D1060">
        <v>153</v>
      </c>
      <c r="E1060">
        <v>155.80000000000001</v>
      </c>
      <c r="F1060">
        <v>153</v>
      </c>
      <c r="G1060">
        <v>154.6</v>
      </c>
      <c r="H1060">
        <v>7010</v>
      </c>
      <c r="I1060">
        <v>545.53</v>
      </c>
      <c r="J1060">
        <v>0.31</v>
      </c>
      <c r="K1060">
        <v>154.1</v>
      </c>
    </row>
    <row r="1061" spans="1:11" x14ac:dyDescent="0.25">
      <c r="A1061" s="1" t="s">
        <v>10</v>
      </c>
      <c r="B1061" s="1" t="s">
        <v>11</v>
      </c>
      <c r="C1061" s="2">
        <v>45386</v>
      </c>
      <c r="D1061">
        <v>156.9</v>
      </c>
      <c r="E1061">
        <v>157.80000000000001</v>
      </c>
      <c r="F1061">
        <v>153.05000000000001</v>
      </c>
      <c r="G1061">
        <v>154.35</v>
      </c>
      <c r="H1061">
        <v>4505</v>
      </c>
      <c r="I1061">
        <v>544.65</v>
      </c>
      <c r="J1061">
        <v>0.31</v>
      </c>
      <c r="K1061">
        <v>155.52500000000001</v>
      </c>
    </row>
    <row r="1062" spans="1:11" x14ac:dyDescent="0.25">
      <c r="A1062" s="1" t="s">
        <v>10</v>
      </c>
      <c r="B1062" s="1" t="s">
        <v>11</v>
      </c>
      <c r="C1062" s="2">
        <v>45387</v>
      </c>
      <c r="D1062">
        <v>152.1</v>
      </c>
      <c r="E1062">
        <v>154.55000000000001</v>
      </c>
      <c r="F1062">
        <v>152.1</v>
      </c>
      <c r="G1062">
        <v>153.6</v>
      </c>
      <c r="H1062">
        <v>5575</v>
      </c>
      <c r="I1062">
        <v>542</v>
      </c>
      <c r="J1062">
        <v>0.31</v>
      </c>
      <c r="K1062">
        <v>153.08750000000001</v>
      </c>
    </row>
    <row r="1063" spans="1:11" x14ac:dyDescent="0.25">
      <c r="A1063" s="1" t="s">
        <v>10</v>
      </c>
      <c r="B1063" s="1" t="s">
        <v>11</v>
      </c>
      <c r="C1063" s="2">
        <v>45390</v>
      </c>
      <c r="D1063">
        <v>153.6</v>
      </c>
      <c r="E1063">
        <v>154.5</v>
      </c>
      <c r="F1063">
        <v>152.44999999999999</v>
      </c>
      <c r="G1063">
        <v>153.5</v>
      </c>
      <c r="H1063">
        <v>13244</v>
      </c>
      <c r="I1063">
        <v>541.65</v>
      </c>
      <c r="J1063">
        <v>0.31</v>
      </c>
      <c r="K1063">
        <v>153.51249999999999</v>
      </c>
    </row>
    <row r="1064" spans="1:11" x14ac:dyDescent="0.25">
      <c r="A1064" s="1" t="s">
        <v>10</v>
      </c>
      <c r="B1064" s="1" t="s">
        <v>11</v>
      </c>
      <c r="C1064" s="2">
        <v>45391</v>
      </c>
      <c r="D1064">
        <v>154.19999999999999</v>
      </c>
      <c r="E1064">
        <v>157.69999999999999</v>
      </c>
      <c r="F1064">
        <v>152.94999999999999</v>
      </c>
      <c r="G1064">
        <v>153.55000000000001</v>
      </c>
      <c r="H1064">
        <v>10943</v>
      </c>
      <c r="I1064">
        <v>541.82000000000005</v>
      </c>
      <c r="J1064">
        <v>0.31</v>
      </c>
      <c r="K1064">
        <v>154.6</v>
      </c>
    </row>
    <row r="1065" spans="1:11" x14ac:dyDescent="0.25">
      <c r="A1065" s="1" t="s">
        <v>10</v>
      </c>
      <c r="B1065" s="1" t="s">
        <v>11</v>
      </c>
      <c r="C1065" s="2">
        <v>45392</v>
      </c>
      <c r="D1065">
        <v>151.4</v>
      </c>
      <c r="E1065">
        <v>160.75</v>
      </c>
      <c r="F1065">
        <v>151.4</v>
      </c>
      <c r="G1065">
        <v>155.65</v>
      </c>
      <c r="H1065">
        <v>29312</v>
      </c>
      <c r="I1065">
        <v>549.23</v>
      </c>
      <c r="J1065">
        <v>0.31</v>
      </c>
      <c r="K1065">
        <v>154.80000000000001</v>
      </c>
    </row>
    <row r="1066" spans="1:11" x14ac:dyDescent="0.25">
      <c r="A1066" s="1" t="s">
        <v>10</v>
      </c>
      <c r="B1066" s="1" t="s">
        <v>11</v>
      </c>
      <c r="C1066" s="2">
        <v>45394</v>
      </c>
      <c r="D1066">
        <v>155.55000000000001</v>
      </c>
      <c r="E1066">
        <v>155.9</v>
      </c>
      <c r="F1066">
        <v>152.5</v>
      </c>
      <c r="G1066">
        <v>153.15</v>
      </c>
      <c r="H1066">
        <v>9527</v>
      </c>
      <c r="I1066">
        <v>540.41</v>
      </c>
      <c r="J1066">
        <v>0.31</v>
      </c>
      <c r="K1066">
        <v>154.27500000000001</v>
      </c>
    </row>
    <row r="1067" spans="1:11" x14ac:dyDescent="0.25">
      <c r="A1067" s="1" t="s">
        <v>10</v>
      </c>
      <c r="B1067" s="1" t="s">
        <v>11</v>
      </c>
      <c r="C1067" s="2">
        <v>45397</v>
      </c>
      <c r="D1067">
        <v>145</v>
      </c>
      <c r="E1067">
        <v>159.69999999999999</v>
      </c>
      <c r="F1067">
        <v>143.35</v>
      </c>
      <c r="G1067">
        <v>152.75</v>
      </c>
      <c r="H1067">
        <v>15193</v>
      </c>
      <c r="I1067">
        <v>539</v>
      </c>
      <c r="J1067">
        <v>0.31</v>
      </c>
      <c r="K1067">
        <v>150.19999999999999</v>
      </c>
    </row>
    <row r="1068" spans="1:11" x14ac:dyDescent="0.25">
      <c r="A1068" s="1" t="s">
        <v>10</v>
      </c>
      <c r="B1068" s="1" t="s">
        <v>11</v>
      </c>
      <c r="C1068" s="2">
        <v>45398</v>
      </c>
      <c r="D1068">
        <v>148.9</v>
      </c>
      <c r="E1068">
        <v>153.05000000000001</v>
      </c>
      <c r="F1068">
        <v>148</v>
      </c>
      <c r="G1068">
        <v>151.1</v>
      </c>
      <c r="H1068">
        <v>10360</v>
      </c>
      <c r="I1068">
        <v>533.17999999999995</v>
      </c>
      <c r="J1068">
        <v>0.31</v>
      </c>
      <c r="K1068">
        <v>150.26249999999999</v>
      </c>
    </row>
    <row r="1069" spans="1:11" x14ac:dyDescent="0.25">
      <c r="A1069" s="1" t="s">
        <v>10</v>
      </c>
      <c r="B1069" s="1" t="s">
        <v>11</v>
      </c>
      <c r="C1069" s="2">
        <v>45400</v>
      </c>
      <c r="D1069">
        <v>158</v>
      </c>
      <c r="E1069">
        <v>161.55000000000001</v>
      </c>
      <c r="F1069">
        <v>150.30000000000001</v>
      </c>
      <c r="G1069">
        <v>151.65</v>
      </c>
      <c r="H1069">
        <v>25253</v>
      </c>
      <c r="I1069">
        <v>535.12</v>
      </c>
      <c r="J1069">
        <v>0.31</v>
      </c>
      <c r="K1069">
        <v>155.375</v>
      </c>
    </row>
    <row r="1070" spans="1:11" x14ac:dyDescent="0.25">
      <c r="A1070" s="1" t="s">
        <v>10</v>
      </c>
      <c r="B1070" s="1" t="s">
        <v>11</v>
      </c>
      <c r="C1070" s="2">
        <v>45401</v>
      </c>
      <c r="D1070">
        <v>150</v>
      </c>
      <c r="E1070">
        <v>151.80000000000001</v>
      </c>
      <c r="F1070">
        <v>148</v>
      </c>
      <c r="G1070">
        <v>150.6</v>
      </c>
      <c r="H1070">
        <v>7404</v>
      </c>
      <c r="I1070">
        <v>531.41</v>
      </c>
      <c r="J1070">
        <v>0.31</v>
      </c>
      <c r="K1070">
        <v>150.1</v>
      </c>
    </row>
    <row r="1071" spans="1:11" x14ac:dyDescent="0.25">
      <c r="A1071" s="1" t="s">
        <v>10</v>
      </c>
      <c r="B1071" s="1" t="s">
        <v>11</v>
      </c>
      <c r="C1071" s="2">
        <v>45404</v>
      </c>
      <c r="D1071">
        <v>153.65</v>
      </c>
      <c r="E1071">
        <v>155.80000000000001</v>
      </c>
      <c r="F1071">
        <v>152.44999999999999</v>
      </c>
      <c r="G1071">
        <v>155.15</v>
      </c>
      <c r="H1071">
        <v>11870</v>
      </c>
      <c r="I1071">
        <v>547.47</v>
      </c>
      <c r="J1071">
        <v>0.31</v>
      </c>
      <c r="K1071">
        <v>154.26249999999999</v>
      </c>
    </row>
    <row r="1072" spans="1:11" x14ac:dyDescent="0.25">
      <c r="A1072" s="1" t="s">
        <v>10</v>
      </c>
      <c r="B1072" s="1" t="s">
        <v>11</v>
      </c>
      <c r="C1072" s="2">
        <v>45405</v>
      </c>
      <c r="D1072">
        <v>157.44999999999999</v>
      </c>
      <c r="E1072">
        <v>158.5</v>
      </c>
      <c r="F1072">
        <v>150</v>
      </c>
      <c r="G1072">
        <v>152.15</v>
      </c>
      <c r="H1072">
        <v>27076</v>
      </c>
      <c r="I1072">
        <v>536.88</v>
      </c>
      <c r="J1072">
        <v>0.31</v>
      </c>
      <c r="K1072">
        <v>154.52500000000001</v>
      </c>
    </row>
    <row r="1073" spans="1:11" x14ac:dyDescent="0.25">
      <c r="A1073" s="1" t="s">
        <v>10</v>
      </c>
      <c r="B1073" s="1" t="s">
        <v>11</v>
      </c>
      <c r="C1073" s="2">
        <v>45406</v>
      </c>
      <c r="D1073">
        <v>150.5</v>
      </c>
      <c r="E1073">
        <v>167.5</v>
      </c>
      <c r="F1073">
        <v>150.5</v>
      </c>
      <c r="G1073">
        <v>160.6</v>
      </c>
      <c r="H1073">
        <v>71585</v>
      </c>
      <c r="I1073">
        <v>566.70000000000005</v>
      </c>
      <c r="J1073">
        <v>0.31</v>
      </c>
      <c r="K1073">
        <v>157.27500000000001</v>
      </c>
    </row>
    <row r="1074" spans="1:11" x14ac:dyDescent="0.25">
      <c r="A1074" s="1" t="s">
        <v>10</v>
      </c>
      <c r="B1074" s="1" t="s">
        <v>11</v>
      </c>
      <c r="C1074" s="2">
        <v>45407</v>
      </c>
      <c r="D1074">
        <v>162</v>
      </c>
      <c r="E1074">
        <v>163</v>
      </c>
      <c r="F1074">
        <v>156.4</v>
      </c>
      <c r="G1074">
        <v>157</v>
      </c>
      <c r="H1074">
        <v>25231</v>
      </c>
      <c r="I1074">
        <v>554</v>
      </c>
      <c r="J1074">
        <v>0.31</v>
      </c>
      <c r="K1074">
        <v>159.6</v>
      </c>
    </row>
    <row r="1075" spans="1:11" x14ac:dyDescent="0.25">
      <c r="A1075" s="1" t="s">
        <v>10</v>
      </c>
      <c r="B1075" s="1" t="s">
        <v>11</v>
      </c>
      <c r="C1075" s="2">
        <v>45408</v>
      </c>
      <c r="D1075">
        <v>164.1</v>
      </c>
      <c r="E1075">
        <v>164.4</v>
      </c>
      <c r="F1075">
        <v>159</v>
      </c>
      <c r="G1075">
        <v>162.69999999999999</v>
      </c>
      <c r="H1075">
        <v>40158</v>
      </c>
      <c r="I1075">
        <v>574.11</v>
      </c>
      <c r="J1075">
        <v>0.31</v>
      </c>
      <c r="K1075">
        <v>162.55000000000001</v>
      </c>
    </row>
    <row r="1076" spans="1:11" x14ac:dyDescent="0.25">
      <c r="A1076" s="1" t="s">
        <v>10</v>
      </c>
      <c r="B1076" s="1" t="s">
        <v>11</v>
      </c>
      <c r="C1076" s="2">
        <v>45411</v>
      </c>
      <c r="D1076">
        <v>164.35</v>
      </c>
      <c r="E1076">
        <v>176.55</v>
      </c>
      <c r="F1076">
        <v>162.1</v>
      </c>
      <c r="G1076">
        <v>172.3</v>
      </c>
      <c r="H1076">
        <v>63392</v>
      </c>
      <c r="I1076">
        <v>607.99</v>
      </c>
      <c r="J1076">
        <v>0.31</v>
      </c>
      <c r="K1076">
        <v>168.82499999999999</v>
      </c>
    </row>
    <row r="1077" spans="1:11" x14ac:dyDescent="0.25">
      <c r="A1077" s="1" t="s">
        <v>10</v>
      </c>
      <c r="B1077" s="1" t="s">
        <v>11</v>
      </c>
      <c r="C1077" s="2">
        <v>45412</v>
      </c>
      <c r="D1077">
        <v>174.25</v>
      </c>
      <c r="E1077">
        <v>176.35</v>
      </c>
      <c r="F1077">
        <v>169.6</v>
      </c>
      <c r="G1077">
        <v>172.1</v>
      </c>
      <c r="H1077">
        <v>27035</v>
      </c>
      <c r="I1077">
        <v>607.28</v>
      </c>
      <c r="J1077">
        <v>0.31</v>
      </c>
      <c r="K1077">
        <v>173.07499999999999</v>
      </c>
    </row>
    <row r="1078" spans="1:11" x14ac:dyDescent="0.25">
      <c r="A1078" s="1" t="s">
        <v>10</v>
      </c>
      <c r="B1078" s="1" t="s">
        <v>11</v>
      </c>
      <c r="C1078" s="2">
        <v>45414</v>
      </c>
      <c r="D1078">
        <v>173.95</v>
      </c>
      <c r="E1078">
        <v>174.7</v>
      </c>
      <c r="F1078">
        <v>169</v>
      </c>
      <c r="G1078">
        <v>169.5</v>
      </c>
      <c r="H1078">
        <v>21552</v>
      </c>
      <c r="I1078">
        <v>598.11</v>
      </c>
      <c r="J1078">
        <v>0.31</v>
      </c>
      <c r="K1078">
        <v>171.78749999999999</v>
      </c>
    </row>
    <row r="1079" spans="1:11" x14ac:dyDescent="0.25">
      <c r="A1079" s="1" t="s">
        <v>10</v>
      </c>
      <c r="B1079" s="1" t="s">
        <v>11</v>
      </c>
      <c r="C1079" s="2">
        <v>45415</v>
      </c>
      <c r="D1079">
        <v>172.05</v>
      </c>
      <c r="E1079">
        <v>173</v>
      </c>
      <c r="F1079">
        <v>169</v>
      </c>
      <c r="G1079">
        <v>169.85</v>
      </c>
      <c r="H1079">
        <v>15587</v>
      </c>
      <c r="I1079">
        <v>599.34</v>
      </c>
      <c r="J1079">
        <v>0.31</v>
      </c>
      <c r="K1079">
        <v>170.97499999999999</v>
      </c>
    </row>
    <row r="1080" spans="1:11" x14ac:dyDescent="0.25">
      <c r="A1080" s="1" t="s">
        <v>10</v>
      </c>
      <c r="B1080" s="1" t="s">
        <v>11</v>
      </c>
      <c r="C1080" s="2">
        <v>45418</v>
      </c>
      <c r="D1080">
        <v>172</v>
      </c>
      <c r="E1080">
        <v>175.5</v>
      </c>
      <c r="F1080">
        <v>164.1</v>
      </c>
      <c r="G1080">
        <v>174.55</v>
      </c>
      <c r="H1080">
        <v>14801</v>
      </c>
      <c r="I1080">
        <v>615.92999999999995</v>
      </c>
      <c r="J1080">
        <v>0.31</v>
      </c>
      <c r="K1080">
        <v>171.53749999999999</v>
      </c>
    </row>
    <row r="1081" spans="1:11" x14ac:dyDescent="0.25">
      <c r="A1081" s="1" t="s">
        <v>10</v>
      </c>
      <c r="B1081" s="1" t="s">
        <v>11</v>
      </c>
      <c r="C1081" s="2">
        <v>45419</v>
      </c>
      <c r="D1081">
        <v>175.1</v>
      </c>
      <c r="E1081">
        <v>175.1</v>
      </c>
      <c r="F1081">
        <v>167.05</v>
      </c>
      <c r="G1081">
        <v>170.4</v>
      </c>
      <c r="H1081">
        <v>20431</v>
      </c>
      <c r="I1081">
        <v>601.28</v>
      </c>
      <c r="J1081">
        <v>0.31</v>
      </c>
      <c r="K1081">
        <v>171.91249999999999</v>
      </c>
    </row>
    <row r="1082" spans="1:11" x14ac:dyDescent="0.25">
      <c r="A1082" s="1" t="s">
        <v>10</v>
      </c>
      <c r="B1082" s="1" t="s">
        <v>11</v>
      </c>
      <c r="C1082" s="2">
        <v>45420</v>
      </c>
      <c r="D1082">
        <v>164.35</v>
      </c>
      <c r="E1082">
        <v>171.15</v>
      </c>
      <c r="F1082">
        <v>164.35</v>
      </c>
      <c r="G1082">
        <v>168.4</v>
      </c>
      <c r="H1082">
        <v>5011</v>
      </c>
      <c r="I1082">
        <v>594.22</v>
      </c>
      <c r="J1082">
        <v>0.31</v>
      </c>
      <c r="K1082">
        <v>167.0625</v>
      </c>
    </row>
    <row r="1083" spans="1:11" x14ac:dyDescent="0.25">
      <c r="A1083" s="1" t="s">
        <v>10</v>
      </c>
      <c r="B1083" s="1" t="s">
        <v>11</v>
      </c>
      <c r="C1083" s="2">
        <v>45421</v>
      </c>
      <c r="D1083">
        <v>165.95</v>
      </c>
      <c r="E1083">
        <v>170.9</v>
      </c>
      <c r="F1083">
        <v>160.1</v>
      </c>
      <c r="G1083">
        <v>161.19999999999999</v>
      </c>
      <c r="H1083">
        <v>23305</v>
      </c>
      <c r="I1083">
        <v>568.82000000000005</v>
      </c>
      <c r="J1083">
        <v>0.31</v>
      </c>
      <c r="K1083">
        <v>164.53749999999999</v>
      </c>
    </row>
    <row r="1084" spans="1:11" x14ac:dyDescent="0.25">
      <c r="A1084" s="1" t="s">
        <v>10</v>
      </c>
      <c r="B1084" s="1" t="s">
        <v>11</v>
      </c>
      <c r="C1084" s="2">
        <v>45422</v>
      </c>
      <c r="D1084">
        <v>161.19999999999999</v>
      </c>
      <c r="E1084">
        <v>166.3</v>
      </c>
      <c r="F1084">
        <v>160</v>
      </c>
      <c r="G1084">
        <v>162.85</v>
      </c>
      <c r="H1084">
        <v>8386</v>
      </c>
      <c r="I1084">
        <v>574.64</v>
      </c>
      <c r="J1084">
        <v>0.31</v>
      </c>
      <c r="K1084">
        <v>162.58750000000001</v>
      </c>
    </row>
    <row r="1085" spans="1:11" x14ac:dyDescent="0.25">
      <c r="A1085" s="1" t="s">
        <v>10</v>
      </c>
      <c r="B1085" s="1" t="s">
        <v>11</v>
      </c>
      <c r="C1085" s="2">
        <v>45425</v>
      </c>
      <c r="D1085">
        <v>162.25</v>
      </c>
      <c r="E1085">
        <v>163.5</v>
      </c>
      <c r="F1085">
        <v>158</v>
      </c>
      <c r="G1085">
        <v>162.75</v>
      </c>
      <c r="H1085">
        <v>17942</v>
      </c>
      <c r="I1085">
        <v>574.29</v>
      </c>
      <c r="J1085">
        <v>0.31</v>
      </c>
      <c r="K1085">
        <v>161.625</v>
      </c>
    </row>
    <row r="1086" spans="1:11" x14ac:dyDescent="0.25">
      <c r="A1086" s="1" t="s">
        <v>10</v>
      </c>
      <c r="B1086" s="1" t="s">
        <v>11</v>
      </c>
      <c r="C1086" s="2">
        <v>45426</v>
      </c>
      <c r="D1086">
        <v>160.35</v>
      </c>
      <c r="E1086">
        <v>178</v>
      </c>
      <c r="F1086">
        <v>160.35</v>
      </c>
      <c r="G1086">
        <v>175.35</v>
      </c>
      <c r="H1086">
        <v>29720</v>
      </c>
      <c r="I1086">
        <v>618.75</v>
      </c>
      <c r="J1086">
        <v>0.31</v>
      </c>
      <c r="K1086">
        <v>168.51249999999999</v>
      </c>
    </row>
    <row r="1087" spans="1:11" x14ac:dyDescent="0.25">
      <c r="A1087" s="1" t="s">
        <v>10</v>
      </c>
      <c r="B1087" s="1" t="s">
        <v>11</v>
      </c>
      <c r="C1087" s="2">
        <v>45427</v>
      </c>
      <c r="D1087">
        <v>177</v>
      </c>
      <c r="E1087">
        <v>187.5</v>
      </c>
      <c r="F1087">
        <v>177</v>
      </c>
      <c r="G1087">
        <v>185</v>
      </c>
      <c r="H1087">
        <v>100175</v>
      </c>
      <c r="I1087">
        <v>652.79999999999995</v>
      </c>
      <c r="J1087">
        <v>0.31</v>
      </c>
      <c r="K1087">
        <v>181.625</v>
      </c>
    </row>
    <row r="1088" spans="1:11" x14ac:dyDescent="0.25">
      <c r="A1088" s="1" t="s">
        <v>10</v>
      </c>
      <c r="B1088" s="1" t="s">
        <v>11</v>
      </c>
      <c r="C1088" s="2">
        <v>45428</v>
      </c>
      <c r="D1088">
        <v>186</v>
      </c>
      <c r="E1088">
        <v>192</v>
      </c>
      <c r="F1088">
        <v>182.55</v>
      </c>
      <c r="G1088">
        <v>187.8</v>
      </c>
      <c r="H1088">
        <v>89275</v>
      </c>
      <c r="I1088">
        <v>662.68</v>
      </c>
      <c r="J1088">
        <v>0.31</v>
      </c>
      <c r="K1088">
        <v>187.08750000000001</v>
      </c>
    </row>
    <row r="1089" spans="1:11" x14ac:dyDescent="0.25">
      <c r="A1089" s="1" t="s">
        <v>10</v>
      </c>
      <c r="B1089" s="1" t="s">
        <v>11</v>
      </c>
      <c r="C1089" s="2">
        <v>45429</v>
      </c>
      <c r="D1089">
        <v>190.85</v>
      </c>
      <c r="E1089">
        <v>194.7</v>
      </c>
      <c r="F1089">
        <v>183.5</v>
      </c>
      <c r="G1089">
        <v>187.1</v>
      </c>
      <c r="H1089">
        <v>66376</v>
      </c>
      <c r="I1089">
        <v>660.21</v>
      </c>
      <c r="J1089">
        <v>0.31</v>
      </c>
      <c r="K1089">
        <v>189.03749999999999</v>
      </c>
    </row>
    <row r="1090" spans="1:11" x14ac:dyDescent="0.25">
      <c r="A1090" s="1" t="s">
        <v>10</v>
      </c>
      <c r="B1090" s="1" t="s">
        <v>11</v>
      </c>
      <c r="C1090" s="2">
        <v>45430</v>
      </c>
      <c r="D1090">
        <v>196.45</v>
      </c>
      <c r="E1090">
        <v>196.45</v>
      </c>
      <c r="F1090">
        <v>185.5</v>
      </c>
      <c r="G1090">
        <v>188.4</v>
      </c>
      <c r="H1090">
        <v>14993</v>
      </c>
      <c r="I1090">
        <v>664.8</v>
      </c>
      <c r="J1090">
        <v>0.31</v>
      </c>
      <c r="K1090">
        <v>191.7</v>
      </c>
    </row>
    <row r="1091" spans="1:11" x14ac:dyDescent="0.25">
      <c r="A1091" s="1" t="s">
        <v>10</v>
      </c>
      <c r="B1091" s="1" t="s">
        <v>11</v>
      </c>
      <c r="C1091" s="2">
        <v>45433</v>
      </c>
      <c r="D1091">
        <v>189.3</v>
      </c>
      <c r="E1091">
        <v>191.6</v>
      </c>
      <c r="F1091">
        <v>181.1</v>
      </c>
      <c r="G1091">
        <v>182.65</v>
      </c>
      <c r="H1091">
        <v>57994</v>
      </c>
      <c r="I1091">
        <v>644.51</v>
      </c>
      <c r="J1091">
        <v>0.31</v>
      </c>
      <c r="K1091">
        <v>186.16249999999999</v>
      </c>
    </row>
    <row r="1092" spans="1:11" x14ac:dyDescent="0.25">
      <c r="A1092" s="1" t="s">
        <v>10</v>
      </c>
      <c r="B1092" s="1" t="s">
        <v>11</v>
      </c>
      <c r="C1092" s="2">
        <v>45434</v>
      </c>
      <c r="D1092">
        <v>180.15</v>
      </c>
      <c r="E1092">
        <v>184</v>
      </c>
      <c r="F1092">
        <v>177.5</v>
      </c>
      <c r="G1092">
        <v>179.2</v>
      </c>
      <c r="H1092">
        <v>28291</v>
      </c>
      <c r="I1092">
        <v>632.33000000000004</v>
      </c>
      <c r="J1092">
        <v>0.31</v>
      </c>
      <c r="K1092">
        <v>180.21250000000001</v>
      </c>
    </row>
    <row r="1093" spans="1:11" x14ac:dyDescent="0.25">
      <c r="A1093" s="1" t="s">
        <v>10</v>
      </c>
      <c r="B1093" s="1" t="s">
        <v>11</v>
      </c>
      <c r="C1093" s="2">
        <v>45435</v>
      </c>
      <c r="D1093">
        <v>186.9</v>
      </c>
      <c r="E1093">
        <v>186.9</v>
      </c>
      <c r="F1093">
        <v>176.15</v>
      </c>
      <c r="G1093">
        <v>176.75</v>
      </c>
      <c r="H1093">
        <v>6743</v>
      </c>
      <c r="I1093">
        <v>623.69000000000005</v>
      </c>
      <c r="J1093">
        <v>0.31</v>
      </c>
      <c r="K1093">
        <v>181.67500000000001</v>
      </c>
    </row>
    <row r="1094" spans="1:11" x14ac:dyDescent="0.25">
      <c r="A1094" s="1" t="s">
        <v>10</v>
      </c>
      <c r="B1094" s="1" t="s">
        <v>11</v>
      </c>
      <c r="C1094" s="2">
        <v>45436</v>
      </c>
      <c r="D1094">
        <v>178.5</v>
      </c>
      <c r="E1094">
        <v>181.8</v>
      </c>
      <c r="F1094">
        <v>172.45</v>
      </c>
      <c r="G1094">
        <v>173.4</v>
      </c>
      <c r="H1094">
        <v>24680</v>
      </c>
      <c r="I1094">
        <v>611.87</v>
      </c>
      <c r="J1094">
        <v>0.31</v>
      </c>
      <c r="K1094">
        <v>176.53749999999999</v>
      </c>
    </row>
    <row r="1095" spans="1:11" x14ac:dyDescent="0.25">
      <c r="A1095" s="1" t="s">
        <v>10</v>
      </c>
      <c r="B1095" s="1" t="s">
        <v>11</v>
      </c>
      <c r="C1095" s="2">
        <v>45439</v>
      </c>
      <c r="D1095">
        <v>173.4</v>
      </c>
      <c r="E1095">
        <v>175.2</v>
      </c>
      <c r="F1095">
        <v>168.45</v>
      </c>
      <c r="G1095">
        <v>169.5</v>
      </c>
      <c r="H1095">
        <v>40272</v>
      </c>
      <c r="I1095">
        <v>598.11</v>
      </c>
      <c r="J1095">
        <v>0.31</v>
      </c>
      <c r="K1095">
        <v>171.63749999999999</v>
      </c>
    </row>
    <row r="1096" spans="1:11" x14ac:dyDescent="0.25">
      <c r="A1096" s="1" t="s">
        <v>10</v>
      </c>
      <c r="B1096" s="1" t="s">
        <v>11</v>
      </c>
      <c r="C1096" s="2">
        <v>45440</v>
      </c>
      <c r="D1096">
        <v>166.9</v>
      </c>
      <c r="E1096">
        <v>171.3</v>
      </c>
      <c r="F1096">
        <v>164.15</v>
      </c>
      <c r="G1096">
        <v>165.25</v>
      </c>
      <c r="H1096">
        <v>13247</v>
      </c>
      <c r="I1096">
        <v>583.11</v>
      </c>
      <c r="J1096">
        <v>0.31</v>
      </c>
      <c r="K1096">
        <v>166.9</v>
      </c>
    </row>
    <row r="1097" spans="1:11" x14ac:dyDescent="0.25">
      <c r="A1097" s="1" t="s">
        <v>10</v>
      </c>
      <c r="B1097" s="1" t="s">
        <v>11</v>
      </c>
      <c r="C1097" s="2">
        <v>45441</v>
      </c>
      <c r="D1097">
        <v>166.05</v>
      </c>
      <c r="E1097">
        <v>172.6</v>
      </c>
      <c r="F1097">
        <v>164.9</v>
      </c>
      <c r="G1097">
        <v>171.1</v>
      </c>
      <c r="H1097">
        <v>23133</v>
      </c>
      <c r="I1097">
        <v>603.75</v>
      </c>
      <c r="J1097">
        <v>0.31</v>
      </c>
      <c r="K1097">
        <v>168.66249999999999</v>
      </c>
    </row>
    <row r="1098" spans="1:11" x14ac:dyDescent="0.25">
      <c r="A1098" s="1" t="s">
        <v>10</v>
      </c>
      <c r="B1098" s="1" t="s">
        <v>11</v>
      </c>
      <c r="C1098" s="2">
        <v>45442</v>
      </c>
      <c r="D1098">
        <v>173.65</v>
      </c>
      <c r="E1098">
        <v>184.65</v>
      </c>
      <c r="F1098">
        <v>170.95</v>
      </c>
      <c r="G1098">
        <v>176.75</v>
      </c>
      <c r="H1098">
        <v>63385</v>
      </c>
      <c r="I1098">
        <v>623.69000000000005</v>
      </c>
      <c r="J1098">
        <v>0.31</v>
      </c>
      <c r="K1098">
        <v>176.5</v>
      </c>
    </row>
    <row r="1099" spans="1:11" x14ac:dyDescent="0.25">
      <c r="A1099" s="1" t="s">
        <v>10</v>
      </c>
      <c r="B1099" s="1" t="s">
        <v>11</v>
      </c>
      <c r="C1099" s="2">
        <v>45443</v>
      </c>
      <c r="D1099">
        <v>179.95</v>
      </c>
      <c r="E1099">
        <v>179.95</v>
      </c>
      <c r="F1099">
        <v>171.35</v>
      </c>
      <c r="G1099">
        <v>173.9</v>
      </c>
      <c r="H1099">
        <v>18091</v>
      </c>
      <c r="I1099">
        <v>613.63</v>
      </c>
      <c r="J1099">
        <v>0.31</v>
      </c>
      <c r="K1099">
        <v>176.28749999999999</v>
      </c>
    </row>
    <row r="1100" spans="1:11" x14ac:dyDescent="0.25">
      <c r="A1100" s="1" t="s">
        <v>10</v>
      </c>
      <c r="B1100" s="1" t="s">
        <v>11</v>
      </c>
      <c r="C1100" s="2">
        <v>45446</v>
      </c>
      <c r="D1100">
        <v>175.25</v>
      </c>
      <c r="E1100">
        <v>182.85</v>
      </c>
      <c r="F1100">
        <v>175.25</v>
      </c>
      <c r="G1100">
        <v>176.5</v>
      </c>
      <c r="H1100">
        <v>10969</v>
      </c>
      <c r="I1100">
        <v>622.80999999999995</v>
      </c>
      <c r="J1100">
        <v>0.31</v>
      </c>
      <c r="K1100">
        <v>177.46250000000001</v>
      </c>
    </row>
    <row r="1101" spans="1:11" x14ac:dyDescent="0.25">
      <c r="A1101" s="1" t="s">
        <v>10</v>
      </c>
      <c r="B1101" s="1" t="s">
        <v>11</v>
      </c>
      <c r="C1101" s="2">
        <v>45447</v>
      </c>
      <c r="D1101">
        <v>176</v>
      </c>
      <c r="E1101">
        <v>176</v>
      </c>
      <c r="F1101">
        <v>152.19999999999999</v>
      </c>
      <c r="G1101">
        <v>158.5</v>
      </c>
      <c r="H1101">
        <v>66324</v>
      </c>
      <c r="I1101">
        <v>559.29</v>
      </c>
      <c r="J1101">
        <v>0.31</v>
      </c>
      <c r="K1101">
        <v>165.67500000000001</v>
      </c>
    </row>
    <row r="1102" spans="1:11" x14ac:dyDescent="0.25">
      <c r="A1102" s="1" t="s">
        <v>10</v>
      </c>
      <c r="B1102" s="1" t="s">
        <v>11</v>
      </c>
      <c r="C1102" s="2">
        <v>45448</v>
      </c>
      <c r="D1102">
        <v>174.9</v>
      </c>
      <c r="E1102">
        <v>174.9</v>
      </c>
      <c r="F1102">
        <v>158.25</v>
      </c>
      <c r="G1102">
        <v>170.45</v>
      </c>
      <c r="H1102">
        <v>20507</v>
      </c>
      <c r="I1102">
        <v>601.46</v>
      </c>
      <c r="J1102">
        <v>0.31</v>
      </c>
      <c r="K1102">
        <v>169.625</v>
      </c>
    </row>
    <row r="1103" spans="1:11" x14ac:dyDescent="0.25">
      <c r="A1103" s="1" t="s">
        <v>10</v>
      </c>
      <c r="B1103" s="1" t="s">
        <v>11</v>
      </c>
      <c r="C1103" s="2">
        <v>45449</v>
      </c>
      <c r="D1103">
        <v>177.7</v>
      </c>
      <c r="E1103">
        <v>177.7</v>
      </c>
      <c r="F1103">
        <v>171.1</v>
      </c>
      <c r="G1103">
        <v>173.15</v>
      </c>
      <c r="H1103">
        <v>25618</v>
      </c>
      <c r="I1103">
        <v>610.99</v>
      </c>
      <c r="J1103">
        <v>0.31</v>
      </c>
      <c r="K1103">
        <v>174.91249999999999</v>
      </c>
    </row>
    <row r="1104" spans="1:11" x14ac:dyDescent="0.25">
      <c r="A1104" s="1" t="s">
        <v>10</v>
      </c>
      <c r="B1104" s="1" t="s">
        <v>11</v>
      </c>
      <c r="C1104" s="2">
        <v>45450</v>
      </c>
      <c r="D1104">
        <v>174</v>
      </c>
      <c r="E1104">
        <v>176.55</v>
      </c>
      <c r="F1104">
        <v>171.95</v>
      </c>
      <c r="G1104">
        <v>175.4</v>
      </c>
      <c r="H1104">
        <v>20554</v>
      </c>
      <c r="I1104">
        <v>618.92999999999995</v>
      </c>
      <c r="J1104">
        <v>0.31</v>
      </c>
      <c r="K1104">
        <v>174.47499999999999</v>
      </c>
    </row>
    <row r="1105" spans="1:11" x14ac:dyDescent="0.25">
      <c r="A1105" s="1" t="s">
        <v>10</v>
      </c>
      <c r="B1105" s="1" t="s">
        <v>11</v>
      </c>
      <c r="C1105" s="2">
        <v>45453</v>
      </c>
      <c r="D1105">
        <v>180.1</v>
      </c>
      <c r="E1105">
        <v>185.4</v>
      </c>
      <c r="F1105">
        <v>177.7</v>
      </c>
      <c r="G1105">
        <v>181.35</v>
      </c>
      <c r="H1105">
        <v>45116</v>
      </c>
      <c r="I1105">
        <v>639.91999999999996</v>
      </c>
      <c r="J1105">
        <v>0.31</v>
      </c>
      <c r="K1105">
        <v>181.13749999999999</v>
      </c>
    </row>
    <row r="1106" spans="1:11" x14ac:dyDescent="0.25">
      <c r="A1106" s="1" t="s">
        <v>10</v>
      </c>
      <c r="B1106" s="1" t="s">
        <v>11</v>
      </c>
      <c r="C1106" s="2">
        <v>45454</v>
      </c>
      <c r="D1106">
        <v>181</v>
      </c>
      <c r="E1106">
        <v>186.35</v>
      </c>
      <c r="F1106">
        <v>179.15</v>
      </c>
      <c r="G1106">
        <v>181.45</v>
      </c>
      <c r="H1106">
        <v>29432</v>
      </c>
      <c r="I1106">
        <v>640.27</v>
      </c>
      <c r="J1106">
        <v>0.31</v>
      </c>
      <c r="K1106">
        <v>181.98750000000001</v>
      </c>
    </row>
    <row r="1107" spans="1:11" x14ac:dyDescent="0.25">
      <c r="A1107" s="1" t="s">
        <v>10</v>
      </c>
      <c r="B1107" s="1" t="s">
        <v>11</v>
      </c>
      <c r="C1107" s="2">
        <v>45455</v>
      </c>
      <c r="D1107">
        <v>177.85</v>
      </c>
      <c r="E1107">
        <v>184.6</v>
      </c>
      <c r="F1107">
        <v>177.85</v>
      </c>
      <c r="G1107">
        <v>180.15</v>
      </c>
      <c r="H1107">
        <v>26007</v>
      </c>
      <c r="I1107">
        <v>635.69000000000005</v>
      </c>
      <c r="J1107">
        <v>0.31</v>
      </c>
      <c r="K1107">
        <v>180.11250000000001</v>
      </c>
    </row>
    <row r="1108" spans="1:11" x14ac:dyDescent="0.25">
      <c r="A1108" s="1" t="s">
        <v>10</v>
      </c>
      <c r="B1108" s="1" t="s">
        <v>11</v>
      </c>
      <c r="C1108" s="2">
        <v>45456</v>
      </c>
      <c r="D1108">
        <v>181.75</v>
      </c>
      <c r="E1108">
        <v>181.75</v>
      </c>
      <c r="F1108">
        <v>178.35</v>
      </c>
      <c r="G1108">
        <v>181.2</v>
      </c>
      <c r="H1108">
        <v>10086</v>
      </c>
      <c r="I1108">
        <v>639.39</v>
      </c>
      <c r="J1108">
        <v>0.31</v>
      </c>
      <c r="K1108">
        <v>180.76249999999999</v>
      </c>
    </row>
    <row r="1109" spans="1:11" x14ac:dyDescent="0.25">
      <c r="A1109" s="1" t="s">
        <v>10</v>
      </c>
      <c r="B1109" s="1" t="s">
        <v>11</v>
      </c>
      <c r="C1109" s="2">
        <v>45457</v>
      </c>
      <c r="D1109">
        <v>184.1</v>
      </c>
      <c r="E1109">
        <v>203.15</v>
      </c>
      <c r="F1109">
        <v>183.65</v>
      </c>
      <c r="G1109">
        <v>189.75</v>
      </c>
      <c r="H1109">
        <v>145216</v>
      </c>
      <c r="I1109">
        <v>669.56</v>
      </c>
      <c r="J1109">
        <v>0.31</v>
      </c>
      <c r="K1109">
        <v>190.16249999999999</v>
      </c>
    </row>
    <row r="1110" spans="1:11" x14ac:dyDescent="0.25">
      <c r="A1110" s="1" t="s">
        <v>10</v>
      </c>
      <c r="B1110" s="1" t="s">
        <v>11</v>
      </c>
      <c r="C1110" s="2">
        <v>45461</v>
      </c>
      <c r="D1110">
        <v>190.1</v>
      </c>
      <c r="E1110">
        <v>192.35</v>
      </c>
      <c r="F1110">
        <v>187</v>
      </c>
      <c r="G1110">
        <v>190.45</v>
      </c>
      <c r="H1110">
        <v>57731</v>
      </c>
      <c r="I1110">
        <v>672.03</v>
      </c>
      <c r="J1110">
        <v>0.31</v>
      </c>
      <c r="K1110">
        <v>189.97499999999999</v>
      </c>
    </row>
    <row r="1111" spans="1:11" x14ac:dyDescent="0.25">
      <c r="A1111" s="1" t="s">
        <v>10</v>
      </c>
      <c r="B1111" s="1" t="s">
        <v>11</v>
      </c>
      <c r="C1111" s="2">
        <v>45462</v>
      </c>
      <c r="D1111">
        <v>191.65</v>
      </c>
      <c r="E1111">
        <v>191.95</v>
      </c>
      <c r="F1111">
        <v>182</v>
      </c>
      <c r="G1111">
        <v>185.3</v>
      </c>
      <c r="H1111">
        <v>41597</v>
      </c>
      <c r="I1111">
        <v>653.86</v>
      </c>
      <c r="J1111">
        <v>0.31</v>
      </c>
      <c r="K1111">
        <v>187.72499999999999</v>
      </c>
    </row>
    <row r="1112" spans="1:11" x14ac:dyDescent="0.25">
      <c r="A1112" s="1" t="s">
        <v>10</v>
      </c>
      <c r="B1112" s="1" t="s">
        <v>11</v>
      </c>
      <c r="C1112" s="2">
        <v>45463</v>
      </c>
      <c r="D1112">
        <v>189.8</v>
      </c>
      <c r="E1112">
        <v>190.7</v>
      </c>
      <c r="F1112">
        <v>185.4</v>
      </c>
      <c r="G1112">
        <v>187.35</v>
      </c>
      <c r="H1112">
        <v>25413</v>
      </c>
      <c r="I1112">
        <v>661.09</v>
      </c>
      <c r="J1112">
        <v>0.31</v>
      </c>
      <c r="K1112">
        <v>188.3125</v>
      </c>
    </row>
    <row r="1113" spans="1:11" x14ac:dyDescent="0.25">
      <c r="A1113" s="1" t="s">
        <v>10</v>
      </c>
      <c r="B1113" s="1" t="s">
        <v>11</v>
      </c>
      <c r="C1113" s="2">
        <v>45464</v>
      </c>
      <c r="D1113">
        <v>185</v>
      </c>
      <c r="E1113">
        <v>218</v>
      </c>
      <c r="F1113">
        <v>183.9</v>
      </c>
      <c r="G1113">
        <v>213.4</v>
      </c>
      <c r="H1113">
        <v>183263</v>
      </c>
      <c r="I1113">
        <v>753.01</v>
      </c>
      <c r="J1113">
        <v>0.31</v>
      </c>
      <c r="K1113">
        <v>200.07499999999999</v>
      </c>
    </row>
    <row r="1114" spans="1:11" x14ac:dyDescent="0.25">
      <c r="A1114" s="1" t="s">
        <v>10</v>
      </c>
      <c r="B1114" s="1" t="s">
        <v>11</v>
      </c>
      <c r="C1114" s="2">
        <v>45467</v>
      </c>
      <c r="D1114">
        <v>214.05</v>
      </c>
      <c r="E1114">
        <v>225.25</v>
      </c>
      <c r="F1114">
        <v>211</v>
      </c>
      <c r="G1114">
        <v>220.25</v>
      </c>
      <c r="H1114">
        <v>153993</v>
      </c>
      <c r="I1114">
        <v>777.19</v>
      </c>
      <c r="J1114">
        <v>0.31</v>
      </c>
      <c r="K1114">
        <v>217.63749999999999</v>
      </c>
    </row>
    <row r="1115" spans="1:11" x14ac:dyDescent="0.25">
      <c r="A1115" s="1" t="s">
        <v>10</v>
      </c>
      <c r="B1115" s="1" t="s">
        <v>11</v>
      </c>
      <c r="C1115" s="2">
        <v>45468</v>
      </c>
      <c r="D1115">
        <v>223</v>
      </c>
      <c r="E1115">
        <v>223</v>
      </c>
      <c r="F1115">
        <v>210</v>
      </c>
      <c r="G1115">
        <v>211.15</v>
      </c>
      <c r="H1115">
        <v>45059</v>
      </c>
      <c r="I1115">
        <v>745.07</v>
      </c>
      <c r="J1115">
        <v>0.31</v>
      </c>
      <c r="K1115">
        <v>216.78749999999999</v>
      </c>
    </row>
    <row r="1116" spans="1:11" x14ac:dyDescent="0.25">
      <c r="A1116" s="1" t="s">
        <v>10</v>
      </c>
      <c r="B1116" s="1" t="s">
        <v>11</v>
      </c>
      <c r="C1116" s="2">
        <v>45469</v>
      </c>
      <c r="D1116">
        <v>213.05</v>
      </c>
      <c r="E1116">
        <v>224</v>
      </c>
      <c r="F1116">
        <v>207.25</v>
      </c>
      <c r="G1116">
        <v>222.6</v>
      </c>
      <c r="H1116">
        <v>159275</v>
      </c>
      <c r="I1116">
        <v>785.48</v>
      </c>
      <c r="J1116">
        <v>0.31</v>
      </c>
      <c r="K1116">
        <v>216.72499999999999</v>
      </c>
    </row>
    <row r="1117" spans="1:11" x14ac:dyDescent="0.25">
      <c r="A1117" s="1" t="s">
        <v>10</v>
      </c>
      <c r="B1117" s="1" t="s">
        <v>11</v>
      </c>
      <c r="C1117" s="2">
        <v>45470</v>
      </c>
      <c r="D1117">
        <v>222.6</v>
      </c>
      <c r="E1117">
        <v>234.1</v>
      </c>
      <c r="F1117">
        <v>216.45</v>
      </c>
      <c r="G1117">
        <v>222.95</v>
      </c>
      <c r="H1117">
        <v>172052</v>
      </c>
      <c r="I1117">
        <v>786.71</v>
      </c>
      <c r="J1117">
        <v>0.31</v>
      </c>
      <c r="K1117">
        <v>224.02500000000001</v>
      </c>
    </row>
    <row r="1118" spans="1:11" x14ac:dyDescent="0.25">
      <c r="A1118" s="1" t="s">
        <v>10</v>
      </c>
      <c r="B1118" s="1" t="s">
        <v>11</v>
      </c>
      <c r="C1118" s="2">
        <v>45471</v>
      </c>
      <c r="D1118">
        <v>224.75</v>
      </c>
      <c r="E1118">
        <v>228.3</v>
      </c>
      <c r="F1118">
        <v>218.05</v>
      </c>
      <c r="G1118">
        <v>220.8</v>
      </c>
      <c r="H1118">
        <v>25309</v>
      </c>
      <c r="I1118">
        <v>779.13</v>
      </c>
      <c r="J1118">
        <v>0.31</v>
      </c>
      <c r="K1118">
        <v>222.97499999999999</v>
      </c>
    </row>
    <row r="1119" spans="1:11" x14ac:dyDescent="0.25">
      <c r="A1119" s="1" t="s">
        <v>10</v>
      </c>
      <c r="B1119" s="1" t="s">
        <v>11</v>
      </c>
      <c r="C1119" s="2">
        <v>45474</v>
      </c>
      <c r="D1119">
        <v>222.85</v>
      </c>
      <c r="E1119">
        <v>225.65</v>
      </c>
      <c r="F1119">
        <v>218.75</v>
      </c>
      <c r="G1119">
        <v>220.65</v>
      </c>
      <c r="H1119">
        <v>44226</v>
      </c>
      <c r="I1119">
        <v>778.6</v>
      </c>
      <c r="J1119">
        <v>0.31</v>
      </c>
      <c r="K1119">
        <v>221.97499999999999</v>
      </c>
    </row>
    <row r="1120" spans="1:11" x14ac:dyDescent="0.25">
      <c r="A1120" s="1" t="s">
        <v>10</v>
      </c>
      <c r="B1120" s="1" t="s">
        <v>11</v>
      </c>
      <c r="C1120" s="2">
        <v>45475</v>
      </c>
      <c r="D1120">
        <v>220.65</v>
      </c>
      <c r="E1120">
        <v>222.1</v>
      </c>
      <c r="F1120">
        <v>213.05</v>
      </c>
      <c r="G1120">
        <v>216.05</v>
      </c>
      <c r="H1120">
        <v>49605</v>
      </c>
      <c r="I1120">
        <v>762.36</v>
      </c>
      <c r="J1120">
        <v>0.31</v>
      </c>
      <c r="K1120">
        <v>217.96250000000001</v>
      </c>
    </row>
    <row r="1121" spans="1:11" x14ac:dyDescent="0.25">
      <c r="A1121" s="1" t="s">
        <v>10</v>
      </c>
      <c r="B1121" s="1" t="s">
        <v>11</v>
      </c>
      <c r="C1121" s="2">
        <v>45476</v>
      </c>
      <c r="D1121">
        <v>218.25</v>
      </c>
      <c r="E1121">
        <v>231.7</v>
      </c>
      <c r="F1121">
        <v>217.55</v>
      </c>
      <c r="G1121">
        <v>227.6</v>
      </c>
      <c r="H1121">
        <v>63692</v>
      </c>
      <c r="I1121">
        <v>803.12</v>
      </c>
      <c r="J1121">
        <v>0.31</v>
      </c>
      <c r="K1121">
        <v>223.77500000000001</v>
      </c>
    </row>
    <row r="1122" spans="1:11" x14ac:dyDescent="0.25">
      <c r="A1122" s="1" t="s">
        <v>10</v>
      </c>
      <c r="B1122" s="1" t="s">
        <v>11</v>
      </c>
      <c r="C1122" s="2">
        <v>45477</v>
      </c>
      <c r="D1122">
        <v>227.6</v>
      </c>
      <c r="E1122">
        <v>231.7</v>
      </c>
      <c r="F1122">
        <v>221.2</v>
      </c>
      <c r="G1122">
        <v>227.8</v>
      </c>
      <c r="H1122">
        <v>35765</v>
      </c>
      <c r="I1122">
        <v>803.83</v>
      </c>
      <c r="J1122">
        <v>0.31</v>
      </c>
      <c r="K1122">
        <v>227.07499999999999</v>
      </c>
    </row>
    <row r="1123" spans="1:11" x14ac:dyDescent="0.25">
      <c r="A1123" s="1" t="s">
        <v>10</v>
      </c>
      <c r="B1123" s="1" t="s">
        <v>11</v>
      </c>
      <c r="C1123" s="2">
        <v>45478</v>
      </c>
      <c r="D1123">
        <v>226</v>
      </c>
      <c r="E1123">
        <v>229.15</v>
      </c>
      <c r="F1123">
        <v>223</v>
      </c>
      <c r="G1123">
        <v>224.5</v>
      </c>
      <c r="H1123">
        <v>52953</v>
      </c>
      <c r="I1123">
        <v>792.18</v>
      </c>
      <c r="J1123">
        <v>0.31</v>
      </c>
      <c r="K1123">
        <v>225.66249999999999</v>
      </c>
    </row>
    <row r="1124" spans="1:11" x14ac:dyDescent="0.25">
      <c r="A1124" s="1" t="s">
        <v>10</v>
      </c>
      <c r="B1124" s="1" t="s">
        <v>11</v>
      </c>
      <c r="C1124" s="2">
        <v>45481</v>
      </c>
      <c r="D1124">
        <v>228.5</v>
      </c>
      <c r="E1124">
        <v>229.55</v>
      </c>
      <c r="F1124">
        <v>221.65</v>
      </c>
      <c r="G1124">
        <v>224.85</v>
      </c>
      <c r="H1124">
        <v>18844</v>
      </c>
      <c r="I1124">
        <v>793.42</v>
      </c>
      <c r="J1124">
        <v>0.31</v>
      </c>
      <c r="K1124">
        <v>226.13749999999999</v>
      </c>
    </row>
    <row r="1125" spans="1:11" x14ac:dyDescent="0.25">
      <c r="A1125" s="1" t="s">
        <v>10</v>
      </c>
      <c r="B1125" s="1" t="s">
        <v>11</v>
      </c>
      <c r="C1125" s="2">
        <v>45482</v>
      </c>
      <c r="D1125">
        <v>225</v>
      </c>
      <c r="E1125">
        <v>236.1</v>
      </c>
      <c r="F1125">
        <v>225</v>
      </c>
      <c r="G1125">
        <v>229.2</v>
      </c>
      <c r="H1125">
        <v>101465</v>
      </c>
      <c r="I1125">
        <v>808.77</v>
      </c>
      <c r="J1125">
        <v>0.31</v>
      </c>
      <c r="K1125">
        <v>228.82499999999999</v>
      </c>
    </row>
    <row r="1126" spans="1:11" x14ac:dyDescent="0.25">
      <c r="A1126" s="1" t="s">
        <v>10</v>
      </c>
      <c r="B1126" s="1" t="s">
        <v>11</v>
      </c>
      <c r="C1126" s="2">
        <v>45483</v>
      </c>
      <c r="D1126">
        <v>231.55</v>
      </c>
      <c r="E1126">
        <v>233.9</v>
      </c>
      <c r="F1126">
        <v>212.55</v>
      </c>
      <c r="G1126">
        <v>220.05</v>
      </c>
      <c r="H1126">
        <v>138119</v>
      </c>
      <c r="I1126">
        <v>776.48</v>
      </c>
      <c r="J1126">
        <v>0.31</v>
      </c>
      <c r="K1126">
        <v>224.51249999999999</v>
      </c>
    </row>
    <row r="1127" spans="1:11" x14ac:dyDescent="0.25">
      <c r="A1127" s="1" t="s">
        <v>10</v>
      </c>
      <c r="B1127" s="1" t="s">
        <v>11</v>
      </c>
      <c r="C1127" s="2">
        <v>45484</v>
      </c>
      <c r="D1127">
        <v>222.15</v>
      </c>
      <c r="E1127">
        <v>228</v>
      </c>
      <c r="F1127">
        <v>220.75</v>
      </c>
      <c r="G1127">
        <v>221.3</v>
      </c>
      <c r="H1127">
        <v>69765</v>
      </c>
      <c r="I1127">
        <v>780.89</v>
      </c>
      <c r="J1127">
        <v>0.31</v>
      </c>
      <c r="K1127">
        <v>223.05</v>
      </c>
    </row>
    <row r="1128" spans="1:11" x14ac:dyDescent="0.25">
      <c r="A1128" s="1" t="s">
        <v>10</v>
      </c>
      <c r="B1128" s="1" t="s">
        <v>11</v>
      </c>
      <c r="C1128" s="2">
        <v>45485</v>
      </c>
      <c r="D1128">
        <v>223</v>
      </c>
      <c r="E1128">
        <v>223.5</v>
      </c>
      <c r="F1128">
        <v>217</v>
      </c>
      <c r="G1128">
        <v>218.45</v>
      </c>
      <c r="H1128">
        <v>16973</v>
      </c>
      <c r="I1128">
        <v>770.83</v>
      </c>
      <c r="J1128">
        <v>0.31</v>
      </c>
      <c r="K1128">
        <v>220.48750000000001</v>
      </c>
    </row>
    <row r="1129" spans="1:11" x14ac:dyDescent="0.25">
      <c r="A1129" s="1" t="s">
        <v>10</v>
      </c>
      <c r="B1129" s="1" t="s">
        <v>11</v>
      </c>
      <c r="C1129" s="2">
        <v>45488</v>
      </c>
      <c r="D1129">
        <v>216.05</v>
      </c>
      <c r="E1129">
        <v>220</v>
      </c>
      <c r="F1129">
        <v>214.05</v>
      </c>
      <c r="G1129">
        <v>216.6</v>
      </c>
      <c r="H1129">
        <v>29356</v>
      </c>
      <c r="I1129">
        <v>764.31</v>
      </c>
      <c r="J1129">
        <v>0.31</v>
      </c>
      <c r="K1129">
        <v>216.67500000000001</v>
      </c>
    </row>
    <row r="1130" spans="1:11" x14ac:dyDescent="0.25">
      <c r="A1130" s="1" t="s">
        <v>10</v>
      </c>
      <c r="B1130" s="1" t="s">
        <v>11</v>
      </c>
      <c r="C1130" s="2">
        <v>45489</v>
      </c>
      <c r="D1130">
        <v>214</v>
      </c>
      <c r="E1130">
        <v>220.7</v>
      </c>
      <c r="F1130">
        <v>212.3</v>
      </c>
      <c r="G1130">
        <v>215.55</v>
      </c>
      <c r="H1130">
        <v>17470</v>
      </c>
      <c r="I1130">
        <v>760.6</v>
      </c>
      <c r="J1130">
        <v>0.31</v>
      </c>
      <c r="K1130">
        <v>215.63749999999999</v>
      </c>
    </row>
    <row r="1131" spans="1:11" x14ac:dyDescent="0.25">
      <c r="A1131" s="1" t="s">
        <v>10</v>
      </c>
      <c r="B1131" s="1" t="s">
        <v>11</v>
      </c>
      <c r="C1131" s="2">
        <v>45491</v>
      </c>
      <c r="D1131">
        <v>218.8</v>
      </c>
      <c r="E1131">
        <v>218.8</v>
      </c>
      <c r="F1131">
        <v>205.7</v>
      </c>
      <c r="G1131">
        <v>209.4</v>
      </c>
      <c r="H1131">
        <v>39625</v>
      </c>
      <c r="I1131">
        <v>738.9</v>
      </c>
      <c r="J1131">
        <v>0.31</v>
      </c>
      <c r="K1131">
        <v>213.17500000000001</v>
      </c>
    </row>
    <row r="1132" spans="1:11" x14ac:dyDescent="0.25">
      <c r="A1132" s="1" t="s">
        <v>10</v>
      </c>
      <c r="B1132" s="1" t="s">
        <v>11</v>
      </c>
      <c r="C1132" s="2">
        <v>45492</v>
      </c>
      <c r="D1132">
        <v>209.4</v>
      </c>
      <c r="E1132">
        <v>233.55</v>
      </c>
      <c r="F1132">
        <v>201.9</v>
      </c>
      <c r="G1132">
        <v>217.15</v>
      </c>
      <c r="H1132">
        <v>112016</v>
      </c>
      <c r="I1132">
        <v>766.25</v>
      </c>
      <c r="J1132">
        <v>0.31</v>
      </c>
      <c r="K1132">
        <v>215.5</v>
      </c>
    </row>
    <row r="1133" spans="1:11" x14ac:dyDescent="0.25">
      <c r="A1133" s="1" t="s">
        <v>10</v>
      </c>
      <c r="B1133" s="1" t="s">
        <v>11</v>
      </c>
      <c r="C1133" s="2">
        <v>45495</v>
      </c>
      <c r="D1133">
        <v>217</v>
      </c>
      <c r="E1133">
        <v>220</v>
      </c>
      <c r="F1133">
        <v>209.75</v>
      </c>
      <c r="G1133">
        <v>210.6</v>
      </c>
      <c r="H1133">
        <v>48824</v>
      </c>
      <c r="I1133">
        <v>743.13</v>
      </c>
      <c r="J1133">
        <v>0.31</v>
      </c>
      <c r="K1133">
        <v>214.33750000000001</v>
      </c>
    </row>
    <row r="1134" spans="1:11" x14ac:dyDescent="0.25">
      <c r="A1134" s="1" t="s">
        <v>10</v>
      </c>
      <c r="B1134" s="1" t="s">
        <v>11</v>
      </c>
      <c r="C1134" s="2">
        <v>45496</v>
      </c>
      <c r="D1134">
        <v>210.75</v>
      </c>
      <c r="E1134">
        <v>231</v>
      </c>
      <c r="F1134">
        <v>210.75</v>
      </c>
      <c r="G1134">
        <v>218.75</v>
      </c>
      <c r="H1134">
        <v>144433</v>
      </c>
      <c r="I1134">
        <v>771.89</v>
      </c>
      <c r="J1134">
        <v>0.31</v>
      </c>
      <c r="K1134">
        <v>217.8125</v>
      </c>
    </row>
    <row r="1135" spans="1:11" x14ac:dyDescent="0.25">
      <c r="A1135" s="1" t="s">
        <v>10</v>
      </c>
      <c r="B1135" s="1" t="s">
        <v>11</v>
      </c>
      <c r="C1135" s="2">
        <v>45497</v>
      </c>
      <c r="D1135">
        <v>223.95</v>
      </c>
      <c r="E1135">
        <v>229.15</v>
      </c>
      <c r="F1135">
        <v>220.95</v>
      </c>
      <c r="G1135">
        <v>222.8</v>
      </c>
      <c r="H1135">
        <v>23324</v>
      </c>
      <c r="I1135">
        <v>786.18</v>
      </c>
      <c r="J1135">
        <v>0.31</v>
      </c>
      <c r="K1135">
        <v>224.21250000000001</v>
      </c>
    </row>
    <row r="1136" spans="1:11" x14ac:dyDescent="0.25">
      <c r="A1136" s="1" t="s">
        <v>10</v>
      </c>
      <c r="B1136" s="1" t="s">
        <v>11</v>
      </c>
      <c r="C1136" s="2">
        <v>45498</v>
      </c>
      <c r="D1136">
        <v>219.45</v>
      </c>
      <c r="E1136">
        <v>224.6</v>
      </c>
      <c r="F1136">
        <v>216.35</v>
      </c>
      <c r="G1136">
        <v>218.65</v>
      </c>
      <c r="H1136">
        <v>38210</v>
      </c>
      <c r="I1136">
        <v>771.54</v>
      </c>
      <c r="J1136">
        <v>0.31</v>
      </c>
      <c r="K1136">
        <v>219.76249999999999</v>
      </c>
    </row>
    <row r="1137" spans="1:11" x14ac:dyDescent="0.25">
      <c r="A1137" s="1" t="s">
        <v>10</v>
      </c>
      <c r="B1137" s="1" t="s">
        <v>11</v>
      </c>
      <c r="C1137" s="2">
        <v>45499</v>
      </c>
      <c r="D1137">
        <v>215.55</v>
      </c>
      <c r="E1137">
        <v>262.35000000000002</v>
      </c>
      <c r="F1137">
        <v>215.55</v>
      </c>
      <c r="G1137">
        <v>257.05</v>
      </c>
      <c r="H1137">
        <v>541330</v>
      </c>
      <c r="I1137">
        <v>907.04</v>
      </c>
      <c r="J1137">
        <v>0.31</v>
      </c>
      <c r="K1137">
        <v>237.625</v>
      </c>
    </row>
    <row r="1138" spans="1:11" x14ac:dyDescent="0.25">
      <c r="A1138" s="1" t="s">
        <v>10</v>
      </c>
      <c r="B1138" s="1" t="s">
        <v>11</v>
      </c>
      <c r="C1138" s="2">
        <v>45502</v>
      </c>
      <c r="D1138">
        <v>261.8</v>
      </c>
      <c r="E1138">
        <v>294.7</v>
      </c>
      <c r="F1138">
        <v>256.55</v>
      </c>
      <c r="G1138">
        <v>276.55</v>
      </c>
      <c r="H1138">
        <v>590379</v>
      </c>
      <c r="I1138">
        <v>975.85</v>
      </c>
      <c r="J1138">
        <v>0.31</v>
      </c>
      <c r="K1138">
        <v>272.39999999999998</v>
      </c>
    </row>
    <row r="1139" spans="1:11" x14ac:dyDescent="0.25">
      <c r="A1139" s="1" t="s">
        <v>10</v>
      </c>
      <c r="B1139" s="1" t="s">
        <v>11</v>
      </c>
      <c r="C1139" s="2">
        <v>45503</v>
      </c>
      <c r="D1139">
        <v>279.60000000000002</v>
      </c>
      <c r="E1139">
        <v>285.10000000000002</v>
      </c>
      <c r="F1139">
        <v>273.5</v>
      </c>
      <c r="G1139">
        <v>277.25</v>
      </c>
      <c r="H1139">
        <v>49263</v>
      </c>
      <c r="I1139">
        <v>978.32</v>
      </c>
      <c r="J1139">
        <v>0.31</v>
      </c>
      <c r="K1139">
        <v>278.86250000000001</v>
      </c>
    </row>
    <row r="1140" spans="1:11" x14ac:dyDescent="0.25">
      <c r="A1140" s="1" t="s">
        <v>10</v>
      </c>
      <c r="B1140" s="1" t="s">
        <v>11</v>
      </c>
      <c r="C1140" s="2">
        <v>45504</v>
      </c>
      <c r="D1140">
        <v>277.25</v>
      </c>
      <c r="E1140">
        <v>281.89999999999998</v>
      </c>
      <c r="F1140">
        <v>265.85000000000002</v>
      </c>
      <c r="G1140">
        <v>272.10000000000002</v>
      </c>
      <c r="H1140">
        <v>50052</v>
      </c>
      <c r="I1140">
        <v>960.15</v>
      </c>
      <c r="J1140">
        <v>0.31</v>
      </c>
      <c r="K1140">
        <v>274.27499999999998</v>
      </c>
    </row>
    <row r="1141" spans="1:11" x14ac:dyDescent="0.25">
      <c r="A1141" s="1" t="s">
        <v>10</v>
      </c>
      <c r="B1141" s="1" t="s">
        <v>11</v>
      </c>
      <c r="C1141" s="2">
        <v>45505</v>
      </c>
      <c r="D1141">
        <v>274.7</v>
      </c>
      <c r="E1141">
        <v>274.7</v>
      </c>
      <c r="F1141">
        <v>263.7</v>
      </c>
      <c r="G1141">
        <v>265.45</v>
      </c>
      <c r="H1141">
        <v>45937</v>
      </c>
      <c r="I1141">
        <v>936.68</v>
      </c>
      <c r="J1141">
        <v>0.31</v>
      </c>
      <c r="K1141">
        <v>269.63749999999999</v>
      </c>
    </row>
    <row r="1142" spans="1:11" x14ac:dyDescent="0.25">
      <c r="A1142" s="1" t="s">
        <v>10</v>
      </c>
      <c r="B1142" s="1" t="s">
        <v>11</v>
      </c>
      <c r="C1142" s="2">
        <v>45506</v>
      </c>
      <c r="D1142">
        <v>256.10000000000002</v>
      </c>
      <c r="E1142">
        <v>293.25</v>
      </c>
      <c r="F1142">
        <v>256.10000000000002</v>
      </c>
      <c r="G1142">
        <v>288.10000000000002</v>
      </c>
      <c r="H1142">
        <v>178775</v>
      </c>
      <c r="I1142">
        <v>1016.6</v>
      </c>
      <c r="J1142">
        <v>0.31</v>
      </c>
      <c r="K1142">
        <v>273.38749999999999</v>
      </c>
    </row>
    <row r="1143" spans="1:11" x14ac:dyDescent="0.25">
      <c r="A1143" s="1" t="s">
        <v>10</v>
      </c>
      <c r="B1143" s="1" t="s">
        <v>11</v>
      </c>
      <c r="C1143" s="2">
        <v>45509</v>
      </c>
      <c r="D1143">
        <v>276.05</v>
      </c>
      <c r="E1143">
        <v>302.89999999999998</v>
      </c>
      <c r="F1143">
        <v>273.10000000000002</v>
      </c>
      <c r="G1143">
        <v>276.85000000000002</v>
      </c>
      <c r="H1143">
        <v>182129</v>
      </c>
      <c r="I1143">
        <v>976.91</v>
      </c>
      <c r="J1143">
        <v>0.31</v>
      </c>
      <c r="K1143">
        <v>282.22500000000002</v>
      </c>
    </row>
    <row r="1144" spans="1:11" x14ac:dyDescent="0.25">
      <c r="A1144" s="1" t="s">
        <v>10</v>
      </c>
      <c r="B1144" s="1" t="s">
        <v>11</v>
      </c>
      <c r="C1144" s="2">
        <v>45510</v>
      </c>
      <c r="D1144">
        <v>277.2</v>
      </c>
      <c r="E1144">
        <v>289.55</v>
      </c>
      <c r="F1144">
        <v>260.7</v>
      </c>
      <c r="G1144">
        <v>264.2</v>
      </c>
      <c r="H1144">
        <v>94707</v>
      </c>
      <c r="I1144">
        <v>932.27</v>
      </c>
      <c r="J1144">
        <v>0.31</v>
      </c>
      <c r="K1144">
        <v>272.91250000000002</v>
      </c>
    </row>
    <row r="1145" spans="1:11" x14ac:dyDescent="0.25">
      <c r="A1145" s="1" t="s">
        <v>10</v>
      </c>
      <c r="B1145" s="1" t="s">
        <v>11</v>
      </c>
      <c r="C1145" s="2">
        <v>45511</v>
      </c>
      <c r="D1145">
        <v>272</v>
      </c>
      <c r="E1145">
        <v>299.10000000000002</v>
      </c>
      <c r="F1145">
        <v>266.10000000000002</v>
      </c>
      <c r="G1145">
        <v>295.05</v>
      </c>
      <c r="H1145">
        <v>49337</v>
      </c>
      <c r="I1145">
        <v>1041.1300000000001</v>
      </c>
      <c r="J1145">
        <v>0.31</v>
      </c>
      <c r="K1145">
        <v>283.0625</v>
      </c>
    </row>
    <row r="1146" spans="1:11" x14ac:dyDescent="0.25">
      <c r="A1146" s="1" t="s">
        <v>10</v>
      </c>
      <c r="B1146" s="1" t="s">
        <v>11</v>
      </c>
      <c r="C1146" s="2">
        <v>45512</v>
      </c>
      <c r="D1146">
        <v>298</v>
      </c>
      <c r="E1146">
        <v>316</v>
      </c>
      <c r="F1146">
        <v>294.35000000000002</v>
      </c>
      <c r="G1146">
        <v>301.55</v>
      </c>
      <c r="H1146">
        <v>118975</v>
      </c>
      <c r="I1146">
        <v>1064.06</v>
      </c>
      <c r="J1146">
        <v>0.31</v>
      </c>
      <c r="K1146">
        <v>302.47500000000002</v>
      </c>
    </row>
    <row r="1147" spans="1:11" x14ac:dyDescent="0.25">
      <c r="A1147" s="1" t="s">
        <v>10</v>
      </c>
      <c r="B1147" s="1" t="s">
        <v>11</v>
      </c>
      <c r="C1147" s="2">
        <v>45513</v>
      </c>
      <c r="D1147">
        <v>307.60000000000002</v>
      </c>
      <c r="E1147">
        <v>331.75</v>
      </c>
      <c r="F1147">
        <v>301.3</v>
      </c>
      <c r="G1147">
        <v>326.14999999999998</v>
      </c>
      <c r="H1147">
        <v>253232</v>
      </c>
      <c r="I1147">
        <v>1150.8699999999999</v>
      </c>
      <c r="J1147">
        <v>0.31</v>
      </c>
      <c r="K1147">
        <v>316.7</v>
      </c>
    </row>
    <row r="1148" spans="1:11" x14ac:dyDescent="0.25">
      <c r="A1148" s="1" t="s">
        <v>10</v>
      </c>
      <c r="B1148" s="1" t="s">
        <v>11</v>
      </c>
      <c r="C1148" s="2">
        <v>45516</v>
      </c>
      <c r="D1148">
        <v>322.89999999999998</v>
      </c>
      <c r="E1148">
        <v>324.95</v>
      </c>
      <c r="F1148">
        <v>312.7</v>
      </c>
      <c r="G1148">
        <v>314.89999999999998</v>
      </c>
      <c r="H1148">
        <v>61444</v>
      </c>
      <c r="I1148">
        <v>1111.17</v>
      </c>
      <c r="J1148">
        <v>0.31</v>
      </c>
      <c r="K1148">
        <v>318.86250000000001</v>
      </c>
    </row>
    <row r="1149" spans="1:11" x14ac:dyDescent="0.25">
      <c r="A1149" s="1" t="s">
        <v>10</v>
      </c>
      <c r="B1149" s="1" t="s">
        <v>11</v>
      </c>
      <c r="C1149" s="2">
        <v>45517</v>
      </c>
      <c r="D1149">
        <v>319.75</v>
      </c>
      <c r="E1149">
        <v>324</v>
      </c>
      <c r="F1149">
        <v>292.85000000000002</v>
      </c>
      <c r="G1149">
        <v>295.60000000000002</v>
      </c>
      <c r="H1149">
        <v>105552</v>
      </c>
      <c r="I1149">
        <v>1043.07</v>
      </c>
      <c r="J1149">
        <v>0.31</v>
      </c>
      <c r="K1149">
        <v>308.05</v>
      </c>
    </row>
    <row r="1150" spans="1:11" x14ac:dyDescent="0.25">
      <c r="A1150" s="1" t="s">
        <v>10</v>
      </c>
      <c r="B1150" s="1" t="s">
        <v>11</v>
      </c>
      <c r="C1150" s="2">
        <v>45518</v>
      </c>
      <c r="D1150">
        <v>301.55</v>
      </c>
      <c r="E1150">
        <v>301.55</v>
      </c>
      <c r="F1150">
        <v>286.2</v>
      </c>
      <c r="G1150">
        <v>292.85000000000002</v>
      </c>
      <c r="H1150">
        <v>26419</v>
      </c>
      <c r="I1150">
        <v>1033.3699999999999</v>
      </c>
      <c r="J1150">
        <v>0.31</v>
      </c>
      <c r="K1150">
        <v>295.53750000000002</v>
      </c>
    </row>
    <row r="1151" spans="1:11" x14ac:dyDescent="0.25">
      <c r="A1151" s="1" t="s">
        <v>10</v>
      </c>
      <c r="B1151" s="1" t="s">
        <v>11</v>
      </c>
      <c r="C1151" s="2">
        <v>45520</v>
      </c>
      <c r="D1151">
        <v>292.85000000000002</v>
      </c>
      <c r="E1151">
        <v>302</v>
      </c>
      <c r="F1151">
        <v>291.2</v>
      </c>
      <c r="G1151">
        <v>296.10000000000002</v>
      </c>
      <c r="H1151">
        <v>17684</v>
      </c>
      <c r="I1151">
        <v>1044.83</v>
      </c>
      <c r="J1151">
        <v>0.31</v>
      </c>
      <c r="K1151">
        <v>295.53750000000002</v>
      </c>
    </row>
    <row r="1152" spans="1:11" x14ac:dyDescent="0.25">
      <c r="A1152" s="1" t="s">
        <v>10</v>
      </c>
      <c r="B1152" s="1" t="s">
        <v>11</v>
      </c>
      <c r="C1152" s="2">
        <v>45523</v>
      </c>
      <c r="D1152">
        <v>299.89999999999998</v>
      </c>
      <c r="E1152">
        <v>340.35</v>
      </c>
      <c r="F1152">
        <v>297.3</v>
      </c>
      <c r="G1152">
        <v>330.45</v>
      </c>
      <c r="H1152">
        <v>73890</v>
      </c>
      <c r="I1152">
        <v>1166.04</v>
      </c>
      <c r="J1152">
        <v>0.31</v>
      </c>
      <c r="K1152">
        <v>317</v>
      </c>
    </row>
    <row r="1153" spans="1:11" x14ac:dyDescent="0.25">
      <c r="A1153" s="1" t="s">
        <v>10</v>
      </c>
      <c r="B1153" s="1" t="s">
        <v>11</v>
      </c>
      <c r="C1153" s="2">
        <v>45524</v>
      </c>
      <c r="D1153">
        <v>330.5</v>
      </c>
      <c r="E1153">
        <v>338.55</v>
      </c>
      <c r="F1153">
        <v>321.14999999999998</v>
      </c>
      <c r="G1153">
        <v>323.60000000000002</v>
      </c>
      <c r="H1153">
        <v>73292</v>
      </c>
      <c r="I1153">
        <v>1141.8699999999999</v>
      </c>
      <c r="J1153">
        <v>0.31</v>
      </c>
      <c r="K1153">
        <v>328.45</v>
      </c>
    </row>
    <row r="1154" spans="1:11" x14ac:dyDescent="0.25">
      <c r="A1154" s="1" t="s">
        <v>10</v>
      </c>
      <c r="B1154" s="1" t="s">
        <v>11</v>
      </c>
      <c r="C1154" s="2">
        <v>45525</v>
      </c>
      <c r="D1154">
        <v>327.9</v>
      </c>
      <c r="E1154">
        <v>333.75</v>
      </c>
      <c r="F1154">
        <v>313.7</v>
      </c>
      <c r="G1154">
        <v>326</v>
      </c>
      <c r="H1154">
        <v>17537</v>
      </c>
      <c r="I1154">
        <v>1150.3399999999999</v>
      </c>
      <c r="J1154">
        <v>0.31</v>
      </c>
      <c r="K1154">
        <v>325.33749999999998</v>
      </c>
    </row>
    <row r="1155" spans="1:11" x14ac:dyDescent="0.25">
      <c r="A1155" s="1" t="s">
        <v>10</v>
      </c>
      <c r="B1155" s="1" t="s">
        <v>11</v>
      </c>
      <c r="C1155" s="2">
        <v>45526</v>
      </c>
      <c r="D1155">
        <v>326</v>
      </c>
      <c r="E1155">
        <v>346.7</v>
      </c>
      <c r="F1155">
        <v>326</v>
      </c>
      <c r="G1155">
        <v>335.15</v>
      </c>
      <c r="H1155">
        <v>23654</v>
      </c>
      <c r="I1155">
        <v>1182.6300000000001</v>
      </c>
      <c r="J1155">
        <v>0.31</v>
      </c>
      <c r="K1155">
        <v>333.46249999999998</v>
      </c>
    </row>
    <row r="1156" spans="1:11" x14ac:dyDescent="0.25">
      <c r="A1156" s="1" t="s">
        <v>10</v>
      </c>
      <c r="B1156" s="1" t="s">
        <v>11</v>
      </c>
      <c r="C1156" s="2">
        <v>45527</v>
      </c>
      <c r="D1156">
        <v>344</v>
      </c>
      <c r="E1156">
        <v>344</v>
      </c>
      <c r="F1156">
        <v>324.25</v>
      </c>
      <c r="G1156">
        <v>338.05</v>
      </c>
      <c r="H1156">
        <v>14491</v>
      </c>
      <c r="I1156">
        <v>1192.8599999999999</v>
      </c>
      <c r="J1156">
        <v>0.31</v>
      </c>
      <c r="K1156">
        <v>337.57499999999999</v>
      </c>
    </row>
    <row r="1157" spans="1:11" x14ac:dyDescent="0.25">
      <c r="A1157" s="1" t="s">
        <v>10</v>
      </c>
      <c r="B1157" s="1" t="s">
        <v>11</v>
      </c>
      <c r="C1157" s="2">
        <v>45530</v>
      </c>
      <c r="D1157">
        <v>334</v>
      </c>
      <c r="E1157">
        <v>338.5</v>
      </c>
      <c r="F1157">
        <v>321.05</v>
      </c>
      <c r="G1157">
        <v>322.85000000000002</v>
      </c>
      <c r="H1157">
        <v>13985</v>
      </c>
      <c r="I1157">
        <v>1139.22</v>
      </c>
      <c r="J1157">
        <v>0.31</v>
      </c>
      <c r="K1157">
        <v>329.1</v>
      </c>
    </row>
    <row r="1158" spans="1:11" x14ac:dyDescent="0.25">
      <c r="A1158" s="1" t="s">
        <v>10</v>
      </c>
      <c r="B1158" s="1" t="s">
        <v>11</v>
      </c>
      <c r="C1158" s="2">
        <v>45531</v>
      </c>
      <c r="D1158">
        <v>324.5</v>
      </c>
      <c r="E1158">
        <v>334.9</v>
      </c>
      <c r="F1158">
        <v>319.85000000000002</v>
      </c>
      <c r="G1158">
        <v>330.3</v>
      </c>
      <c r="H1158">
        <v>34090</v>
      </c>
      <c r="I1158">
        <v>1165.51</v>
      </c>
      <c r="J1158">
        <v>0.31</v>
      </c>
      <c r="K1158">
        <v>327.38749999999999</v>
      </c>
    </row>
    <row r="1159" spans="1:11" x14ac:dyDescent="0.25">
      <c r="A1159" s="1" t="s">
        <v>10</v>
      </c>
      <c r="B1159" s="1" t="s">
        <v>11</v>
      </c>
      <c r="C1159" s="2">
        <v>45532</v>
      </c>
      <c r="D1159">
        <v>327.45</v>
      </c>
      <c r="E1159">
        <v>332.55</v>
      </c>
      <c r="F1159">
        <v>321</v>
      </c>
      <c r="G1159">
        <v>324.45</v>
      </c>
      <c r="H1159">
        <v>29558</v>
      </c>
      <c r="I1159">
        <v>1144.8699999999999</v>
      </c>
      <c r="J1159">
        <v>0.31</v>
      </c>
      <c r="K1159">
        <v>326.36250000000001</v>
      </c>
    </row>
    <row r="1160" spans="1:11" x14ac:dyDescent="0.25">
      <c r="A1160" s="1" t="s">
        <v>10</v>
      </c>
      <c r="B1160" s="1" t="s">
        <v>11</v>
      </c>
      <c r="C1160" s="2">
        <v>45533</v>
      </c>
      <c r="D1160">
        <v>320</v>
      </c>
      <c r="E1160">
        <v>331</v>
      </c>
      <c r="F1160">
        <v>312.25</v>
      </c>
      <c r="G1160">
        <v>316.60000000000002</v>
      </c>
      <c r="H1160">
        <v>37040</v>
      </c>
      <c r="I1160">
        <v>1117.17</v>
      </c>
      <c r="J1160">
        <v>0.31</v>
      </c>
      <c r="K1160">
        <v>319.96249999999998</v>
      </c>
    </row>
    <row r="1161" spans="1:11" x14ac:dyDescent="0.25">
      <c r="A1161" s="1" t="s">
        <v>10</v>
      </c>
      <c r="B1161" s="1" t="s">
        <v>11</v>
      </c>
      <c r="C1161" s="2">
        <v>45534</v>
      </c>
      <c r="D1161">
        <v>318</v>
      </c>
      <c r="E1161">
        <v>325.5</v>
      </c>
      <c r="F1161">
        <v>310.89999999999998</v>
      </c>
      <c r="G1161">
        <v>316.25</v>
      </c>
      <c r="H1161">
        <v>31544</v>
      </c>
      <c r="I1161">
        <v>1115.94</v>
      </c>
      <c r="J1161">
        <v>0.31</v>
      </c>
      <c r="K1161">
        <v>317.66250000000002</v>
      </c>
    </row>
    <row r="1162" spans="1:11" x14ac:dyDescent="0.25">
      <c r="A1162" s="1" t="s">
        <v>10</v>
      </c>
      <c r="B1162" s="1" t="s">
        <v>11</v>
      </c>
      <c r="C1162" s="2">
        <v>45537</v>
      </c>
      <c r="D1162">
        <v>320</v>
      </c>
      <c r="E1162">
        <v>323</v>
      </c>
      <c r="F1162">
        <v>316.60000000000002</v>
      </c>
      <c r="G1162">
        <v>317.89999999999998</v>
      </c>
      <c r="H1162">
        <v>8719</v>
      </c>
      <c r="I1162">
        <v>1121.76</v>
      </c>
      <c r="J1162">
        <v>0.31</v>
      </c>
      <c r="K1162">
        <v>319.375</v>
      </c>
    </row>
    <row r="1163" spans="1:11" x14ac:dyDescent="0.25">
      <c r="A1163" s="1" t="s">
        <v>10</v>
      </c>
      <c r="B1163" s="1" t="s">
        <v>11</v>
      </c>
      <c r="C1163" s="2">
        <v>45538</v>
      </c>
      <c r="D1163">
        <v>324.45</v>
      </c>
      <c r="E1163">
        <v>324.45</v>
      </c>
      <c r="F1163">
        <v>312.5</v>
      </c>
      <c r="G1163">
        <v>315.05</v>
      </c>
      <c r="H1163">
        <v>7066</v>
      </c>
      <c r="I1163">
        <v>1111.7</v>
      </c>
      <c r="J1163">
        <v>0.31</v>
      </c>
      <c r="K1163">
        <v>319.11250000000001</v>
      </c>
    </row>
    <row r="1164" spans="1:11" x14ac:dyDescent="0.25">
      <c r="A1164" s="1" t="s">
        <v>10</v>
      </c>
      <c r="B1164" s="1" t="s">
        <v>11</v>
      </c>
      <c r="C1164" s="2">
        <v>45539</v>
      </c>
      <c r="D1164">
        <v>310.75</v>
      </c>
      <c r="E1164">
        <v>340.3</v>
      </c>
      <c r="F1164">
        <v>310.75</v>
      </c>
      <c r="G1164">
        <v>327.2</v>
      </c>
      <c r="H1164">
        <v>36400</v>
      </c>
      <c r="I1164">
        <v>1154.57</v>
      </c>
      <c r="J1164">
        <v>0.31</v>
      </c>
      <c r="K1164">
        <v>322.25</v>
      </c>
    </row>
    <row r="1165" spans="1:11" x14ac:dyDescent="0.25">
      <c r="A1165" s="1" t="s">
        <v>10</v>
      </c>
      <c r="B1165" s="1" t="s">
        <v>11</v>
      </c>
      <c r="C1165" s="2">
        <v>45540</v>
      </c>
      <c r="D1165">
        <v>331.75</v>
      </c>
      <c r="E1165">
        <v>333.3</v>
      </c>
      <c r="F1165">
        <v>319.64999999999998</v>
      </c>
      <c r="G1165">
        <v>321.64999999999998</v>
      </c>
      <c r="H1165">
        <v>63089</v>
      </c>
      <c r="I1165">
        <v>1134.99</v>
      </c>
      <c r="J1165">
        <v>0.31</v>
      </c>
      <c r="K1165">
        <v>326.58749999999998</v>
      </c>
    </row>
    <row r="1166" spans="1:11" x14ac:dyDescent="0.25">
      <c r="A1166" s="1" t="s">
        <v>10</v>
      </c>
      <c r="B1166" s="1" t="s">
        <v>11</v>
      </c>
      <c r="C1166" s="2">
        <v>45541</v>
      </c>
      <c r="D1166">
        <v>322.25</v>
      </c>
      <c r="E1166">
        <v>324.10000000000002</v>
      </c>
      <c r="F1166">
        <v>315.85000000000002</v>
      </c>
      <c r="G1166">
        <v>317.89999999999998</v>
      </c>
      <c r="H1166">
        <v>20588</v>
      </c>
      <c r="I1166">
        <v>1121.76</v>
      </c>
      <c r="J1166">
        <v>0.31</v>
      </c>
      <c r="K1166">
        <v>320.02499999999998</v>
      </c>
    </row>
    <row r="1167" spans="1:11" x14ac:dyDescent="0.25">
      <c r="A1167" s="1" t="s">
        <v>10</v>
      </c>
      <c r="B1167" s="1" t="s">
        <v>11</v>
      </c>
      <c r="C1167" s="2">
        <v>45544</v>
      </c>
      <c r="D1167">
        <v>316.55</v>
      </c>
      <c r="E1167">
        <v>320.75</v>
      </c>
      <c r="F1167">
        <v>307</v>
      </c>
      <c r="G1167">
        <v>315.55</v>
      </c>
      <c r="H1167">
        <v>28583</v>
      </c>
      <c r="I1167">
        <v>1113.47</v>
      </c>
      <c r="J1167">
        <v>0.31</v>
      </c>
      <c r="K1167">
        <v>314.96249999999998</v>
      </c>
    </row>
    <row r="1168" spans="1:11" x14ac:dyDescent="0.25">
      <c r="A1168" s="1" t="s">
        <v>10</v>
      </c>
      <c r="B1168" s="1" t="s">
        <v>11</v>
      </c>
      <c r="C1168" s="2">
        <v>45545</v>
      </c>
      <c r="D1168">
        <v>315</v>
      </c>
      <c r="E1168">
        <v>320.05</v>
      </c>
      <c r="F1168">
        <v>311.39999999999998</v>
      </c>
      <c r="G1168">
        <v>312.3</v>
      </c>
      <c r="H1168">
        <v>33725</v>
      </c>
      <c r="I1168">
        <v>1102</v>
      </c>
      <c r="J1168">
        <v>0.31</v>
      </c>
      <c r="K1168">
        <v>314.6875</v>
      </c>
    </row>
    <row r="1169" spans="1:11" x14ac:dyDescent="0.25">
      <c r="A1169" s="1" t="s">
        <v>10</v>
      </c>
      <c r="B1169" s="1" t="s">
        <v>11</v>
      </c>
      <c r="C1169" s="2">
        <v>45546</v>
      </c>
      <c r="D1169">
        <v>310.05</v>
      </c>
      <c r="E1169">
        <v>314.60000000000002</v>
      </c>
      <c r="F1169">
        <v>306</v>
      </c>
      <c r="G1169">
        <v>306.8</v>
      </c>
      <c r="H1169">
        <v>17126</v>
      </c>
      <c r="I1169">
        <v>1082.5899999999999</v>
      </c>
      <c r="J1169">
        <v>0.31</v>
      </c>
      <c r="K1169">
        <v>309.36250000000001</v>
      </c>
    </row>
    <row r="1170" spans="1:11" x14ac:dyDescent="0.25">
      <c r="A1170" s="1" t="s">
        <v>10</v>
      </c>
      <c r="B1170" s="1" t="s">
        <v>11</v>
      </c>
      <c r="C1170" s="2">
        <v>45547</v>
      </c>
      <c r="D1170">
        <v>307.25</v>
      </c>
      <c r="E1170">
        <v>312.45</v>
      </c>
      <c r="F1170">
        <v>303.10000000000002</v>
      </c>
      <c r="G1170">
        <v>303.85000000000002</v>
      </c>
      <c r="H1170">
        <v>14806</v>
      </c>
      <c r="I1170">
        <v>1072.18</v>
      </c>
      <c r="J1170">
        <v>0.31</v>
      </c>
      <c r="K1170">
        <v>306.66250000000002</v>
      </c>
    </row>
    <row r="1171" spans="1:11" x14ac:dyDescent="0.25">
      <c r="A1171" s="1" t="s">
        <v>10</v>
      </c>
      <c r="B1171" s="1" t="s">
        <v>11</v>
      </c>
      <c r="C1171" s="2">
        <v>45548</v>
      </c>
      <c r="D1171">
        <v>308</v>
      </c>
      <c r="E1171">
        <v>314.64999999999998</v>
      </c>
      <c r="F1171">
        <v>305.7</v>
      </c>
      <c r="G1171">
        <v>309.64999999999998</v>
      </c>
      <c r="H1171">
        <v>8469</v>
      </c>
      <c r="I1171">
        <v>1092.6500000000001</v>
      </c>
      <c r="J1171">
        <v>0.31</v>
      </c>
      <c r="K1171">
        <v>309.5</v>
      </c>
    </row>
    <row r="1172" spans="1:11" x14ac:dyDescent="0.25">
      <c r="A1172" s="1" t="s">
        <v>10</v>
      </c>
      <c r="B1172" s="1" t="s">
        <v>11</v>
      </c>
      <c r="C1172" s="2">
        <v>45551</v>
      </c>
      <c r="D1172">
        <v>314</v>
      </c>
      <c r="E1172">
        <v>314</v>
      </c>
      <c r="F1172">
        <v>300.7</v>
      </c>
      <c r="G1172">
        <v>302.75</v>
      </c>
      <c r="H1172">
        <v>26207</v>
      </c>
      <c r="I1172">
        <v>1068.3</v>
      </c>
      <c r="J1172">
        <v>0.31</v>
      </c>
      <c r="K1172">
        <v>307.86250000000001</v>
      </c>
    </row>
    <row r="1173" spans="1:11" x14ac:dyDescent="0.25">
      <c r="A1173" s="1" t="s">
        <v>10</v>
      </c>
      <c r="B1173" s="1" t="s">
        <v>11</v>
      </c>
      <c r="C1173" s="2">
        <v>45552</v>
      </c>
      <c r="D1173">
        <v>302.7</v>
      </c>
      <c r="E1173">
        <v>302.95</v>
      </c>
      <c r="F1173">
        <v>294.39999999999998</v>
      </c>
      <c r="G1173">
        <v>295.39999999999998</v>
      </c>
      <c r="H1173">
        <v>38792</v>
      </c>
      <c r="I1173">
        <v>1042.3599999999999</v>
      </c>
      <c r="J1173">
        <v>0.31</v>
      </c>
      <c r="K1173">
        <v>298.86250000000001</v>
      </c>
    </row>
    <row r="1174" spans="1:11" x14ac:dyDescent="0.25">
      <c r="A1174" s="1" t="s">
        <v>10</v>
      </c>
      <c r="B1174" s="1" t="s">
        <v>11</v>
      </c>
      <c r="C1174" s="2">
        <v>45553</v>
      </c>
      <c r="D1174">
        <v>295.39999999999998</v>
      </c>
      <c r="E1174">
        <v>306.89999999999998</v>
      </c>
      <c r="F1174">
        <v>290</v>
      </c>
      <c r="G1174">
        <v>291.45</v>
      </c>
      <c r="H1174">
        <v>45989</v>
      </c>
      <c r="I1174">
        <v>1028.43</v>
      </c>
      <c r="J1174">
        <v>0.31</v>
      </c>
      <c r="K1174">
        <v>295.9375</v>
      </c>
    </row>
    <row r="1175" spans="1:11" x14ac:dyDescent="0.25">
      <c r="A1175" s="1" t="s">
        <v>10</v>
      </c>
      <c r="B1175" s="1" t="s">
        <v>11</v>
      </c>
      <c r="C1175" s="2">
        <v>45554</v>
      </c>
      <c r="D1175">
        <v>292.05</v>
      </c>
      <c r="E1175">
        <v>306.60000000000002</v>
      </c>
      <c r="F1175">
        <v>285.8</v>
      </c>
      <c r="G1175">
        <v>303.7</v>
      </c>
      <c r="H1175">
        <v>16204</v>
      </c>
      <c r="I1175">
        <v>1071.6500000000001</v>
      </c>
      <c r="J1175">
        <v>0.31</v>
      </c>
      <c r="K1175">
        <v>297.03750000000002</v>
      </c>
    </row>
    <row r="1176" spans="1:11" x14ac:dyDescent="0.25">
      <c r="A1176" s="1" t="s">
        <v>10</v>
      </c>
      <c r="B1176" s="1" t="s">
        <v>11</v>
      </c>
      <c r="C1176" s="2">
        <v>45555</v>
      </c>
      <c r="D1176">
        <v>309.95</v>
      </c>
      <c r="E1176">
        <v>313.60000000000002</v>
      </c>
      <c r="F1176">
        <v>300</v>
      </c>
      <c r="G1176">
        <v>302.14999999999998</v>
      </c>
      <c r="H1176">
        <v>15176</v>
      </c>
      <c r="I1176">
        <v>1066.18</v>
      </c>
      <c r="J1176">
        <v>0.31</v>
      </c>
      <c r="K1176">
        <v>306.42500000000001</v>
      </c>
    </row>
    <row r="1177" spans="1:11" x14ac:dyDescent="0.25">
      <c r="A1177" s="1" t="s">
        <v>10</v>
      </c>
      <c r="B1177" s="1" t="s">
        <v>11</v>
      </c>
      <c r="C1177" s="2">
        <v>45558</v>
      </c>
      <c r="D1177">
        <v>305.05</v>
      </c>
      <c r="E1177">
        <v>305.05</v>
      </c>
      <c r="F1177">
        <v>298</v>
      </c>
      <c r="G1177">
        <v>299.2</v>
      </c>
      <c r="H1177">
        <v>16282</v>
      </c>
      <c r="I1177">
        <v>1055.77</v>
      </c>
      <c r="J1177">
        <v>0.31</v>
      </c>
      <c r="K1177">
        <v>301.82499999999999</v>
      </c>
    </row>
    <row r="1178" spans="1:11" x14ac:dyDescent="0.25">
      <c r="A1178" s="1" t="s">
        <v>10</v>
      </c>
      <c r="B1178" s="1" t="s">
        <v>11</v>
      </c>
      <c r="C1178" s="2">
        <v>45559</v>
      </c>
      <c r="D1178">
        <v>303.95</v>
      </c>
      <c r="E1178">
        <v>309.85000000000002</v>
      </c>
      <c r="F1178">
        <v>299.60000000000002</v>
      </c>
      <c r="G1178">
        <v>300.39999999999998</v>
      </c>
      <c r="H1178">
        <v>29191</v>
      </c>
      <c r="I1178">
        <v>1060.01</v>
      </c>
      <c r="J1178">
        <v>0.31</v>
      </c>
      <c r="K1178">
        <v>303.45</v>
      </c>
    </row>
    <row r="1179" spans="1:11" x14ac:dyDescent="0.25">
      <c r="A1179" s="1" t="s">
        <v>10</v>
      </c>
      <c r="B1179" s="1" t="s">
        <v>11</v>
      </c>
      <c r="C1179" s="2">
        <v>45560</v>
      </c>
      <c r="D1179">
        <v>297</v>
      </c>
      <c r="E1179">
        <v>316.35000000000002</v>
      </c>
      <c r="F1179">
        <v>297</v>
      </c>
      <c r="G1179">
        <v>310.7</v>
      </c>
      <c r="H1179">
        <v>29686</v>
      </c>
      <c r="I1179">
        <v>1096.3499999999999</v>
      </c>
      <c r="J1179">
        <v>0.31</v>
      </c>
      <c r="K1179">
        <v>305.26249999999999</v>
      </c>
    </row>
    <row r="1180" spans="1:11" x14ac:dyDescent="0.25">
      <c r="A1180" s="1" t="s">
        <v>10</v>
      </c>
      <c r="B1180" s="1" t="s">
        <v>11</v>
      </c>
      <c r="C1180" s="2">
        <v>45561</v>
      </c>
      <c r="D1180">
        <v>314.85000000000002</v>
      </c>
      <c r="E1180">
        <v>314.85000000000002</v>
      </c>
      <c r="F1180">
        <v>301.3</v>
      </c>
      <c r="G1180">
        <v>302.5</v>
      </c>
      <c r="H1180">
        <v>23155</v>
      </c>
      <c r="I1180">
        <v>1067.42</v>
      </c>
      <c r="J1180">
        <v>0.31</v>
      </c>
      <c r="K1180">
        <v>308.375</v>
      </c>
    </row>
    <row r="1181" spans="1:11" x14ac:dyDescent="0.25">
      <c r="A1181" s="1" t="s">
        <v>10</v>
      </c>
      <c r="B1181" s="1" t="s">
        <v>11</v>
      </c>
      <c r="C1181" s="2">
        <v>45562</v>
      </c>
      <c r="D1181">
        <v>300</v>
      </c>
      <c r="E1181">
        <v>304.75</v>
      </c>
      <c r="F1181">
        <v>295.14999999999998</v>
      </c>
      <c r="G1181">
        <v>296.35000000000002</v>
      </c>
      <c r="H1181">
        <v>5351</v>
      </c>
      <c r="I1181">
        <v>1045.72</v>
      </c>
      <c r="J1181">
        <v>0.31</v>
      </c>
      <c r="K1181">
        <v>299.0625</v>
      </c>
    </row>
    <row r="1182" spans="1:11" x14ac:dyDescent="0.25">
      <c r="A1182" s="1" t="s">
        <v>10</v>
      </c>
      <c r="B1182" s="1" t="s">
        <v>11</v>
      </c>
      <c r="C1182" s="2">
        <v>45565</v>
      </c>
      <c r="D1182">
        <v>290.64999999999998</v>
      </c>
      <c r="E1182">
        <v>303.39999999999998</v>
      </c>
      <c r="F1182">
        <v>290.64999999999998</v>
      </c>
      <c r="G1182">
        <v>301.05</v>
      </c>
      <c r="H1182">
        <v>14998</v>
      </c>
      <c r="I1182">
        <v>1062.3</v>
      </c>
      <c r="J1182">
        <v>0.31</v>
      </c>
      <c r="K1182">
        <v>296.4375</v>
      </c>
    </row>
    <row r="1183" spans="1:11" x14ac:dyDescent="0.25">
      <c r="A1183" s="1" t="s">
        <v>10</v>
      </c>
      <c r="B1183" s="1" t="s">
        <v>11</v>
      </c>
      <c r="C1183" s="2">
        <v>45566</v>
      </c>
      <c r="D1183">
        <v>299.75</v>
      </c>
      <c r="E1183">
        <v>303.5</v>
      </c>
      <c r="F1183">
        <v>292.55</v>
      </c>
      <c r="G1183">
        <v>293.7</v>
      </c>
      <c r="H1183">
        <v>21080</v>
      </c>
      <c r="I1183">
        <v>1036.3599999999999</v>
      </c>
      <c r="J1183">
        <v>0.31</v>
      </c>
      <c r="K1183">
        <v>297.375</v>
      </c>
    </row>
    <row r="1184" spans="1:11" x14ac:dyDescent="0.25">
      <c r="A1184" s="1" t="s">
        <v>10</v>
      </c>
      <c r="B1184" s="1" t="s">
        <v>11</v>
      </c>
      <c r="C1184" s="2">
        <v>45568</v>
      </c>
      <c r="D1184">
        <v>285</v>
      </c>
      <c r="E1184">
        <v>298.5</v>
      </c>
      <c r="F1184">
        <v>282.7</v>
      </c>
      <c r="G1184">
        <v>284.60000000000002</v>
      </c>
      <c r="H1184">
        <v>32935</v>
      </c>
      <c r="I1184">
        <v>1004.25</v>
      </c>
      <c r="J1184">
        <v>0.31</v>
      </c>
      <c r="K1184">
        <v>287.7</v>
      </c>
    </row>
    <row r="1185" spans="1:11" x14ac:dyDescent="0.25">
      <c r="A1185" s="1" t="s">
        <v>10</v>
      </c>
      <c r="B1185" s="1" t="s">
        <v>11</v>
      </c>
      <c r="C1185" s="2">
        <v>45569</v>
      </c>
      <c r="D1185">
        <v>284.95</v>
      </c>
      <c r="E1185">
        <v>287.7</v>
      </c>
      <c r="F1185">
        <v>269.45</v>
      </c>
      <c r="G1185">
        <v>276.35000000000002</v>
      </c>
      <c r="H1185">
        <v>26332</v>
      </c>
      <c r="I1185">
        <v>975.14</v>
      </c>
      <c r="J1185">
        <v>0.31</v>
      </c>
      <c r="K1185">
        <v>279.61250000000001</v>
      </c>
    </row>
    <row r="1186" spans="1:11" x14ac:dyDescent="0.25">
      <c r="A1186" s="1" t="s">
        <v>10</v>
      </c>
      <c r="B1186" s="1" t="s">
        <v>11</v>
      </c>
      <c r="C1186" s="2">
        <v>45572</v>
      </c>
      <c r="D1186">
        <v>280</v>
      </c>
      <c r="E1186">
        <v>281.7</v>
      </c>
      <c r="F1186">
        <v>257.7</v>
      </c>
      <c r="G1186">
        <v>265</v>
      </c>
      <c r="H1186">
        <v>11216</v>
      </c>
      <c r="I1186">
        <v>935.09</v>
      </c>
      <c r="J1186">
        <v>0.31</v>
      </c>
      <c r="K1186">
        <v>271.10000000000002</v>
      </c>
    </row>
    <row r="1187" spans="1:11" x14ac:dyDescent="0.25">
      <c r="A1187" s="1" t="s">
        <v>10</v>
      </c>
      <c r="B1187" s="1" t="s">
        <v>11</v>
      </c>
      <c r="C1187" s="2">
        <v>45573</v>
      </c>
      <c r="D1187">
        <v>269.95</v>
      </c>
      <c r="E1187">
        <v>278.35000000000002</v>
      </c>
      <c r="F1187">
        <v>258.25</v>
      </c>
      <c r="G1187">
        <v>272.25</v>
      </c>
      <c r="H1187">
        <v>23872</v>
      </c>
      <c r="I1187">
        <v>960.68</v>
      </c>
      <c r="J1187">
        <v>0.31</v>
      </c>
      <c r="K1187">
        <v>269.7</v>
      </c>
    </row>
    <row r="1188" spans="1:11" x14ac:dyDescent="0.25">
      <c r="A1188" s="1" t="s">
        <v>10</v>
      </c>
      <c r="B1188" s="1" t="s">
        <v>11</v>
      </c>
      <c r="C1188" s="2">
        <v>45574</v>
      </c>
      <c r="D1188">
        <v>276.5</v>
      </c>
      <c r="E1188">
        <v>281</v>
      </c>
      <c r="F1188">
        <v>269</v>
      </c>
      <c r="G1188">
        <v>274.89999999999998</v>
      </c>
      <c r="H1188">
        <v>12806</v>
      </c>
      <c r="I1188">
        <v>970.03</v>
      </c>
      <c r="J1188">
        <v>0.31</v>
      </c>
      <c r="K1188">
        <v>275.35000000000002</v>
      </c>
    </row>
    <row r="1189" spans="1:11" x14ac:dyDescent="0.25">
      <c r="A1189" s="1" t="s">
        <v>10</v>
      </c>
      <c r="B1189" s="1" t="s">
        <v>11</v>
      </c>
      <c r="C1189" s="2">
        <v>45575</v>
      </c>
      <c r="D1189">
        <v>274.89999999999998</v>
      </c>
      <c r="E1189">
        <v>277</v>
      </c>
      <c r="F1189">
        <v>261.2</v>
      </c>
      <c r="G1189">
        <v>267.39999999999998</v>
      </c>
      <c r="H1189">
        <v>16818</v>
      </c>
      <c r="I1189">
        <v>943.56</v>
      </c>
      <c r="J1189">
        <v>0.31</v>
      </c>
      <c r="K1189">
        <v>270.125</v>
      </c>
    </row>
    <row r="1190" spans="1:11" x14ac:dyDescent="0.25">
      <c r="A1190" s="1" t="s">
        <v>10</v>
      </c>
      <c r="B1190" s="1" t="s">
        <v>11</v>
      </c>
      <c r="C1190" s="2">
        <v>45576</v>
      </c>
      <c r="D1190">
        <v>269.95</v>
      </c>
      <c r="E1190">
        <v>273</v>
      </c>
      <c r="F1190">
        <v>262.5</v>
      </c>
      <c r="G1190">
        <v>265.95</v>
      </c>
      <c r="H1190">
        <v>2249</v>
      </c>
      <c r="I1190">
        <v>938.44</v>
      </c>
      <c r="J1190">
        <v>0.31</v>
      </c>
      <c r="K1190">
        <v>267.85000000000002</v>
      </c>
    </row>
    <row r="1191" spans="1:11" x14ac:dyDescent="0.25">
      <c r="A1191" s="1" t="s">
        <v>10</v>
      </c>
      <c r="B1191" s="1" t="s">
        <v>11</v>
      </c>
      <c r="C1191" s="2">
        <v>45579</v>
      </c>
      <c r="D1191">
        <v>265.95</v>
      </c>
      <c r="E1191">
        <v>273</v>
      </c>
      <c r="F1191">
        <v>261.5</v>
      </c>
      <c r="G1191">
        <v>263.7</v>
      </c>
      <c r="H1191">
        <v>8309</v>
      </c>
      <c r="I1191">
        <v>930.51</v>
      </c>
      <c r="J1191">
        <v>0.31</v>
      </c>
      <c r="K1191">
        <v>266.03750000000002</v>
      </c>
    </row>
    <row r="1192" spans="1:11" x14ac:dyDescent="0.25">
      <c r="A1192" s="1" t="s">
        <v>10</v>
      </c>
      <c r="B1192" s="1" t="s">
        <v>11</v>
      </c>
      <c r="C1192" s="2">
        <v>45580</v>
      </c>
      <c r="D1192">
        <v>269.5</v>
      </c>
      <c r="E1192">
        <v>272.8</v>
      </c>
      <c r="F1192">
        <v>252.65</v>
      </c>
      <c r="G1192">
        <v>268.89999999999998</v>
      </c>
      <c r="H1192">
        <v>3200</v>
      </c>
      <c r="I1192">
        <v>948.85</v>
      </c>
      <c r="J1192">
        <v>0.31</v>
      </c>
      <c r="K1192">
        <v>265.96249999999998</v>
      </c>
    </row>
    <row r="1193" spans="1:11" x14ac:dyDescent="0.25">
      <c r="A1193" s="1" t="s">
        <v>10</v>
      </c>
      <c r="B1193" s="1" t="s">
        <v>11</v>
      </c>
      <c r="C1193" s="2">
        <v>45581</v>
      </c>
      <c r="D1193">
        <v>282.3</v>
      </c>
      <c r="E1193">
        <v>282.3</v>
      </c>
      <c r="F1193">
        <v>282.3</v>
      </c>
      <c r="G1193">
        <v>282.3</v>
      </c>
      <c r="H1193">
        <v>21923</v>
      </c>
      <c r="I1193">
        <v>996.14</v>
      </c>
      <c r="J1193">
        <v>0.31</v>
      </c>
      <c r="K1193">
        <v>282.3</v>
      </c>
    </row>
    <row r="1194" spans="1:11" x14ac:dyDescent="0.25">
      <c r="A1194" s="1" t="s">
        <v>10</v>
      </c>
      <c r="B1194" s="1" t="s">
        <v>11</v>
      </c>
      <c r="C1194" s="2">
        <v>45582</v>
      </c>
      <c r="D1194">
        <v>296.39999999999998</v>
      </c>
      <c r="E1194">
        <v>296.39999999999998</v>
      </c>
      <c r="F1194">
        <v>296.39999999999998</v>
      </c>
      <c r="G1194">
        <v>296.39999999999998</v>
      </c>
      <c r="H1194">
        <v>23851</v>
      </c>
      <c r="I1194">
        <v>1045.8900000000001</v>
      </c>
      <c r="J1194">
        <v>0.31</v>
      </c>
      <c r="K1194">
        <v>296.39999999999998</v>
      </c>
    </row>
    <row r="1195" spans="1:11" x14ac:dyDescent="0.25">
      <c r="A1195" s="1" t="s">
        <v>10</v>
      </c>
      <c r="B1195" s="1" t="s">
        <v>11</v>
      </c>
      <c r="C1195" s="2">
        <v>45583</v>
      </c>
      <c r="D1195">
        <v>303</v>
      </c>
      <c r="E1195">
        <v>311.2</v>
      </c>
      <c r="F1195">
        <v>289.75</v>
      </c>
      <c r="G1195">
        <v>310.95</v>
      </c>
      <c r="H1195">
        <v>105978</v>
      </c>
      <c r="I1195">
        <v>1097.23</v>
      </c>
      <c r="J1195">
        <v>0.31</v>
      </c>
      <c r="K1195">
        <v>303.72500000000002</v>
      </c>
    </row>
    <row r="1196" spans="1:11" x14ac:dyDescent="0.25">
      <c r="A1196" s="1" t="s">
        <v>10</v>
      </c>
      <c r="B1196" s="1" t="s">
        <v>11</v>
      </c>
      <c r="C1196" s="2">
        <v>45586</v>
      </c>
      <c r="D1196">
        <v>309</v>
      </c>
      <c r="E1196">
        <v>325</v>
      </c>
      <c r="F1196">
        <v>295.45</v>
      </c>
      <c r="G1196">
        <v>315.25</v>
      </c>
      <c r="H1196">
        <v>73226</v>
      </c>
      <c r="I1196">
        <v>1112.4100000000001</v>
      </c>
      <c r="J1196">
        <v>0.31</v>
      </c>
      <c r="K1196">
        <v>311.17500000000001</v>
      </c>
    </row>
    <row r="1197" spans="1:11" x14ac:dyDescent="0.25">
      <c r="A1197" s="1" t="s">
        <v>10</v>
      </c>
      <c r="B1197" s="1" t="s">
        <v>11</v>
      </c>
      <c r="C1197" s="2">
        <v>45587</v>
      </c>
      <c r="D1197">
        <v>308.95</v>
      </c>
      <c r="E1197">
        <v>308.95</v>
      </c>
      <c r="F1197">
        <v>308.95</v>
      </c>
      <c r="G1197">
        <v>308.95</v>
      </c>
      <c r="H1197">
        <v>3927</v>
      </c>
      <c r="I1197">
        <v>1090.18</v>
      </c>
      <c r="J1197">
        <v>0.31</v>
      </c>
      <c r="K1197">
        <v>308.95</v>
      </c>
    </row>
    <row r="1198" spans="1:11" x14ac:dyDescent="0.25">
      <c r="A1198" s="1" t="s">
        <v>10</v>
      </c>
      <c r="B1198" s="1" t="s">
        <v>11</v>
      </c>
      <c r="C1198" s="2">
        <v>45588</v>
      </c>
      <c r="D1198">
        <v>302.8</v>
      </c>
      <c r="E1198">
        <v>302.8</v>
      </c>
      <c r="F1198">
        <v>302.8</v>
      </c>
      <c r="G1198">
        <v>302.8</v>
      </c>
      <c r="H1198">
        <v>5032</v>
      </c>
      <c r="I1198">
        <v>1068.48</v>
      </c>
      <c r="J1198">
        <v>0.31</v>
      </c>
      <c r="K1198">
        <v>302.8</v>
      </c>
    </row>
    <row r="1199" spans="1:11" x14ac:dyDescent="0.25">
      <c r="A1199" s="1" t="s">
        <v>10</v>
      </c>
      <c r="B1199" s="1" t="s">
        <v>11</v>
      </c>
      <c r="C1199" s="2">
        <v>45589</v>
      </c>
      <c r="D1199">
        <v>296.75</v>
      </c>
      <c r="E1199">
        <v>296.75</v>
      </c>
      <c r="F1199">
        <v>296.75</v>
      </c>
      <c r="G1199">
        <v>296.75</v>
      </c>
      <c r="H1199">
        <v>672</v>
      </c>
      <c r="I1199">
        <v>1047.1300000000001</v>
      </c>
      <c r="J1199">
        <v>0.31</v>
      </c>
      <c r="K1199">
        <v>296.75</v>
      </c>
    </row>
    <row r="1200" spans="1:11" x14ac:dyDescent="0.25">
      <c r="A1200" s="1" t="s">
        <v>10</v>
      </c>
      <c r="B1200" s="1" t="s">
        <v>11</v>
      </c>
      <c r="C1200" s="2">
        <v>45590</v>
      </c>
      <c r="D1200">
        <v>290.85000000000002</v>
      </c>
      <c r="E1200">
        <v>290.85000000000002</v>
      </c>
      <c r="F1200">
        <v>290.85000000000002</v>
      </c>
      <c r="G1200">
        <v>290.85000000000002</v>
      </c>
      <c r="H1200">
        <v>1936</v>
      </c>
      <c r="I1200">
        <v>1026.31</v>
      </c>
      <c r="J1200">
        <v>0.31</v>
      </c>
      <c r="K1200">
        <v>290.85000000000002</v>
      </c>
    </row>
    <row r="1201" spans="1:11" x14ac:dyDescent="0.25">
      <c r="A1201" s="1" t="s">
        <v>10</v>
      </c>
      <c r="B1201" s="1" t="s">
        <v>11</v>
      </c>
      <c r="C1201" s="2">
        <v>45593</v>
      </c>
      <c r="D1201">
        <v>285.05</v>
      </c>
      <c r="E1201">
        <v>285.05</v>
      </c>
      <c r="F1201">
        <v>285.05</v>
      </c>
      <c r="G1201">
        <v>285.05</v>
      </c>
      <c r="H1201">
        <v>9710</v>
      </c>
      <c r="I1201">
        <v>1005.84</v>
      </c>
      <c r="J1201">
        <v>0.31</v>
      </c>
      <c r="K1201">
        <v>285.05</v>
      </c>
    </row>
    <row r="1202" spans="1:11" x14ac:dyDescent="0.25">
      <c r="A1202" s="1" t="s">
        <v>10</v>
      </c>
      <c r="B1202" s="1" t="s">
        <v>11</v>
      </c>
      <c r="C1202" s="2">
        <v>45594</v>
      </c>
      <c r="D1202">
        <v>279.35000000000002</v>
      </c>
      <c r="E1202">
        <v>279.35000000000002</v>
      </c>
      <c r="F1202">
        <v>279.35000000000002</v>
      </c>
      <c r="G1202">
        <v>279.35000000000002</v>
      </c>
      <c r="H1202">
        <v>5040</v>
      </c>
      <c r="I1202">
        <v>985.73</v>
      </c>
      <c r="J1202">
        <v>0.31</v>
      </c>
      <c r="K1202">
        <v>279.35000000000002</v>
      </c>
    </row>
    <row r="1203" spans="1:11" x14ac:dyDescent="0.25">
      <c r="A1203" s="1" t="s">
        <v>10</v>
      </c>
      <c r="B1203" s="1" t="s">
        <v>11</v>
      </c>
      <c r="C1203" s="2">
        <v>45595</v>
      </c>
      <c r="D1203">
        <v>273.8</v>
      </c>
      <c r="E1203">
        <v>273.8</v>
      </c>
      <c r="F1203">
        <v>273.8</v>
      </c>
      <c r="G1203">
        <v>273.8</v>
      </c>
      <c r="H1203">
        <v>3219</v>
      </c>
      <c r="I1203">
        <v>966.14</v>
      </c>
      <c r="J1203">
        <v>0.31</v>
      </c>
      <c r="K1203">
        <v>273.8</v>
      </c>
    </row>
    <row r="1204" spans="1:11" x14ac:dyDescent="0.25">
      <c r="A1204" s="1" t="s">
        <v>10</v>
      </c>
      <c r="B1204" s="1" t="s">
        <v>11</v>
      </c>
      <c r="C1204" s="2">
        <v>45596</v>
      </c>
      <c r="D1204">
        <v>268.35000000000002</v>
      </c>
      <c r="E1204">
        <v>268.5</v>
      </c>
      <c r="F1204">
        <v>268.35000000000002</v>
      </c>
      <c r="G1204">
        <v>268.35000000000002</v>
      </c>
      <c r="H1204">
        <v>19115</v>
      </c>
      <c r="I1204">
        <v>946.91</v>
      </c>
      <c r="J1204">
        <v>0.31</v>
      </c>
      <c r="K1204">
        <v>268.38749999999999</v>
      </c>
    </row>
    <row r="1205" spans="1:11" x14ac:dyDescent="0.25">
      <c r="A1205" s="1" t="s">
        <v>10</v>
      </c>
      <c r="B1205" s="1" t="s">
        <v>11</v>
      </c>
      <c r="C1205" s="2">
        <v>45600</v>
      </c>
      <c r="D1205">
        <v>263</v>
      </c>
      <c r="E1205">
        <v>263</v>
      </c>
      <c r="F1205">
        <v>263</v>
      </c>
      <c r="G1205">
        <v>263</v>
      </c>
      <c r="H1205">
        <v>2836</v>
      </c>
      <c r="I1205">
        <v>928.04</v>
      </c>
      <c r="J1205">
        <v>0.31</v>
      </c>
      <c r="K1205">
        <v>263</v>
      </c>
    </row>
    <row r="1206" spans="1:11" x14ac:dyDescent="0.25">
      <c r="A1206" s="1" t="s">
        <v>10</v>
      </c>
      <c r="B1206" s="1" t="s">
        <v>11</v>
      </c>
      <c r="C1206" s="2">
        <v>45601</v>
      </c>
      <c r="D1206">
        <v>257.75</v>
      </c>
      <c r="E1206">
        <v>257.75</v>
      </c>
      <c r="F1206">
        <v>257.75</v>
      </c>
      <c r="G1206">
        <v>257.75</v>
      </c>
      <c r="H1206">
        <v>5649</v>
      </c>
      <c r="I1206">
        <v>909.51</v>
      </c>
      <c r="J1206">
        <v>0.31</v>
      </c>
      <c r="K1206">
        <v>257.75</v>
      </c>
    </row>
    <row r="1207" spans="1:11" x14ac:dyDescent="0.25">
      <c r="A1207" s="1" t="s">
        <v>10</v>
      </c>
      <c r="B1207" s="1" t="s">
        <v>11</v>
      </c>
      <c r="C1207" s="2">
        <v>45602</v>
      </c>
      <c r="D1207">
        <v>252.6</v>
      </c>
      <c r="E1207">
        <v>252.6</v>
      </c>
      <c r="F1207">
        <v>252.6</v>
      </c>
      <c r="G1207">
        <v>252.6</v>
      </c>
      <c r="H1207">
        <v>8789</v>
      </c>
      <c r="I1207">
        <v>891.34</v>
      </c>
      <c r="J1207">
        <v>0.31</v>
      </c>
      <c r="K1207">
        <v>252.6</v>
      </c>
    </row>
    <row r="1208" spans="1:11" x14ac:dyDescent="0.25">
      <c r="A1208" s="1" t="s">
        <v>10</v>
      </c>
      <c r="B1208" s="1" t="s">
        <v>11</v>
      </c>
      <c r="C1208" s="2">
        <v>45603</v>
      </c>
      <c r="D1208">
        <v>247.55</v>
      </c>
      <c r="E1208">
        <v>247.55</v>
      </c>
      <c r="F1208">
        <v>247.55</v>
      </c>
      <c r="G1208">
        <v>247.55</v>
      </c>
      <c r="H1208">
        <v>3874</v>
      </c>
      <c r="I1208">
        <v>873.52</v>
      </c>
      <c r="J1208">
        <v>0.31</v>
      </c>
      <c r="K1208">
        <v>247.55</v>
      </c>
    </row>
    <row r="1209" spans="1:11" x14ac:dyDescent="0.25">
      <c r="A1209" s="1" t="s">
        <v>10</v>
      </c>
      <c r="B1209" s="1" t="s">
        <v>11</v>
      </c>
      <c r="C1209" s="2">
        <v>45604</v>
      </c>
      <c r="D1209">
        <v>252.5</v>
      </c>
      <c r="E1209">
        <v>252.5</v>
      </c>
      <c r="F1209">
        <v>252.5</v>
      </c>
      <c r="G1209">
        <v>252.5</v>
      </c>
      <c r="H1209">
        <v>33775</v>
      </c>
      <c r="I1209">
        <v>890.98</v>
      </c>
      <c r="J1209">
        <v>0.31</v>
      </c>
      <c r="K1209">
        <v>252.5</v>
      </c>
    </row>
    <row r="1210" spans="1:11" x14ac:dyDescent="0.25">
      <c r="A1210" s="1" t="s">
        <v>10</v>
      </c>
      <c r="B1210" s="1" t="s">
        <v>11</v>
      </c>
      <c r="C1210" s="2">
        <v>45607</v>
      </c>
      <c r="D1210">
        <v>257.5</v>
      </c>
      <c r="E1210">
        <v>257.5</v>
      </c>
      <c r="F1210">
        <v>247.45</v>
      </c>
      <c r="G1210">
        <v>247.45</v>
      </c>
      <c r="H1210">
        <v>22263</v>
      </c>
      <c r="I1210">
        <v>873.16</v>
      </c>
      <c r="J1210">
        <v>0.31</v>
      </c>
      <c r="K1210">
        <v>252.47499999999999</v>
      </c>
    </row>
    <row r="1211" spans="1:11" x14ac:dyDescent="0.25">
      <c r="A1211" s="1" t="s">
        <v>10</v>
      </c>
      <c r="B1211" s="1" t="s">
        <v>11</v>
      </c>
      <c r="C1211" s="2">
        <v>45608</v>
      </c>
      <c r="D1211">
        <v>242.55</v>
      </c>
      <c r="E1211">
        <v>242.55</v>
      </c>
      <c r="F1211">
        <v>242.55</v>
      </c>
      <c r="G1211">
        <v>242.55</v>
      </c>
      <c r="H1211">
        <v>2113</v>
      </c>
      <c r="I1211">
        <v>855.87</v>
      </c>
      <c r="J1211">
        <v>0.31</v>
      </c>
      <c r="K1211">
        <v>242.55</v>
      </c>
    </row>
    <row r="1212" spans="1:11" x14ac:dyDescent="0.25">
      <c r="A1212" s="1" t="s">
        <v>10</v>
      </c>
      <c r="B1212" s="1" t="s">
        <v>11</v>
      </c>
      <c r="C1212" s="2">
        <v>45609</v>
      </c>
      <c r="D1212">
        <v>237.7</v>
      </c>
      <c r="E1212">
        <v>237.7</v>
      </c>
      <c r="F1212">
        <v>237.7</v>
      </c>
      <c r="G1212">
        <v>237.7</v>
      </c>
      <c r="H1212">
        <v>2938</v>
      </c>
      <c r="I1212">
        <v>838.76</v>
      </c>
      <c r="J1212">
        <v>0.31</v>
      </c>
      <c r="K1212">
        <v>237.7</v>
      </c>
    </row>
    <row r="1213" spans="1:11" x14ac:dyDescent="0.25">
      <c r="A1213" s="1" t="s">
        <v>10</v>
      </c>
      <c r="B1213" s="1" t="s">
        <v>11</v>
      </c>
      <c r="C1213" s="2">
        <v>45610</v>
      </c>
      <c r="D1213">
        <v>232.95</v>
      </c>
      <c r="E1213">
        <v>232.95</v>
      </c>
      <c r="F1213">
        <v>232.95</v>
      </c>
      <c r="G1213">
        <v>232.95</v>
      </c>
      <c r="H1213">
        <v>2465</v>
      </c>
      <c r="I1213">
        <v>822</v>
      </c>
      <c r="J1213">
        <v>0.31</v>
      </c>
      <c r="K1213">
        <v>232.95</v>
      </c>
    </row>
    <row r="1214" spans="1:11" x14ac:dyDescent="0.25">
      <c r="A1214" s="1" t="s">
        <v>10</v>
      </c>
      <c r="B1214" s="1" t="s">
        <v>11</v>
      </c>
      <c r="C1214" s="2">
        <v>45614</v>
      </c>
      <c r="D1214">
        <v>228.3</v>
      </c>
      <c r="E1214">
        <v>228.3</v>
      </c>
      <c r="F1214">
        <v>228.3</v>
      </c>
      <c r="G1214">
        <v>228.3</v>
      </c>
      <c r="H1214">
        <v>3228</v>
      </c>
      <c r="I1214">
        <v>805.59</v>
      </c>
      <c r="J1214">
        <v>0.31</v>
      </c>
      <c r="K1214">
        <v>228.3</v>
      </c>
    </row>
    <row r="1215" spans="1:11" x14ac:dyDescent="0.25">
      <c r="A1215" s="1" t="s">
        <v>10</v>
      </c>
      <c r="B1215" s="1" t="s">
        <v>11</v>
      </c>
      <c r="C1215" s="2">
        <v>45615</v>
      </c>
      <c r="D1215">
        <v>223.75</v>
      </c>
      <c r="E1215">
        <v>227</v>
      </c>
      <c r="F1215">
        <v>223.75</v>
      </c>
      <c r="G1215">
        <v>227</v>
      </c>
      <c r="H1215">
        <v>20311</v>
      </c>
      <c r="I1215">
        <v>801</v>
      </c>
      <c r="J1215">
        <v>0.31</v>
      </c>
      <c r="K1215">
        <v>225.375</v>
      </c>
    </row>
    <row r="1216" spans="1:11" x14ac:dyDescent="0.25">
      <c r="A1216" s="1" t="s">
        <v>10</v>
      </c>
      <c r="B1216" s="1" t="s">
        <v>11</v>
      </c>
      <c r="C1216" s="2">
        <v>45617</v>
      </c>
      <c r="D1216">
        <v>222.5</v>
      </c>
      <c r="E1216">
        <v>222.5</v>
      </c>
      <c r="F1216">
        <v>222.5</v>
      </c>
      <c r="G1216">
        <v>222.5</v>
      </c>
      <c r="H1216">
        <v>3220</v>
      </c>
      <c r="I1216">
        <v>785.12</v>
      </c>
      <c r="J1216">
        <v>0.31</v>
      </c>
      <c r="K1216">
        <v>222.5</v>
      </c>
    </row>
    <row r="1217" spans="1:11" x14ac:dyDescent="0.25">
      <c r="A1217" s="1" t="s">
        <v>10</v>
      </c>
      <c r="B1217" s="1" t="s">
        <v>11</v>
      </c>
      <c r="C1217" s="2">
        <v>45618</v>
      </c>
      <c r="D1217">
        <v>222.5</v>
      </c>
      <c r="E1217">
        <v>223.5</v>
      </c>
      <c r="F1217">
        <v>222</v>
      </c>
      <c r="G1217">
        <v>223.5</v>
      </c>
      <c r="H1217">
        <v>13605</v>
      </c>
      <c r="I1217">
        <v>788.65</v>
      </c>
      <c r="J1217">
        <v>0.31</v>
      </c>
      <c r="K1217">
        <v>222.875</v>
      </c>
    </row>
    <row r="1218" spans="1:11" x14ac:dyDescent="0.25">
      <c r="A1218" s="1" t="s">
        <v>10</v>
      </c>
      <c r="B1218" s="1" t="s">
        <v>11</v>
      </c>
      <c r="C1218" s="2">
        <v>45621</v>
      </c>
      <c r="D1218">
        <v>227.95</v>
      </c>
      <c r="E1218">
        <v>227.95</v>
      </c>
      <c r="F1218">
        <v>227.95</v>
      </c>
      <c r="G1218">
        <v>227.95</v>
      </c>
      <c r="H1218">
        <v>6559</v>
      </c>
      <c r="I1218">
        <v>804.36</v>
      </c>
      <c r="J1218">
        <v>0.31</v>
      </c>
      <c r="K1218">
        <v>227.95</v>
      </c>
    </row>
    <row r="1219" spans="1:11" x14ac:dyDescent="0.25">
      <c r="A1219" s="1" t="s">
        <v>10</v>
      </c>
      <c r="B1219" s="1" t="s">
        <v>11</v>
      </c>
      <c r="C1219" s="2">
        <v>45622</v>
      </c>
      <c r="D1219">
        <v>232.5</v>
      </c>
      <c r="E1219">
        <v>232.5</v>
      </c>
      <c r="F1219">
        <v>227.95</v>
      </c>
      <c r="G1219">
        <v>227.95</v>
      </c>
      <c r="H1219">
        <v>14620</v>
      </c>
      <c r="I1219">
        <v>804.36</v>
      </c>
      <c r="J1219">
        <v>0.31</v>
      </c>
      <c r="K1219">
        <v>230.22499999999999</v>
      </c>
    </row>
    <row r="1220" spans="1:11" x14ac:dyDescent="0.25">
      <c r="A1220" s="1" t="s">
        <v>10</v>
      </c>
      <c r="B1220" s="1" t="s">
        <v>11</v>
      </c>
      <c r="C1220" s="2">
        <v>45623</v>
      </c>
      <c r="D1220">
        <v>231.8</v>
      </c>
      <c r="E1220">
        <v>231.8</v>
      </c>
      <c r="F1220">
        <v>223.4</v>
      </c>
      <c r="G1220">
        <v>223.4</v>
      </c>
      <c r="H1220">
        <v>11252</v>
      </c>
      <c r="I1220">
        <v>788.3</v>
      </c>
      <c r="J1220">
        <v>0.31</v>
      </c>
      <c r="K1220">
        <v>227.6</v>
      </c>
    </row>
    <row r="1221" spans="1:11" x14ac:dyDescent="0.25">
      <c r="A1221" s="1" t="s">
        <v>10</v>
      </c>
      <c r="B1221" s="1" t="s">
        <v>11</v>
      </c>
      <c r="C1221" s="2">
        <v>45624</v>
      </c>
      <c r="D1221">
        <v>218.95</v>
      </c>
      <c r="E1221">
        <v>227.85</v>
      </c>
      <c r="F1221">
        <v>218.95</v>
      </c>
      <c r="G1221">
        <v>227.85</v>
      </c>
      <c r="H1221">
        <v>26872</v>
      </c>
      <c r="I1221">
        <v>804</v>
      </c>
      <c r="J1221">
        <v>0.31</v>
      </c>
      <c r="K1221">
        <v>223.4</v>
      </c>
    </row>
    <row r="1222" spans="1:11" x14ac:dyDescent="0.25">
      <c r="A1222" s="1" t="s">
        <v>10</v>
      </c>
      <c r="B1222" s="1" t="s">
        <v>11</v>
      </c>
      <c r="C1222" s="2">
        <v>45625</v>
      </c>
      <c r="D1222">
        <v>232.4</v>
      </c>
      <c r="E1222">
        <v>232.4</v>
      </c>
      <c r="F1222">
        <v>232.4</v>
      </c>
      <c r="G1222">
        <v>232.4</v>
      </c>
      <c r="H1222">
        <v>3911</v>
      </c>
      <c r="I1222">
        <v>820.06</v>
      </c>
      <c r="J1222">
        <v>0.31</v>
      </c>
      <c r="K1222">
        <v>232.4</v>
      </c>
    </row>
    <row r="1223" spans="1:11" x14ac:dyDescent="0.25">
      <c r="A1223" s="1" t="s">
        <v>10</v>
      </c>
      <c r="B1223" s="1" t="s">
        <v>11</v>
      </c>
      <c r="C1223" s="2">
        <v>45628</v>
      </c>
      <c r="D1223">
        <v>244</v>
      </c>
      <c r="E1223">
        <v>244</v>
      </c>
      <c r="F1223">
        <v>244</v>
      </c>
      <c r="G1223">
        <v>244</v>
      </c>
      <c r="H1223">
        <v>3213</v>
      </c>
      <c r="I1223">
        <v>860.99</v>
      </c>
      <c r="J1223">
        <v>0.31</v>
      </c>
      <c r="K1223">
        <v>244</v>
      </c>
    </row>
    <row r="1224" spans="1:11" x14ac:dyDescent="0.25">
      <c r="A1224" s="1" t="s">
        <v>10</v>
      </c>
      <c r="B1224" s="1" t="s">
        <v>11</v>
      </c>
      <c r="C1224" s="2">
        <v>45629</v>
      </c>
      <c r="D1224">
        <v>256.2</v>
      </c>
      <c r="E1224">
        <v>256.2</v>
      </c>
      <c r="F1224">
        <v>256.2</v>
      </c>
      <c r="G1224">
        <v>256.2</v>
      </c>
      <c r="H1224">
        <v>382</v>
      </c>
      <c r="I1224">
        <v>904.04</v>
      </c>
      <c r="J1224">
        <v>0.31</v>
      </c>
      <c r="K1224">
        <v>256.2</v>
      </c>
    </row>
    <row r="1225" spans="1:11" x14ac:dyDescent="0.25">
      <c r="A1225" s="1" t="s">
        <v>10</v>
      </c>
      <c r="B1225" s="1" t="s">
        <v>11</v>
      </c>
      <c r="C1225" s="2">
        <v>45630</v>
      </c>
      <c r="D1225">
        <v>269</v>
      </c>
      <c r="E1225">
        <v>269</v>
      </c>
      <c r="F1225">
        <v>248</v>
      </c>
      <c r="G1225">
        <v>267.85000000000002</v>
      </c>
      <c r="H1225">
        <v>47284</v>
      </c>
      <c r="I1225">
        <v>945.15</v>
      </c>
      <c r="J1225">
        <v>0.31</v>
      </c>
      <c r="K1225">
        <v>263.46249999999998</v>
      </c>
    </row>
    <row r="1226" spans="1:11" x14ac:dyDescent="0.25">
      <c r="A1226" s="1" t="s">
        <v>10</v>
      </c>
      <c r="B1226" s="1" t="s">
        <v>11</v>
      </c>
      <c r="C1226" s="2">
        <v>45631</v>
      </c>
      <c r="D1226">
        <v>264.89999999999998</v>
      </c>
      <c r="E1226">
        <v>266.5</v>
      </c>
      <c r="F1226">
        <v>254.5</v>
      </c>
      <c r="G1226">
        <v>255.2</v>
      </c>
      <c r="H1226">
        <v>16266</v>
      </c>
      <c r="I1226">
        <v>900.51</v>
      </c>
      <c r="J1226">
        <v>0.31</v>
      </c>
      <c r="K1226">
        <v>260.27499999999998</v>
      </c>
    </row>
    <row r="1227" spans="1:11" x14ac:dyDescent="0.25">
      <c r="A1227" s="1" t="s">
        <v>10</v>
      </c>
      <c r="B1227" s="1" t="s">
        <v>11</v>
      </c>
      <c r="C1227" s="2">
        <v>45632</v>
      </c>
      <c r="D1227">
        <v>255.85</v>
      </c>
      <c r="E1227">
        <v>266.75</v>
      </c>
      <c r="F1227">
        <v>242.45</v>
      </c>
      <c r="G1227">
        <v>263.35000000000002</v>
      </c>
      <c r="H1227">
        <v>26868</v>
      </c>
      <c r="I1227">
        <v>929.27</v>
      </c>
      <c r="J1227">
        <v>0.31</v>
      </c>
      <c r="K1227">
        <v>257.10000000000002</v>
      </c>
    </row>
    <row r="1228" spans="1:11" x14ac:dyDescent="0.25">
      <c r="A1228" s="1" t="s">
        <v>10</v>
      </c>
      <c r="B1228" s="1" t="s">
        <v>11</v>
      </c>
      <c r="C1228" s="2">
        <v>45635</v>
      </c>
      <c r="D1228">
        <v>265</v>
      </c>
      <c r="E1228">
        <v>265</v>
      </c>
      <c r="F1228">
        <v>250.2</v>
      </c>
      <c r="G1228">
        <v>252.85</v>
      </c>
      <c r="H1228">
        <v>19572</v>
      </c>
      <c r="I1228">
        <v>892.22</v>
      </c>
      <c r="J1228">
        <v>0.31</v>
      </c>
      <c r="K1228">
        <v>258.26249999999999</v>
      </c>
    </row>
    <row r="1229" spans="1:11" x14ac:dyDescent="0.25">
      <c r="A1229" s="1" t="s">
        <v>10</v>
      </c>
      <c r="B1229" s="1" t="s">
        <v>11</v>
      </c>
      <c r="C1229" s="2">
        <v>45636</v>
      </c>
      <c r="D1229">
        <v>250.8</v>
      </c>
      <c r="E1229">
        <v>253.45</v>
      </c>
      <c r="F1229">
        <v>245.5</v>
      </c>
      <c r="G1229">
        <v>249.55</v>
      </c>
      <c r="H1229">
        <v>12888</v>
      </c>
      <c r="I1229">
        <v>880.57</v>
      </c>
      <c r="J1229">
        <v>0.31</v>
      </c>
      <c r="K1229">
        <v>249.82499999999999</v>
      </c>
    </row>
    <row r="1230" spans="1:11" x14ac:dyDescent="0.25">
      <c r="A1230" s="1" t="s">
        <v>10</v>
      </c>
      <c r="B1230" s="1" t="s">
        <v>11</v>
      </c>
      <c r="C1230" s="2">
        <v>45637</v>
      </c>
      <c r="D1230">
        <v>249.4</v>
      </c>
      <c r="E1230">
        <v>252</v>
      </c>
      <c r="F1230">
        <v>240.3</v>
      </c>
      <c r="G1230">
        <v>243.25</v>
      </c>
      <c r="H1230">
        <v>12788</v>
      </c>
      <c r="I1230">
        <v>858.34</v>
      </c>
      <c r="J1230">
        <v>0.31</v>
      </c>
      <c r="K1230">
        <v>246.23750000000001</v>
      </c>
    </row>
    <row r="1231" spans="1:11" x14ac:dyDescent="0.25">
      <c r="A1231" s="1" t="s">
        <v>10</v>
      </c>
      <c r="B1231" s="1" t="s">
        <v>11</v>
      </c>
      <c r="C1231" s="2">
        <v>45638</v>
      </c>
      <c r="D1231">
        <v>240.1</v>
      </c>
      <c r="E1231">
        <v>255.4</v>
      </c>
      <c r="F1231">
        <v>240.1</v>
      </c>
      <c r="G1231">
        <v>255.35</v>
      </c>
      <c r="H1231">
        <v>20742</v>
      </c>
      <c r="I1231">
        <v>901.04</v>
      </c>
      <c r="J1231">
        <v>0.31</v>
      </c>
      <c r="K1231">
        <v>247.73750000000001</v>
      </c>
    </row>
    <row r="1232" spans="1:11" x14ac:dyDescent="0.25">
      <c r="A1232" s="1" t="s">
        <v>10</v>
      </c>
      <c r="B1232" s="1" t="s">
        <v>11</v>
      </c>
      <c r="C1232" s="2">
        <v>45639</v>
      </c>
      <c r="D1232">
        <v>256</v>
      </c>
      <c r="E1232">
        <v>258.5</v>
      </c>
      <c r="F1232">
        <v>247.1</v>
      </c>
      <c r="G1232">
        <v>255.8</v>
      </c>
      <c r="H1232">
        <v>6671</v>
      </c>
      <c r="I1232">
        <v>902.63</v>
      </c>
      <c r="J1232">
        <v>0.31</v>
      </c>
      <c r="K1232">
        <v>254.35</v>
      </c>
    </row>
    <row r="1233" spans="1:11" x14ac:dyDescent="0.25">
      <c r="A1233" s="1" t="s">
        <v>10</v>
      </c>
      <c r="B1233" s="1" t="s">
        <v>11</v>
      </c>
      <c r="C1233" s="2">
        <v>45642</v>
      </c>
      <c r="D1233">
        <v>255.8</v>
      </c>
      <c r="E1233">
        <v>255.8</v>
      </c>
      <c r="F1233">
        <v>245.5</v>
      </c>
      <c r="G1233">
        <v>247.75</v>
      </c>
      <c r="H1233">
        <v>17200</v>
      </c>
      <c r="I1233">
        <v>874.22</v>
      </c>
      <c r="J1233">
        <v>0.31</v>
      </c>
      <c r="K1233">
        <v>251.21250000000001</v>
      </c>
    </row>
    <row r="1234" spans="1:11" x14ac:dyDescent="0.25">
      <c r="A1234" s="1" t="s">
        <v>10</v>
      </c>
      <c r="B1234" s="1" t="s">
        <v>11</v>
      </c>
      <c r="C1234" s="2">
        <v>45643</v>
      </c>
      <c r="D1234">
        <v>249.7</v>
      </c>
      <c r="E1234">
        <v>254.45</v>
      </c>
      <c r="F1234">
        <v>242</v>
      </c>
      <c r="G1234">
        <v>245.95</v>
      </c>
      <c r="H1234">
        <v>19430</v>
      </c>
      <c r="I1234">
        <v>867.87</v>
      </c>
      <c r="J1234">
        <v>0.31</v>
      </c>
      <c r="K1234">
        <v>248.02500000000001</v>
      </c>
    </row>
    <row r="1235" spans="1:11" x14ac:dyDescent="0.25">
      <c r="A1235" s="1" t="s">
        <v>10</v>
      </c>
      <c r="B1235" s="1" t="s">
        <v>11</v>
      </c>
      <c r="C1235" s="2">
        <v>45644</v>
      </c>
      <c r="D1235">
        <v>245.05</v>
      </c>
      <c r="E1235">
        <v>247.85</v>
      </c>
      <c r="F1235">
        <v>240.55</v>
      </c>
      <c r="G1235">
        <v>244.55</v>
      </c>
      <c r="H1235">
        <v>9793</v>
      </c>
      <c r="I1235">
        <v>862.93</v>
      </c>
      <c r="J1235">
        <v>0.31</v>
      </c>
      <c r="K1235">
        <v>244.5</v>
      </c>
    </row>
    <row r="1236" spans="1:11" x14ac:dyDescent="0.25">
      <c r="A1236" s="1" t="s">
        <v>10</v>
      </c>
      <c r="B1236" s="1" t="s">
        <v>11</v>
      </c>
      <c r="C1236" s="2">
        <v>45645</v>
      </c>
      <c r="D1236">
        <v>239.7</v>
      </c>
      <c r="E1236">
        <v>246.4</v>
      </c>
      <c r="F1236">
        <v>237</v>
      </c>
      <c r="G1236">
        <v>240.2</v>
      </c>
      <c r="H1236">
        <v>13429</v>
      </c>
      <c r="I1236">
        <v>847.58</v>
      </c>
      <c r="J1236">
        <v>0.31</v>
      </c>
      <c r="K1236">
        <v>240.82499999999999</v>
      </c>
    </row>
    <row r="1237" spans="1:11" x14ac:dyDescent="0.25">
      <c r="A1237" s="1" t="s">
        <v>10</v>
      </c>
      <c r="B1237" s="1" t="s">
        <v>11</v>
      </c>
      <c r="C1237" s="2">
        <v>45646</v>
      </c>
      <c r="D1237">
        <v>237.35</v>
      </c>
      <c r="E1237">
        <v>244.8</v>
      </c>
      <c r="F1237">
        <v>235</v>
      </c>
      <c r="G1237">
        <v>235.55</v>
      </c>
      <c r="H1237">
        <v>12733</v>
      </c>
      <c r="I1237">
        <v>831.17</v>
      </c>
      <c r="J1237">
        <v>0.31</v>
      </c>
      <c r="K1237">
        <v>238.17500000000001</v>
      </c>
    </row>
    <row r="1238" spans="1:11" x14ac:dyDescent="0.25">
      <c r="A1238" s="1" t="s">
        <v>10</v>
      </c>
      <c r="B1238" s="1" t="s">
        <v>11</v>
      </c>
      <c r="C1238" s="2">
        <v>45649</v>
      </c>
      <c r="D1238">
        <v>242</v>
      </c>
      <c r="E1238">
        <v>242</v>
      </c>
      <c r="F1238">
        <v>226.35</v>
      </c>
      <c r="G1238">
        <v>232</v>
      </c>
      <c r="H1238">
        <v>10437</v>
      </c>
      <c r="I1238">
        <v>818.65</v>
      </c>
      <c r="J1238">
        <v>0.31</v>
      </c>
      <c r="K1238">
        <v>235.58750000000001</v>
      </c>
    </row>
    <row r="1239" spans="1:11" x14ac:dyDescent="0.25">
      <c r="A1239" s="1" t="s">
        <v>10</v>
      </c>
      <c r="B1239" s="1" t="s">
        <v>11</v>
      </c>
      <c r="C1239" s="2">
        <v>45650</v>
      </c>
      <c r="D1239">
        <v>233</v>
      </c>
      <c r="E1239">
        <v>233.9</v>
      </c>
      <c r="F1239">
        <v>223.8</v>
      </c>
      <c r="G1239">
        <v>229.15</v>
      </c>
      <c r="H1239">
        <v>6667</v>
      </c>
      <c r="I1239">
        <v>808.59</v>
      </c>
      <c r="J1239">
        <v>0.31</v>
      </c>
      <c r="K1239">
        <v>229.96250000000001</v>
      </c>
    </row>
    <row r="1240" spans="1:11" x14ac:dyDescent="0.25">
      <c r="A1240" s="1" t="s">
        <v>10</v>
      </c>
      <c r="B1240" s="1" t="s">
        <v>11</v>
      </c>
      <c r="C1240" s="2">
        <v>45652</v>
      </c>
      <c r="D1240">
        <v>229.75</v>
      </c>
      <c r="E1240">
        <v>238.35</v>
      </c>
      <c r="F1240">
        <v>225.15</v>
      </c>
      <c r="G1240">
        <v>227.65</v>
      </c>
      <c r="H1240">
        <v>9436</v>
      </c>
      <c r="I1240">
        <v>803.3</v>
      </c>
      <c r="J1240">
        <v>0.31</v>
      </c>
      <c r="K1240">
        <v>230.22499999999999</v>
      </c>
    </row>
    <row r="1241" spans="1:11" x14ac:dyDescent="0.25">
      <c r="A1241" s="1" t="s">
        <v>10</v>
      </c>
      <c r="B1241" s="1" t="s">
        <v>11</v>
      </c>
      <c r="C1241" s="2">
        <v>45653</v>
      </c>
      <c r="D1241">
        <v>227</v>
      </c>
      <c r="E1241">
        <v>232</v>
      </c>
      <c r="F1241">
        <v>225.6</v>
      </c>
      <c r="G1241">
        <v>229.3</v>
      </c>
      <c r="H1241">
        <v>5609</v>
      </c>
      <c r="I1241">
        <v>809.12</v>
      </c>
      <c r="J1241">
        <v>0.31</v>
      </c>
      <c r="K1241">
        <v>228.47499999999999</v>
      </c>
    </row>
    <row r="1242" spans="1:11" x14ac:dyDescent="0.25">
      <c r="A1242" s="1" t="s">
        <v>10</v>
      </c>
      <c r="B1242" s="1" t="s">
        <v>11</v>
      </c>
      <c r="C1242" s="2">
        <v>45656</v>
      </c>
      <c r="D1242">
        <v>235.25</v>
      </c>
      <c r="E1242">
        <v>240.4</v>
      </c>
      <c r="F1242">
        <v>226.5</v>
      </c>
      <c r="G1242">
        <v>236.1</v>
      </c>
      <c r="H1242">
        <v>8095</v>
      </c>
      <c r="I1242">
        <v>833.11</v>
      </c>
      <c r="J1242">
        <v>0.31</v>
      </c>
      <c r="K1242">
        <v>234.5625</v>
      </c>
    </row>
    <row r="1243" spans="1:11" x14ac:dyDescent="0.25">
      <c r="A1243" s="1" t="s">
        <v>10</v>
      </c>
      <c r="B1243" s="1" t="s">
        <v>11</v>
      </c>
      <c r="C1243" s="2">
        <v>45657</v>
      </c>
      <c r="D1243">
        <v>239</v>
      </c>
      <c r="E1243">
        <v>239</v>
      </c>
      <c r="F1243">
        <v>231.25</v>
      </c>
      <c r="G1243">
        <v>234.7</v>
      </c>
      <c r="H1243">
        <v>5109</v>
      </c>
      <c r="I1243">
        <v>828.17</v>
      </c>
      <c r="J1243">
        <v>0.31</v>
      </c>
      <c r="K1243">
        <v>235.98750000000001</v>
      </c>
    </row>
    <row r="1244" spans="1:11" x14ac:dyDescent="0.25">
      <c r="A1244" s="1" t="s">
        <v>10</v>
      </c>
      <c r="B1244" s="1" t="s">
        <v>11</v>
      </c>
      <c r="C1244" s="2">
        <v>45658</v>
      </c>
      <c r="D1244">
        <v>238.9</v>
      </c>
      <c r="E1244">
        <v>242.2</v>
      </c>
      <c r="F1244">
        <v>230.7</v>
      </c>
      <c r="G1244">
        <v>239.7</v>
      </c>
      <c r="H1244">
        <v>4959</v>
      </c>
      <c r="I1244">
        <v>845.82</v>
      </c>
      <c r="J1244">
        <v>0.31</v>
      </c>
      <c r="K1244">
        <v>237.875</v>
      </c>
    </row>
    <row r="1245" spans="1:11" x14ac:dyDescent="0.25">
      <c r="A1245" s="1" t="s">
        <v>10</v>
      </c>
      <c r="B1245" s="1" t="s">
        <v>11</v>
      </c>
      <c r="C1245" s="2">
        <v>45659</v>
      </c>
      <c r="D1245">
        <v>239.4</v>
      </c>
      <c r="E1245">
        <v>251.65</v>
      </c>
      <c r="F1245">
        <v>237</v>
      </c>
      <c r="G1245">
        <v>251.65</v>
      </c>
      <c r="H1245">
        <v>39477</v>
      </c>
      <c r="I1245">
        <v>887.98</v>
      </c>
      <c r="J1245">
        <v>0.31</v>
      </c>
      <c r="K1245">
        <v>244.92500000000001</v>
      </c>
    </row>
    <row r="1246" spans="1:11" x14ac:dyDescent="0.25">
      <c r="A1246" s="1" t="s">
        <v>10</v>
      </c>
      <c r="B1246" s="1" t="s">
        <v>11</v>
      </c>
      <c r="C1246" s="2">
        <v>45660</v>
      </c>
      <c r="D1246">
        <v>256</v>
      </c>
      <c r="E1246">
        <v>263.75</v>
      </c>
      <c r="F1246">
        <v>250.25</v>
      </c>
      <c r="G1246">
        <v>261.7</v>
      </c>
      <c r="H1246">
        <v>31543</v>
      </c>
      <c r="I1246">
        <v>923.45</v>
      </c>
      <c r="J1246">
        <v>0.31</v>
      </c>
      <c r="K1246">
        <v>257.92500000000001</v>
      </c>
    </row>
    <row r="1247" spans="1:11" x14ac:dyDescent="0.25">
      <c r="A1247" s="1" t="s">
        <v>10</v>
      </c>
      <c r="B1247" s="1" t="s">
        <v>11</v>
      </c>
      <c r="C1247" s="2">
        <v>45663</v>
      </c>
      <c r="D1247">
        <v>262.95</v>
      </c>
      <c r="E1247">
        <v>264</v>
      </c>
      <c r="F1247">
        <v>248.65</v>
      </c>
      <c r="G1247">
        <v>248.65</v>
      </c>
      <c r="H1247">
        <v>27638</v>
      </c>
      <c r="I1247">
        <v>877.4</v>
      </c>
      <c r="J1247">
        <v>0.31</v>
      </c>
      <c r="K1247">
        <v>256.0625</v>
      </c>
    </row>
    <row r="1248" spans="1:11" x14ac:dyDescent="0.25">
      <c r="A1248" s="1" t="s">
        <v>10</v>
      </c>
      <c r="B1248" s="1" t="s">
        <v>11</v>
      </c>
      <c r="C1248" s="2">
        <v>45664</v>
      </c>
      <c r="D1248">
        <v>238.5</v>
      </c>
      <c r="E1248">
        <v>257.39999999999998</v>
      </c>
      <c r="F1248">
        <v>238.5</v>
      </c>
      <c r="G1248">
        <v>250.9</v>
      </c>
      <c r="H1248">
        <v>21938</v>
      </c>
      <c r="I1248">
        <v>885.34</v>
      </c>
      <c r="J1248">
        <v>0.31</v>
      </c>
      <c r="K1248">
        <v>246.32499999999999</v>
      </c>
    </row>
    <row r="1249" spans="1:11" x14ac:dyDescent="0.25">
      <c r="A1249" s="1" t="s">
        <v>10</v>
      </c>
      <c r="B1249" s="1" t="s">
        <v>11</v>
      </c>
      <c r="C1249" s="2">
        <v>45665</v>
      </c>
      <c r="D1249">
        <v>254.5</v>
      </c>
      <c r="E1249">
        <v>254.5</v>
      </c>
      <c r="F1249">
        <v>240.55</v>
      </c>
      <c r="G1249">
        <v>245.45</v>
      </c>
      <c r="H1249">
        <v>8727</v>
      </c>
      <c r="I1249">
        <v>866.11</v>
      </c>
      <c r="J1249">
        <v>0.31</v>
      </c>
      <c r="K1249">
        <v>248.75</v>
      </c>
    </row>
    <row r="1250" spans="1:11" x14ac:dyDescent="0.25">
      <c r="A1250" s="1" t="s">
        <v>10</v>
      </c>
      <c r="B1250" s="1" t="s">
        <v>11</v>
      </c>
      <c r="C1250" s="2">
        <v>45666</v>
      </c>
      <c r="D1250">
        <v>244.6</v>
      </c>
      <c r="E1250">
        <v>244.7</v>
      </c>
      <c r="F1250">
        <v>238.35</v>
      </c>
      <c r="G1250">
        <v>242.9</v>
      </c>
      <c r="H1250">
        <v>3580</v>
      </c>
      <c r="I1250">
        <v>857.11</v>
      </c>
      <c r="J1250">
        <v>0.31</v>
      </c>
      <c r="K1250">
        <v>242.63749999999999</v>
      </c>
    </row>
    <row r="1251" spans="1:11" x14ac:dyDescent="0.25">
      <c r="A1251" s="1" t="s">
        <v>10</v>
      </c>
      <c r="B1251" s="1" t="s">
        <v>11</v>
      </c>
      <c r="C1251" s="2">
        <v>45667</v>
      </c>
      <c r="D1251">
        <v>236.05</v>
      </c>
      <c r="E1251">
        <v>240.65</v>
      </c>
      <c r="F1251">
        <v>232</v>
      </c>
      <c r="G1251">
        <v>236.5</v>
      </c>
      <c r="H1251">
        <v>14846</v>
      </c>
      <c r="I1251">
        <v>834.53</v>
      </c>
      <c r="J1251">
        <v>0.31</v>
      </c>
      <c r="K1251">
        <v>236.3</v>
      </c>
    </row>
    <row r="1252" spans="1:11" x14ac:dyDescent="0.25">
      <c r="A1252" s="1" t="s">
        <v>10</v>
      </c>
      <c r="B1252" s="1" t="s">
        <v>11</v>
      </c>
      <c r="C1252" s="2">
        <v>45670</v>
      </c>
      <c r="D1252">
        <v>236.5</v>
      </c>
      <c r="E1252">
        <v>244.6</v>
      </c>
      <c r="F1252">
        <v>222</v>
      </c>
      <c r="G1252">
        <v>224.4</v>
      </c>
      <c r="H1252">
        <v>42332</v>
      </c>
      <c r="I1252">
        <v>791.83</v>
      </c>
      <c r="J1252">
        <v>0.31</v>
      </c>
      <c r="K1252">
        <v>231.875</v>
      </c>
    </row>
    <row r="1253" spans="1:11" x14ac:dyDescent="0.25">
      <c r="A1253" s="1" t="s">
        <v>10</v>
      </c>
      <c r="B1253" s="1" t="s">
        <v>11</v>
      </c>
      <c r="C1253" s="2">
        <v>45671</v>
      </c>
      <c r="D1253">
        <v>235</v>
      </c>
      <c r="E1253">
        <v>236.25</v>
      </c>
      <c r="F1253">
        <v>224.7</v>
      </c>
      <c r="G1253">
        <v>231.8</v>
      </c>
      <c r="H1253">
        <v>19546</v>
      </c>
      <c r="I1253">
        <v>817.94</v>
      </c>
      <c r="J1253">
        <v>0.31</v>
      </c>
      <c r="K1253">
        <v>231.9375</v>
      </c>
    </row>
    <row r="1254" spans="1:11" x14ac:dyDescent="0.25">
      <c r="A1254" s="1" t="s">
        <v>10</v>
      </c>
      <c r="B1254" s="1" t="s">
        <v>11</v>
      </c>
      <c r="C1254" s="2">
        <v>45672</v>
      </c>
      <c r="D1254">
        <v>236.8</v>
      </c>
      <c r="E1254">
        <v>237.75</v>
      </c>
      <c r="F1254">
        <v>227.6</v>
      </c>
      <c r="G1254">
        <v>229.8</v>
      </c>
      <c r="H1254">
        <v>8179</v>
      </c>
      <c r="I1254">
        <v>810.88</v>
      </c>
      <c r="J1254">
        <v>0.31</v>
      </c>
      <c r="K1254">
        <v>232.98750000000001</v>
      </c>
    </row>
    <row r="1255" spans="1:11" x14ac:dyDescent="0.25">
      <c r="A1255" s="1" t="s">
        <v>10</v>
      </c>
      <c r="B1255" s="1" t="s">
        <v>11</v>
      </c>
      <c r="C1255" s="2">
        <v>45673</v>
      </c>
      <c r="D1255">
        <v>235.55</v>
      </c>
      <c r="E1255">
        <v>235.95</v>
      </c>
      <c r="F1255">
        <v>226.4</v>
      </c>
      <c r="G1255">
        <v>227.15</v>
      </c>
      <c r="H1255">
        <v>9993</v>
      </c>
      <c r="I1255">
        <v>801.53</v>
      </c>
      <c r="J1255">
        <v>0.31</v>
      </c>
      <c r="K1255">
        <v>231.26249999999999</v>
      </c>
    </row>
    <row r="1256" spans="1:11" x14ac:dyDescent="0.25">
      <c r="A1256" s="1" t="s">
        <v>10</v>
      </c>
      <c r="B1256" s="1" t="s">
        <v>11</v>
      </c>
      <c r="C1256" s="2">
        <v>45674</v>
      </c>
      <c r="D1256">
        <v>224.6</v>
      </c>
      <c r="E1256">
        <v>229.3</v>
      </c>
      <c r="F1256">
        <v>224.35</v>
      </c>
      <c r="G1256">
        <v>225.8</v>
      </c>
      <c r="H1256">
        <v>5780</v>
      </c>
      <c r="I1256">
        <v>796.77</v>
      </c>
      <c r="J1256">
        <v>0.31</v>
      </c>
      <c r="K1256">
        <v>226.01249999999999</v>
      </c>
    </row>
    <row r="1257" spans="1:11" x14ac:dyDescent="0.25">
      <c r="A1257" s="1" t="s">
        <v>10</v>
      </c>
      <c r="B1257" s="1" t="s">
        <v>11</v>
      </c>
      <c r="C1257" s="2">
        <v>45677</v>
      </c>
      <c r="D1257">
        <v>231.45</v>
      </c>
      <c r="E1257">
        <v>234.95</v>
      </c>
      <c r="F1257">
        <v>223.55</v>
      </c>
      <c r="G1257">
        <v>231.85</v>
      </c>
      <c r="H1257">
        <v>8528</v>
      </c>
      <c r="I1257">
        <v>818.12</v>
      </c>
      <c r="J1257">
        <v>0.31</v>
      </c>
      <c r="K1257">
        <v>230.45</v>
      </c>
    </row>
    <row r="1258" spans="1:11" x14ac:dyDescent="0.25">
      <c r="A1258" s="1" t="s">
        <v>10</v>
      </c>
      <c r="B1258" s="1" t="s">
        <v>11</v>
      </c>
      <c r="C1258" s="2">
        <v>45678</v>
      </c>
      <c r="D1258">
        <v>231</v>
      </c>
      <c r="E1258">
        <v>254</v>
      </c>
      <c r="F1258">
        <v>230</v>
      </c>
      <c r="G1258">
        <v>240.1</v>
      </c>
      <c r="H1258">
        <v>46371</v>
      </c>
      <c r="I1258">
        <v>847.23</v>
      </c>
      <c r="J1258">
        <v>0.31</v>
      </c>
      <c r="K1258">
        <v>238.77500000000001</v>
      </c>
    </row>
    <row r="1259" spans="1:11" x14ac:dyDescent="0.25">
      <c r="A1259" s="1" t="s">
        <v>10</v>
      </c>
      <c r="B1259" s="1" t="s">
        <v>11</v>
      </c>
      <c r="C1259" s="2">
        <v>45679</v>
      </c>
      <c r="D1259">
        <v>244.1</v>
      </c>
      <c r="E1259">
        <v>244.1</v>
      </c>
      <c r="F1259">
        <v>225</v>
      </c>
      <c r="G1259">
        <v>229.35</v>
      </c>
      <c r="H1259">
        <v>27070</v>
      </c>
      <c r="I1259">
        <v>809.3</v>
      </c>
      <c r="J1259">
        <v>0.31</v>
      </c>
      <c r="K1259">
        <v>235.63749999999999</v>
      </c>
    </row>
    <row r="1260" spans="1:11" x14ac:dyDescent="0.25">
      <c r="A1260" s="1" t="s">
        <v>10</v>
      </c>
      <c r="B1260" s="1" t="s">
        <v>11</v>
      </c>
      <c r="C1260" s="2">
        <v>45680</v>
      </c>
      <c r="D1260">
        <v>223</v>
      </c>
      <c r="E1260">
        <v>225</v>
      </c>
      <c r="F1260">
        <v>198.95</v>
      </c>
      <c r="G1260">
        <v>208.55</v>
      </c>
      <c r="H1260">
        <v>142723</v>
      </c>
      <c r="I1260">
        <v>735.9</v>
      </c>
      <c r="J1260">
        <v>0.31</v>
      </c>
      <c r="K1260">
        <v>213.875</v>
      </c>
    </row>
    <row r="1261" spans="1:11" x14ac:dyDescent="0.25">
      <c r="A1261" s="1" t="s">
        <v>10</v>
      </c>
      <c r="B1261" s="1" t="s">
        <v>11</v>
      </c>
      <c r="C1261" s="2">
        <v>45681</v>
      </c>
      <c r="D1261">
        <v>213</v>
      </c>
      <c r="E1261">
        <v>213</v>
      </c>
      <c r="F1261">
        <v>199.6</v>
      </c>
      <c r="G1261">
        <v>201.35</v>
      </c>
      <c r="H1261">
        <v>21355</v>
      </c>
      <c r="I1261">
        <v>710.49</v>
      </c>
      <c r="J1261">
        <v>0.31</v>
      </c>
      <c r="K1261">
        <v>206.73750000000001</v>
      </c>
    </row>
    <row r="1262" spans="1:11" x14ac:dyDescent="0.25">
      <c r="A1262" s="1" t="s">
        <v>10</v>
      </c>
      <c r="B1262" s="1" t="s">
        <v>11</v>
      </c>
      <c r="C1262" s="2">
        <v>45684</v>
      </c>
      <c r="D1262">
        <v>200.05</v>
      </c>
      <c r="E1262">
        <v>200.05</v>
      </c>
      <c r="F1262">
        <v>185.6</v>
      </c>
      <c r="G1262">
        <v>189.2</v>
      </c>
      <c r="H1262">
        <v>22159</v>
      </c>
      <c r="I1262">
        <v>667.62</v>
      </c>
      <c r="J1262">
        <v>0.31</v>
      </c>
      <c r="K1262">
        <v>193.72499999999999</v>
      </c>
    </row>
    <row r="1263" spans="1:11" x14ac:dyDescent="0.25">
      <c r="A1263" s="1" t="s">
        <v>10</v>
      </c>
      <c r="B1263" s="1" t="s">
        <v>11</v>
      </c>
      <c r="C1263" s="2">
        <v>45685</v>
      </c>
      <c r="D1263">
        <v>188</v>
      </c>
      <c r="E1263">
        <v>191.25</v>
      </c>
      <c r="F1263">
        <v>178.05</v>
      </c>
      <c r="G1263">
        <v>186.6</v>
      </c>
      <c r="H1263">
        <v>34429</v>
      </c>
      <c r="I1263">
        <v>658.45</v>
      </c>
      <c r="J1263">
        <v>0.31</v>
      </c>
      <c r="K1263">
        <v>185.97499999999999</v>
      </c>
    </row>
    <row r="1264" spans="1:11" x14ac:dyDescent="0.25">
      <c r="A1264" s="1" t="s">
        <v>10</v>
      </c>
      <c r="B1264" s="1" t="s">
        <v>11</v>
      </c>
      <c r="C1264" s="2">
        <v>45686</v>
      </c>
      <c r="D1264">
        <v>181.65</v>
      </c>
      <c r="E1264">
        <v>195.1</v>
      </c>
      <c r="F1264">
        <v>181.65</v>
      </c>
      <c r="G1264">
        <v>193.65</v>
      </c>
      <c r="H1264">
        <v>23808</v>
      </c>
      <c r="I1264">
        <v>683.32</v>
      </c>
      <c r="J1264">
        <v>0.31</v>
      </c>
      <c r="K1264">
        <v>188.01249999999999</v>
      </c>
    </row>
    <row r="1265" spans="1:11" x14ac:dyDescent="0.25">
      <c r="A1265" s="1" t="s">
        <v>10</v>
      </c>
      <c r="B1265" s="1" t="s">
        <v>11</v>
      </c>
      <c r="C1265" s="2">
        <v>45687</v>
      </c>
      <c r="D1265">
        <v>198.95</v>
      </c>
      <c r="E1265">
        <v>201</v>
      </c>
      <c r="F1265">
        <v>191.45</v>
      </c>
      <c r="G1265">
        <v>193.65</v>
      </c>
      <c r="H1265">
        <v>11640</v>
      </c>
      <c r="I1265">
        <v>683.32</v>
      </c>
      <c r="J1265">
        <v>0.31</v>
      </c>
      <c r="K1265">
        <v>196.26249999999999</v>
      </c>
    </row>
    <row r="1266" spans="1:11" x14ac:dyDescent="0.25">
      <c r="A1266" s="1" t="s">
        <v>10</v>
      </c>
      <c r="B1266" s="1" t="s">
        <v>11</v>
      </c>
      <c r="C1266" s="2">
        <v>45688</v>
      </c>
      <c r="D1266">
        <v>197.2</v>
      </c>
      <c r="E1266">
        <v>205</v>
      </c>
      <c r="F1266">
        <v>190</v>
      </c>
      <c r="G1266">
        <v>203.65</v>
      </c>
      <c r="H1266">
        <v>31391</v>
      </c>
      <c r="I1266">
        <v>718.61</v>
      </c>
      <c r="J1266">
        <v>0.31</v>
      </c>
      <c r="K1266">
        <v>198.96250000000001</v>
      </c>
    </row>
    <row r="1267" spans="1:11" x14ac:dyDescent="0.25">
      <c r="A1267" s="1" t="s">
        <v>10</v>
      </c>
      <c r="B1267" s="1" t="s">
        <v>11</v>
      </c>
      <c r="C1267" s="2">
        <v>45689</v>
      </c>
      <c r="D1267">
        <v>205.8</v>
      </c>
      <c r="E1267">
        <v>207.7</v>
      </c>
      <c r="F1267">
        <v>202</v>
      </c>
      <c r="G1267">
        <v>203.3</v>
      </c>
      <c r="H1267">
        <v>7821</v>
      </c>
      <c r="I1267">
        <v>717.37</v>
      </c>
      <c r="J1267">
        <v>0.31</v>
      </c>
      <c r="K1267">
        <v>204.7</v>
      </c>
    </row>
    <row r="1268" spans="1:11" x14ac:dyDescent="0.25">
      <c r="A1268" s="1" t="s">
        <v>10</v>
      </c>
      <c r="B1268" s="1" t="s">
        <v>11</v>
      </c>
      <c r="C1268" s="2">
        <v>45691</v>
      </c>
      <c r="D1268">
        <v>202.5</v>
      </c>
      <c r="E1268">
        <v>202.5</v>
      </c>
      <c r="F1268">
        <v>195.7</v>
      </c>
      <c r="G1268">
        <v>197.4</v>
      </c>
      <c r="H1268">
        <v>15254</v>
      </c>
      <c r="I1268">
        <v>696.56</v>
      </c>
      <c r="J1268">
        <v>0.31</v>
      </c>
      <c r="K1268">
        <v>199.52500000000001</v>
      </c>
    </row>
    <row r="1269" spans="1:11" x14ac:dyDescent="0.25">
      <c r="A1269" s="1" t="s">
        <v>10</v>
      </c>
      <c r="B1269" s="1" t="s">
        <v>11</v>
      </c>
      <c r="C1269" s="2">
        <v>45692</v>
      </c>
      <c r="D1269">
        <v>198.5</v>
      </c>
      <c r="E1269">
        <v>204.4</v>
      </c>
      <c r="F1269">
        <v>195.05</v>
      </c>
      <c r="G1269">
        <v>196.9</v>
      </c>
      <c r="H1269">
        <v>11368</v>
      </c>
      <c r="I1269">
        <v>694.79</v>
      </c>
      <c r="J1269">
        <v>0.31</v>
      </c>
      <c r="K1269">
        <v>198.71250000000001</v>
      </c>
    </row>
    <row r="1270" spans="1:11" x14ac:dyDescent="0.25">
      <c r="A1270" s="1" t="s">
        <v>10</v>
      </c>
      <c r="B1270" s="1" t="s">
        <v>11</v>
      </c>
      <c r="C1270" s="2">
        <v>45693</v>
      </c>
      <c r="D1270">
        <v>200.7</v>
      </c>
      <c r="E1270">
        <v>201.95</v>
      </c>
      <c r="F1270">
        <v>194.6</v>
      </c>
      <c r="G1270">
        <v>195.55</v>
      </c>
      <c r="H1270">
        <v>13454</v>
      </c>
      <c r="I1270">
        <v>690.03</v>
      </c>
      <c r="J1270">
        <v>0.31</v>
      </c>
      <c r="K1270">
        <v>198.2</v>
      </c>
    </row>
    <row r="1271" spans="1:11" x14ac:dyDescent="0.25">
      <c r="A1271" s="1" t="s">
        <v>10</v>
      </c>
      <c r="B1271" s="1" t="s">
        <v>11</v>
      </c>
      <c r="C1271" s="2">
        <v>45694</v>
      </c>
      <c r="D1271">
        <v>200.6</v>
      </c>
      <c r="E1271">
        <v>200.6</v>
      </c>
      <c r="F1271">
        <v>189.65</v>
      </c>
      <c r="G1271">
        <v>190.45</v>
      </c>
      <c r="H1271">
        <v>15570</v>
      </c>
      <c r="I1271">
        <v>672.03</v>
      </c>
      <c r="J1271">
        <v>0.31</v>
      </c>
      <c r="K1271">
        <v>195.32499999999999</v>
      </c>
    </row>
    <row r="1272" spans="1:11" x14ac:dyDescent="0.25">
      <c r="A1272" s="1" t="s">
        <v>10</v>
      </c>
      <c r="B1272" s="1" t="s">
        <v>11</v>
      </c>
      <c r="C1272" s="2">
        <v>45695</v>
      </c>
      <c r="D1272">
        <v>193.8</v>
      </c>
      <c r="E1272">
        <v>193.8</v>
      </c>
      <c r="F1272">
        <v>183</v>
      </c>
      <c r="G1272">
        <v>184.05</v>
      </c>
      <c r="H1272">
        <v>18651</v>
      </c>
      <c r="I1272">
        <v>649.45000000000005</v>
      </c>
      <c r="J1272">
        <v>0.31</v>
      </c>
      <c r="K1272">
        <v>188.66249999999999</v>
      </c>
    </row>
    <row r="1273" spans="1:11" x14ac:dyDescent="0.25">
      <c r="A1273" s="1" t="s">
        <v>10</v>
      </c>
      <c r="B1273" s="1" t="s">
        <v>11</v>
      </c>
      <c r="C1273" s="2">
        <v>45698</v>
      </c>
      <c r="D1273">
        <v>187.35</v>
      </c>
      <c r="E1273">
        <v>187.35</v>
      </c>
      <c r="F1273">
        <v>175.2</v>
      </c>
      <c r="G1273">
        <v>177.1</v>
      </c>
      <c r="H1273">
        <v>26707</v>
      </c>
      <c r="I1273">
        <v>624.91999999999996</v>
      </c>
      <c r="J1273">
        <v>0.31</v>
      </c>
      <c r="K1273">
        <v>181.75</v>
      </c>
    </row>
    <row r="1274" spans="1:11" x14ac:dyDescent="0.25">
      <c r="A1274" s="1" t="s">
        <v>10</v>
      </c>
      <c r="B1274" s="1" t="s">
        <v>11</v>
      </c>
      <c r="C1274" s="2">
        <v>45699</v>
      </c>
      <c r="D1274">
        <v>175.6</v>
      </c>
      <c r="E1274">
        <v>178.25</v>
      </c>
      <c r="F1274">
        <v>167.35</v>
      </c>
      <c r="G1274">
        <v>169.25</v>
      </c>
      <c r="H1274">
        <v>28442</v>
      </c>
      <c r="I1274">
        <v>597.22</v>
      </c>
      <c r="J1274">
        <v>0.31</v>
      </c>
      <c r="K1274">
        <v>172.61250000000001</v>
      </c>
    </row>
    <row r="1275" spans="1:11" x14ac:dyDescent="0.25">
      <c r="A1275" s="1" t="s">
        <v>10</v>
      </c>
      <c r="B1275" s="1" t="s">
        <v>11</v>
      </c>
      <c r="C1275" s="2">
        <v>45700</v>
      </c>
      <c r="D1275">
        <v>171.65</v>
      </c>
      <c r="E1275">
        <v>173.6</v>
      </c>
      <c r="F1275">
        <v>158</v>
      </c>
      <c r="G1275">
        <v>171.95</v>
      </c>
      <c r="H1275">
        <v>55558</v>
      </c>
      <c r="I1275">
        <v>606.75</v>
      </c>
      <c r="J1275">
        <v>0.31</v>
      </c>
      <c r="K1275">
        <v>168.8</v>
      </c>
    </row>
    <row r="1276" spans="1:11" x14ac:dyDescent="0.25">
      <c r="A1276" s="1" t="s">
        <v>10</v>
      </c>
      <c r="B1276" s="1" t="s">
        <v>11</v>
      </c>
      <c r="C1276" s="2">
        <v>45701</v>
      </c>
      <c r="D1276">
        <v>171.95</v>
      </c>
      <c r="E1276">
        <v>178</v>
      </c>
      <c r="F1276">
        <v>170.05</v>
      </c>
      <c r="G1276">
        <v>173.05</v>
      </c>
      <c r="H1276">
        <v>14370</v>
      </c>
      <c r="I1276">
        <v>610.63</v>
      </c>
      <c r="J1276">
        <v>0.31</v>
      </c>
      <c r="K1276">
        <v>173.26249999999999</v>
      </c>
    </row>
    <row r="1277" spans="1:11" x14ac:dyDescent="0.25">
      <c r="A1277" s="1" t="s">
        <v>10</v>
      </c>
      <c r="B1277" s="1" t="s">
        <v>11</v>
      </c>
      <c r="C1277" s="2">
        <v>45702</v>
      </c>
      <c r="D1277">
        <v>174.6</v>
      </c>
      <c r="E1277">
        <v>174.6</v>
      </c>
      <c r="F1277">
        <v>165.05</v>
      </c>
      <c r="G1277">
        <v>170.3</v>
      </c>
      <c r="H1277">
        <v>21748</v>
      </c>
      <c r="I1277">
        <v>600.92999999999995</v>
      </c>
      <c r="J1277">
        <v>0.31</v>
      </c>
      <c r="K1277">
        <v>171.13749999999999</v>
      </c>
    </row>
    <row r="1278" spans="1:11" x14ac:dyDescent="0.25">
      <c r="A1278" s="1" t="s">
        <v>10</v>
      </c>
      <c r="B1278" s="1" t="s">
        <v>11</v>
      </c>
      <c r="C1278" s="2">
        <v>45705</v>
      </c>
      <c r="D1278">
        <v>170.3</v>
      </c>
      <c r="E1278">
        <v>172.75</v>
      </c>
      <c r="F1278">
        <v>164.75</v>
      </c>
      <c r="G1278">
        <v>170.6</v>
      </c>
      <c r="H1278">
        <v>9231</v>
      </c>
      <c r="I1278">
        <v>601.99</v>
      </c>
      <c r="J1278">
        <v>0.31</v>
      </c>
      <c r="K1278">
        <v>169.6</v>
      </c>
    </row>
    <row r="1279" spans="1:11" x14ac:dyDescent="0.25">
      <c r="A1279" s="1" t="s">
        <v>10</v>
      </c>
      <c r="B1279" s="1" t="s">
        <v>11</v>
      </c>
      <c r="C1279" s="2">
        <v>45706</v>
      </c>
      <c r="D1279">
        <v>165.1</v>
      </c>
      <c r="E1279">
        <v>170.7</v>
      </c>
      <c r="F1279">
        <v>164.2</v>
      </c>
      <c r="G1279">
        <v>167.75</v>
      </c>
      <c r="H1279">
        <v>12011</v>
      </c>
      <c r="I1279">
        <v>591.92999999999995</v>
      </c>
      <c r="J1279">
        <v>0.31</v>
      </c>
      <c r="K1279">
        <v>166.9375</v>
      </c>
    </row>
    <row r="1280" spans="1:11" x14ac:dyDescent="0.25">
      <c r="A1280" s="1" t="s">
        <v>10</v>
      </c>
      <c r="B1280" s="1" t="s">
        <v>11</v>
      </c>
      <c r="C1280" s="2">
        <v>45707</v>
      </c>
      <c r="D1280">
        <v>161.55000000000001</v>
      </c>
      <c r="E1280">
        <v>182.05</v>
      </c>
      <c r="F1280">
        <v>161.5</v>
      </c>
      <c r="G1280">
        <v>180.25</v>
      </c>
      <c r="H1280">
        <v>34262</v>
      </c>
      <c r="I1280">
        <v>636.04</v>
      </c>
      <c r="J1280">
        <v>0.31</v>
      </c>
      <c r="K1280">
        <v>171.33750000000001</v>
      </c>
    </row>
    <row r="1281" spans="1:11" x14ac:dyDescent="0.25">
      <c r="A1281" s="1" t="s">
        <v>10</v>
      </c>
      <c r="B1281" s="1" t="s">
        <v>11</v>
      </c>
      <c r="C1281" s="2">
        <v>45708</v>
      </c>
      <c r="D1281">
        <v>183.95</v>
      </c>
      <c r="E1281">
        <v>185.75</v>
      </c>
      <c r="F1281">
        <v>178</v>
      </c>
      <c r="G1281">
        <v>183.35</v>
      </c>
      <c r="H1281">
        <v>10690</v>
      </c>
      <c r="I1281">
        <v>646.98</v>
      </c>
      <c r="J1281">
        <v>0.31</v>
      </c>
      <c r="K1281">
        <v>182.76249999999999</v>
      </c>
    </row>
    <row r="1282" spans="1:11" x14ac:dyDescent="0.25">
      <c r="A1282" s="1" t="s">
        <v>10</v>
      </c>
      <c r="B1282" s="1" t="s">
        <v>11</v>
      </c>
      <c r="C1282" s="2">
        <v>45709</v>
      </c>
      <c r="D1282">
        <v>186.95</v>
      </c>
      <c r="E1282">
        <v>189.25</v>
      </c>
      <c r="F1282">
        <v>182</v>
      </c>
      <c r="G1282">
        <v>183.1</v>
      </c>
      <c r="H1282">
        <v>5479</v>
      </c>
      <c r="I1282">
        <v>646.1</v>
      </c>
      <c r="J1282">
        <v>0.31</v>
      </c>
      <c r="K1282">
        <v>185.32499999999999</v>
      </c>
    </row>
    <row r="1283" spans="1:11" x14ac:dyDescent="0.25">
      <c r="A1283" s="1" t="s">
        <v>10</v>
      </c>
      <c r="B1283" s="1" t="s">
        <v>11</v>
      </c>
      <c r="C1283" s="2">
        <v>45712</v>
      </c>
      <c r="D1283">
        <v>187.7</v>
      </c>
      <c r="E1283">
        <v>187.7</v>
      </c>
      <c r="F1283">
        <v>177</v>
      </c>
      <c r="G1283">
        <v>179.9</v>
      </c>
      <c r="H1283">
        <v>2781</v>
      </c>
      <c r="I1283">
        <v>634.79999999999995</v>
      </c>
      <c r="J1283">
        <v>0.31</v>
      </c>
      <c r="K1283">
        <v>183.07499999999999</v>
      </c>
    </row>
    <row r="1284" spans="1:11" x14ac:dyDescent="0.25">
      <c r="A1284" s="1" t="s">
        <v>10</v>
      </c>
      <c r="B1284" s="1" t="s">
        <v>11</v>
      </c>
      <c r="C1284" s="2">
        <v>45713</v>
      </c>
      <c r="D1284">
        <v>179.65</v>
      </c>
      <c r="E1284">
        <v>182.75</v>
      </c>
      <c r="F1284">
        <v>177.85</v>
      </c>
      <c r="G1284">
        <v>178.6</v>
      </c>
      <c r="H1284">
        <v>5172</v>
      </c>
      <c r="I1284">
        <v>630.22</v>
      </c>
      <c r="J1284">
        <v>0.31</v>
      </c>
      <c r="K1284">
        <v>179.71250000000001</v>
      </c>
    </row>
    <row r="1285" spans="1:11" x14ac:dyDescent="0.25">
      <c r="A1285" s="1" t="s">
        <v>10</v>
      </c>
      <c r="B1285" s="1" t="s">
        <v>11</v>
      </c>
      <c r="C1285" s="2">
        <v>45715</v>
      </c>
      <c r="D1285">
        <v>181</v>
      </c>
      <c r="E1285">
        <v>181</v>
      </c>
      <c r="F1285">
        <v>170.25</v>
      </c>
      <c r="G1285">
        <v>172.5</v>
      </c>
      <c r="H1285">
        <v>4298</v>
      </c>
      <c r="I1285">
        <v>608.69000000000005</v>
      </c>
      <c r="J1285">
        <v>0.31</v>
      </c>
      <c r="K1285">
        <v>176.1875</v>
      </c>
    </row>
    <row r="1286" spans="1:11" x14ac:dyDescent="0.25">
      <c r="A1286" s="1" t="s">
        <v>10</v>
      </c>
      <c r="B1286" s="1" t="s">
        <v>11</v>
      </c>
      <c r="C1286" s="2">
        <v>45716</v>
      </c>
      <c r="D1286">
        <v>172.5</v>
      </c>
      <c r="E1286">
        <v>175.65</v>
      </c>
      <c r="F1286">
        <v>165.55</v>
      </c>
      <c r="G1286">
        <v>172.65</v>
      </c>
      <c r="H1286">
        <v>23444</v>
      </c>
      <c r="I1286">
        <v>609.22</v>
      </c>
      <c r="J1286">
        <v>0.31</v>
      </c>
      <c r="K1286">
        <v>171.58750000000001</v>
      </c>
    </row>
    <row r="1287" spans="1:11" x14ac:dyDescent="0.25">
      <c r="A1287" s="1" t="s">
        <v>10</v>
      </c>
      <c r="B1287" s="1" t="s">
        <v>11</v>
      </c>
      <c r="C1287" s="2">
        <v>45719</v>
      </c>
      <c r="D1287">
        <v>172.7</v>
      </c>
      <c r="E1287">
        <v>175.2</v>
      </c>
      <c r="F1287">
        <v>165.3</v>
      </c>
      <c r="G1287">
        <v>172</v>
      </c>
      <c r="H1287">
        <v>16548</v>
      </c>
      <c r="I1287">
        <v>606.92999999999995</v>
      </c>
      <c r="J1287">
        <v>0.31</v>
      </c>
      <c r="K1287">
        <v>171.3</v>
      </c>
    </row>
    <row r="1288" spans="1:11" x14ac:dyDescent="0.25">
      <c r="A1288" s="1" t="s">
        <v>10</v>
      </c>
      <c r="B1288" s="1" t="s">
        <v>11</v>
      </c>
      <c r="C1288" s="2">
        <v>45720</v>
      </c>
      <c r="D1288">
        <v>172</v>
      </c>
      <c r="E1288">
        <v>178.25</v>
      </c>
      <c r="F1288">
        <v>167.9</v>
      </c>
      <c r="G1288">
        <v>177.55</v>
      </c>
      <c r="H1288">
        <v>14751</v>
      </c>
      <c r="I1288">
        <v>626.51</v>
      </c>
      <c r="J1288">
        <v>0.31</v>
      </c>
      <c r="K1288">
        <v>173.92500000000001</v>
      </c>
    </row>
    <row r="1289" spans="1:11" x14ac:dyDescent="0.25">
      <c r="A1289" s="1" t="s">
        <v>10</v>
      </c>
      <c r="B1289" s="1" t="s">
        <v>11</v>
      </c>
      <c r="C1289" s="2">
        <v>45721</v>
      </c>
      <c r="D1289">
        <v>177.55</v>
      </c>
      <c r="E1289">
        <v>185.6</v>
      </c>
      <c r="F1289">
        <v>177.55</v>
      </c>
      <c r="G1289">
        <v>185</v>
      </c>
      <c r="H1289">
        <v>5771</v>
      </c>
      <c r="I1289">
        <v>652.79999999999995</v>
      </c>
      <c r="J1289">
        <v>0.31</v>
      </c>
      <c r="K1289">
        <v>181.42500000000001</v>
      </c>
    </row>
    <row r="1290" spans="1:11" x14ac:dyDescent="0.25">
      <c r="A1290" s="1" t="s">
        <v>10</v>
      </c>
      <c r="B1290" s="1" t="s">
        <v>11</v>
      </c>
      <c r="C1290" s="2">
        <v>45722</v>
      </c>
      <c r="D1290">
        <v>188.1</v>
      </c>
      <c r="E1290">
        <v>213.95</v>
      </c>
      <c r="F1290">
        <v>185.25</v>
      </c>
      <c r="G1290">
        <v>207.35</v>
      </c>
      <c r="H1290">
        <v>32467</v>
      </c>
      <c r="I1290">
        <v>731.67</v>
      </c>
      <c r="J1290">
        <v>0.31</v>
      </c>
      <c r="K1290">
        <v>198.66249999999999</v>
      </c>
    </row>
    <row r="1291" spans="1:11" x14ac:dyDescent="0.25">
      <c r="A1291" s="1" t="s">
        <v>10</v>
      </c>
      <c r="B1291" s="1" t="s">
        <v>11</v>
      </c>
      <c r="C1291" s="2">
        <v>45723</v>
      </c>
      <c r="D1291">
        <v>205.95</v>
      </c>
      <c r="E1291">
        <v>209.4</v>
      </c>
      <c r="F1291">
        <v>202.7</v>
      </c>
      <c r="G1291">
        <v>204.1</v>
      </c>
      <c r="H1291">
        <v>9728</v>
      </c>
      <c r="I1291">
        <v>720.2</v>
      </c>
      <c r="J1291">
        <v>0.31</v>
      </c>
      <c r="K1291">
        <v>205.53749999999999</v>
      </c>
    </row>
    <row r="1292" spans="1:11" x14ac:dyDescent="0.25">
      <c r="A1292" s="1" t="s">
        <v>10</v>
      </c>
      <c r="B1292" s="1" t="s">
        <v>11</v>
      </c>
      <c r="C1292" s="2">
        <v>45726</v>
      </c>
      <c r="D1292">
        <v>204.05</v>
      </c>
      <c r="E1292">
        <v>217.7</v>
      </c>
      <c r="F1292">
        <v>201.15</v>
      </c>
      <c r="G1292">
        <v>205.4</v>
      </c>
      <c r="H1292">
        <v>8872</v>
      </c>
      <c r="I1292">
        <v>724.78</v>
      </c>
      <c r="J1292">
        <v>0.31</v>
      </c>
      <c r="K1292">
        <v>207.07499999999999</v>
      </c>
    </row>
    <row r="1293" spans="1:11" x14ac:dyDescent="0.25">
      <c r="A1293" s="1" t="s">
        <v>10</v>
      </c>
      <c r="B1293" s="1" t="s">
        <v>11</v>
      </c>
      <c r="C1293" s="2">
        <v>45727</v>
      </c>
      <c r="D1293">
        <v>204.25</v>
      </c>
      <c r="E1293">
        <v>204.25</v>
      </c>
      <c r="F1293">
        <v>194.2</v>
      </c>
      <c r="G1293">
        <v>195.6</v>
      </c>
      <c r="H1293">
        <v>20891</v>
      </c>
      <c r="I1293">
        <v>690.2</v>
      </c>
      <c r="J1293">
        <v>0.31</v>
      </c>
      <c r="K1293">
        <v>199.57499999999999</v>
      </c>
    </row>
    <row r="1294" spans="1:11" x14ac:dyDescent="0.25">
      <c r="A1294" s="1" t="s">
        <v>10</v>
      </c>
      <c r="B1294" s="1" t="s">
        <v>11</v>
      </c>
      <c r="C1294" s="2">
        <v>45728</v>
      </c>
      <c r="D1294">
        <v>200</v>
      </c>
      <c r="E1294">
        <v>201.4</v>
      </c>
      <c r="F1294">
        <v>195</v>
      </c>
      <c r="G1294">
        <v>195.8</v>
      </c>
      <c r="H1294">
        <v>5889</v>
      </c>
      <c r="I1294">
        <v>690.91</v>
      </c>
      <c r="J1294">
        <v>0.31</v>
      </c>
      <c r="K1294">
        <v>198.05</v>
      </c>
    </row>
    <row r="1295" spans="1:11" x14ac:dyDescent="0.25">
      <c r="A1295" s="1" t="s">
        <v>10</v>
      </c>
      <c r="B1295" s="1" t="s">
        <v>11</v>
      </c>
      <c r="C1295" s="2">
        <v>45729</v>
      </c>
      <c r="D1295">
        <v>195</v>
      </c>
      <c r="E1295">
        <v>199.95</v>
      </c>
      <c r="F1295">
        <v>191.1</v>
      </c>
      <c r="G1295">
        <v>194.05</v>
      </c>
      <c r="H1295">
        <v>11759</v>
      </c>
      <c r="I1295">
        <v>684.73</v>
      </c>
      <c r="J1295">
        <v>0.31</v>
      </c>
      <c r="K1295">
        <v>195.02500000000001</v>
      </c>
    </row>
    <row r="1296" spans="1:11" x14ac:dyDescent="0.25">
      <c r="A1296" s="1" t="s">
        <v>10</v>
      </c>
      <c r="B1296" s="1" t="s">
        <v>11</v>
      </c>
      <c r="C1296" s="2">
        <v>45733</v>
      </c>
      <c r="D1296">
        <v>194.5</v>
      </c>
      <c r="E1296">
        <v>194.8</v>
      </c>
      <c r="F1296">
        <v>185.7</v>
      </c>
      <c r="G1296">
        <v>187.05</v>
      </c>
      <c r="H1296">
        <v>16817</v>
      </c>
      <c r="I1296">
        <v>660.03</v>
      </c>
      <c r="J1296">
        <v>0.31</v>
      </c>
      <c r="K1296">
        <v>190.51249999999999</v>
      </c>
    </row>
    <row r="1297" spans="1:11" x14ac:dyDescent="0.25">
      <c r="A1297" s="1" t="s">
        <v>10</v>
      </c>
      <c r="B1297" s="1" t="s">
        <v>11</v>
      </c>
      <c r="C1297" s="2">
        <v>45734</v>
      </c>
      <c r="D1297">
        <v>192.65</v>
      </c>
      <c r="E1297">
        <v>201.15</v>
      </c>
      <c r="F1297">
        <v>192.05</v>
      </c>
      <c r="G1297">
        <v>196.6</v>
      </c>
      <c r="H1297">
        <v>4422</v>
      </c>
      <c r="I1297">
        <v>693.73</v>
      </c>
      <c r="J1297">
        <v>0.31</v>
      </c>
      <c r="K1297">
        <v>195.61250000000001</v>
      </c>
    </row>
    <row r="1298" spans="1:11" x14ac:dyDescent="0.25">
      <c r="A1298" s="1" t="s">
        <v>10</v>
      </c>
      <c r="B1298" s="1" t="s">
        <v>11</v>
      </c>
      <c r="C1298" s="2">
        <v>45735</v>
      </c>
      <c r="D1298">
        <v>202</v>
      </c>
      <c r="E1298">
        <v>214.8</v>
      </c>
      <c r="F1298">
        <v>198.15</v>
      </c>
      <c r="G1298">
        <v>200.95</v>
      </c>
      <c r="H1298">
        <v>27063</v>
      </c>
      <c r="I1298">
        <v>709.08</v>
      </c>
      <c r="J1298">
        <v>0.31</v>
      </c>
      <c r="K1298">
        <v>203.97499999999999</v>
      </c>
    </row>
    <row r="1299" spans="1:11" x14ac:dyDescent="0.25">
      <c r="A1299" s="1" t="s">
        <v>10</v>
      </c>
      <c r="B1299" s="1" t="s">
        <v>11</v>
      </c>
      <c r="C1299" s="2">
        <v>45736</v>
      </c>
      <c r="D1299">
        <v>204.45</v>
      </c>
      <c r="E1299">
        <v>206.5</v>
      </c>
      <c r="F1299">
        <v>200.25</v>
      </c>
      <c r="G1299">
        <v>201.25</v>
      </c>
      <c r="H1299">
        <v>3716</v>
      </c>
      <c r="I1299">
        <v>710.14</v>
      </c>
      <c r="J1299">
        <v>0.31</v>
      </c>
      <c r="K1299">
        <v>203.11250000000001</v>
      </c>
    </row>
    <row r="1300" spans="1:11" x14ac:dyDescent="0.25">
      <c r="A1300" s="1" t="s">
        <v>10</v>
      </c>
      <c r="B1300" s="1" t="s">
        <v>11</v>
      </c>
      <c r="C1300" s="2">
        <v>45737</v>
      </c>
      <c r="D1300">
        <v>202.2</v>
      </c>
      <c r="E1300">
        <v>205.5</v>
      </c>
      <c r="F1300">
        <v>201.6</v>
      </c>
      <c r="G1300">
        <v>203.9</v>
      </c>
      <c r="H1300">
        <v>12042</v>
      </c>
      <c r="I1300">
        <v>719.49</v>
      </c>
      <c r="J1300">
        <v>0.31</v>
      </c>
      <c r="K1300">
        <v>203.3</v>
      </c>
    </row>
    <row r="1301" spans="1:11" x14ac:dyDescent="0.25">
      <c r="A1301" s="1" t="s">
        <v>10</v>
      </c>
      <c r="B1301" s="1" t="s">
        <v>11</v>
      </c>
      <c r="C1301" s="2">
        <v>45740</v>
      </c>
      <c r="D1301">
        <v>202</v>
      </c>
      <c r="E1301">
        <v>211.65</v>
      </c>
      <c r="F1301">
        <v>201</v>
      </c>
      <c r="G1301">
        <v>203.9</v>
      </c>
      <c r="H1301">
        <v>7468</v>
      </c>
      <c r="I1301">
        <v>719.49</v>
      </c>
      <c r="J1301">
        <v>0.31</v>
      </c>
      <c r="K1301">
        <v>204.63749999999999</v>
      </c>
    </row>
    <row r="1302" spans="1:11" x14ac:dyDescent="0.25">
      <c r="A1302" s="1" t="s">
        <v>10</v>
      </c>
      <c r="B1302" s="1" t="s">
        <v>11</v>
      </c>
      <c r="C1302" s="2">
        <v>45741</v>
      </c>
      <c r="D1302">
        <v>206.25</v>
      </c>
      <c r="E1302">
        <v>206.7</v>
      </c>
      <c r="F1302">
        <v>200.4</v>
      </c>
      <c r="G1302">
        <v>202.1</v>
      </c>
      <c r="H1302">
        <v>5561</v>
      </c>
      <c r="I1302">
        <v>713.14</v>
      </c>
      <c r="J1302">
        <v>0.31</v>
      </c>
      <c r="K1302">
        <v>203.86250000000001</v>
      </c>
    </row>
    <row r="1303" spans="1:11" x14ac:dyDescent="0.25">
      <c r="A1303" s="1" t="s">
        <v>10</v>
      </c>
      <c r="B1303" s="1" t="s">
        <v>11</v>
      </c>
      <c r="C1303" s="2">
        <v>45742</v>
      </c>
      <c r="D1303">
        <v>202.5</v>
      </c>
      <c r="E1303">
        <v>203.5</v>
      </c>
      <c r="F1303">
        <v>194</v>
      </c>
      <c r="G1303">
        <v>194.65</v>
      </c>
      <c r="H1303">
        <v>6652</v>
      </c>
      <c r="I1303">
        <v>686.85</v>
      </c>
      <c r="J1303">
        <v>0.31</v>
      </c>
      <c r="K1303">
        <v>198.66249999999999</v>
      </c>
    </row>
    <row r="1304" spans="1:11" x14ac:dyDescent="0.25">
      <c r="A1304" s="1" t="s">
        <v>10</v>
      </c>
      <c r="B1304" s="1" t="s">
        <v>11</v>
      </c>
      <c r="C1304" s="2">
        <v>45743</v>
      </c>
      <c r="D1304">
        <v>190</v>
      </c>
      <c r="E1304">
        <v>196.25</v>
      </c>
      <c r="F1304">
        <v>190</v>
      </c>
      <c r="G1304">
        <v>192.4</v>
      </c>
      <c r="H1304">
        <v>5895</v>
      </c>
      <c r="I1304">
        <v>678.91</v>
      </c>
      <c r="J1304">
        <v>0.31</v>
      </c>
      <c r="K1304">
        <v>192.16249999999999</v>
      </c>
    </row>
    <row r="1305" spans="1:11" x14ac:dyDescent="0.25">
      <c r="A1305" s="1" t="s">
        <v>10</v>
      </c>
      <c r="B1305" s="1" t="s">
        <v>11</v>
      </c>
      <c r="C1305" s="2">
        <v>45744</v>
      </c>
      <c r="D1305">
        <v>196.25</v>
      </c>
      <c r="E1305">
        <v>201.95</v>
      </c>
      <c r="F1305">
        <v>190</v>
      </c>
      <c r="G1305">
        <v>191.5</v>
      </c>
      <c r="H1305">
        <v>10017</v>
      </c>
      <c r="I1305">
        <v>675.74</v>
      </c>
      <c r="J1305">
        <v>0.31</v>
      </c>
      <c r="K1305">
        <v>194.92500000000001</v>
      </c>
    </row>
    <row r="1306" spans="1:11" x14ac:dyDescent="0.25">
      <c r="A1306" s="1" t="s">
        <v>10</v>
      </c>
      <c r="B1306" s="1" t="s">
        <v>11</v>
      </c>
      <c r="C1306" s="2">
        <v>45748</v>
      </c>
      <c r="D1306">
        <v>174.55</v>
      </c>
      <c r="E1306">
        <v>211</v>
      </c>
      <c r="F1306">
        <v>174.55</v>
      </c>
      <c r="G1306">
        <v>207.6</v>
      </c>
      <c r="H1306">
        <v>35672</v>
      </c>
      <c r="I1306">
        <v>732.55</v>
      </c>
      <c r="J1306">
        <v>0.31</v>
      </c>
      <c r="K1306">
        <v>191.92500000000001</v>
      </c>
    </row>
    <row r="1307" spans="1:11" x14ac:dyDescent="0.25">
      <c r="A1307" s="1" t="s">
        <v>10</v>
      </c>
      <c r="B1307" s="1" t="s">
        <v>11</v>
      </c>
      <c r="C1307" s="2">
        <v>45749</v>
      </c>
      <c r="D1307">
        <v>207.75</v>
      </c>
      <c r="E1307">
        <v>209.35</v>
      </c>
      <c r="F1307">
        <v>201.35</v>
      </c>
      <c r="G1307">
        <v>207.05</v>
      </c>
      <c r="H1307">
        <v>18888</v>
      </c>
      <c r="I1307">
        <v>730.61</v>
      </c>
      <c r="J1307">
        <v>0.31</v>
      </c>
      <c r="K1307">
        <v>206.375</v>
      </c>
    </row>
    <row r="1308" spans="1:11" x14ac:dyDescent="0.25">
      <c r="A1308" s="1" t="s">
        <v>10</v>
      </c>
      <c r="B1308" s="1" t="s">
        <v>11</v>
      </c>
      <c r="C1308" s="2">
        <v>45750</v>
      </c>
      <c r="D1308">
        <v>214.95</v>
      </c>
      <c r="E1308">
        <v>214.95</v>
      </c>
      <c r="F1308">
        <v>204.65</v>
      </c>
      <c r="G1308">
        <v>207.5</v>
      </c>
      <c r="H1308">
        <v>9310</v>
      </c>
      <c r="I1308">
        <v>732.19</v>
      </c>
      <c r="J1308">
        <v>0.31</v>
      </c>
      <c r="K1308">
        <v>210.51249999999999</v>
      </c>
    </row>
    <row r="1309" spans="1:11" x14ac:dyDescent="0.25">
      <c r="A1309" s="1" t="s">
        <v>10</v>
      </c>
      <c r="B1309" s="1" t="s">
        <v>11</v>
      </c>
      <c r="C1309" s="2">
        <v>45751</v>
      </c>
      <c r="D1309">
        <v>204</v>
      </c>
      <c r="E1309">
        <v>204</v>
      </c>
      <c r="F1309">
        <v>192</v>
      </c>
      <c r="G1309">
        <v>198.9</v>
      </c>
      <c r="H1309">
        <v>24003</v>
      </c>
      <c r="I1309">
        <v>701.85</v>
      </c>
      <c r="J1309">
        <v>0.31</v>
      </c>
      <c r="K1309">
        <v>199.72499999999999</v>
      </c>
    </row>
    <row r="1310" spans="1:11" x14ac:dyDescent="0.25">
      <c r="A1310" s="1" t="s">
        <v>10</v>
      </c>
      <c r="B1310" s="1" t="s">
        <v>11</v>
      </c>
      <c r="C1310" s="2">
        <v>45754</v>
      </c>
      <c r="D1310">
        <v>160.05000000000001</v>
      </c>
      <c r="E1310">
        <v>193.95</v>
      </c>
      <c r="F1310">
        <v>160.05000000000001</v>
      </c>
      <c r="G1310">
        <v>190.4</v>
      </c>
      <c r="H1310">
        <v>49869</v>
      </c>
      <c r="I1310">
        <v>671.86</v>
      </c>
      <c r="J1310">
        <v>0.31</v>
      </c>
      <c r="K1310">
        <v>176.11250000000001</v>
      </c>
    </row>
    <row r="1311" spans="1:11" x14ac:dyDescent="0.25">
      <c r="A1311" s="1" t="s">
        <v>10</v>
      </c>
      <c r="B1311" s="1" t="s">
        <v>11</v>
      </c>
      <c r="C1311" s="2">
        <v>45755</v>
      </c>
      <c r="D1311">
        <v>193.05</v>
      </c>
      <c r="E1311">
        <v>199.1</v>
      </c>
      <c r="F1311">
        <v>187.05</v>
      </c>
      <c r="G1311">
        <v>190.85</v>
      </c>
      <c r="H1311">
        <v>13976</v>
      </c>
      <c r="I1311">
        <v>673.44</v>
      </c>
      <c r="J1311">
        <v>0.31</v>
      </c>
      <c r="K1311">
        <v>192.51249999999999</v>
      </c>
    </row>
    <row r="1312" spans="1:11" x14ac:dyDescent="0.25">
      <c r="A1312" s="1" t="s">
        <v>10</v>
      </c>
      <c r="B1312" s="1" t="s">
        <v>11</v>
      </c>
      <c r="C1312" s="2">
        <v>45756</v>
      </c>
      <c r="D1312">
        <v>187</v>
      </c>
      <c r="E1312">
        <v>192</v>
      </c>
      <c r="F1312">
        <v>186</v>
      </c>
      <c r="G1312">
        <v>190.75</v>
      </c>
      <c r="H1312">
        <v>2078</v>
      </c>
      <c r="I1312">
        <v>673.09</v>
      </c>
      <c r="J1312">
        <v>0.31</v>
      </c>
      <c r="K1312">
        <v>188.9375</v>
      </c>
    </row>
    <row r="1313" spans="1:11" x14ac:dyDescent="0.25">
      <c r="A1313" s="1" t="s">
        <v>10</v>
      </c>
      <c r="B1313" s="1" t="s">
        <v>11</v>
      </c>
      <c r="C1313" s="2">
        <v>45758</v>
      </c>
      <c r="D1313">
        <v>194.6</v>
      </c>
      <c r="E1313">
        <v>197</v>
      </c>
      <c r="F1313">
        <v>191.7</v>
      </c>
      <c r="G1313">
        <v>195.1</v>
      </c>
      <c r="H1313">
        <v>6689</v>
      </c>
      <c r="I1313">
        <v>688.44</v>
      </c>
      <c r="J1313">
        <v>0.31</v>
      </c>
      <c r="K1313">
        <v>194.6</v>
      </c>
    </row>
    <row r="1314" spans="1:11" x14ac:dyDescent="0.25">
      <c r="A1314" s="1" t="s">
        <v>10</v>
      </c>
      <c r="B1314" s="1" t="s">
        <v>11</v>
      </c>
      <c r="C1314" s="2">
        <v>45762</v>
      </c>
      <c r="D1314">
        <v>200.95</v>
      </c>
      <c r="E1314">
        <v>207</v>
      </c>
      <c r="F1314">
        <v>198.75</v>
      </c>
      <c r="G1314">
        <v>205.5</v>
      </c>
      <c r="H1314">
        <v>4087</v>
      </c>
      <c r="I1314">
        <v>725.14</v>
      </c>
      <c r="J1314">
        <v>0.31</v>
      </c>
      <c r="K1314">
        <v>203.05</v>
      </c>
    </row>
    <row r="1315" spans="1:11" x14ac:dyDescent="0.25">
      <c r="A1315" s="1" t="s">
        <v>10</v>
      </c>
      <c r="B1315" s="1" t="s">
        <v>11</v>
      </c>
      <c r="C1315" s="2">
        <v>45763</v>
      </c>
      <c r="D1315">
        <v>206.75</v>
      </c>
      <c r="E1315">
        <v>208</v>
      </c>
      <c r="F1315">
        <v>204.8</v>
      </c>
      <c r="G1315">
        <v>206</v>
      </c>
      <c r="H1315">
        <v>10655</v>
      </c>
      <c r="I1315">
        <v>726.9</v>
      </c>
      <c r="J1315">
        <v>0.31</v>
      </c>
      <c r="K1315">
        <v>206.38749999999999</v>
      </c>
    </row>
    <row r="1316" spans="1:11" x14ac:dyDescent="0.25">
      <c r="A1316" s="1" t="s">
        <v>10</v>
      </c>
      <c r="B1316" s="1" t="s">
        <v>11</v>
      </c>
      <c r="C1316" s="2">
        <v>45764</v>
      </c>
      <c r="D1316">
        <v>210</v>
      </c>
      <c r="E1316">
        <v>224.75</v>
      </c>
      <c r="F1316">
        <v>205.7</v>
      </c>
      <c r="G1316">
        <v>218.75</v>
      </c>
      <c r="H1316">
        <v>17821</v>
      </c>
      <c r="I1316">
        <v>771.89</v>
      </c>
      <c r="J1316">
        <v>0.31</v>
      </c>
      <c r="K1316">
        <v>214.8</v>
      </c>
    </row>
    <row r="1317" spans="1:11" x14ac:dyDescent="0.25">
      <c r="A1317" s="1" t="s">
        <v>10</v>
      </c>
      <c r="B1317" s="1" t="s">
        <v>11</v>
      </c>
      <c r="C1317" s="2">
        <v>45768</v>
      </c>
      <c r="D1317">
        <v>221.35</v>
      </c>
      <c r="E1317">
        <v>222.35</v>
      </c>
      <c r="F1317">
        <v>216.2</v>
      </c>
      <c r="G1317">
        <v>217.85</v>
      </c>
      <c r="H1317">
        <v>15197</v>
      </c>
      <c r="I1317">
        <v>768.72</v>
      </c>
      <c r="J1317">
        <v>0.31</v>
      </c>
      <c r="K1317">
        <v>219.4375</v>
      </c>
    </row>
    <row r="1318" spans="1:11" x14ac:dyDescent="0.25">
      <c r="A1318" s="1" t="s">
        <v>10</v>
      </c>
      <c r="B1318" s="1" t="s">
        <v>11</v>
      </c>
      <c r="C1318" s="2">
        <v>45769</v>
      </c>
      <c r="D1318">
        <v>217.85</v>
      </c>
      <c r="E1318">
        <v>232.3</v>
      </c>
      <c r="F1318">
        <v>217.05</v>
      </c>
      <c r="G1318">
        <v>229.2</v>
      </c>
      <c r="H1318">
        <v>18498</v>
      </c>
      <c r="I1318">
        <v>808.77</v>
      </c>
      <c r="J1318">
        <v>0.31</v>
      </c>
      <c r="K1318">
        <v>224.1</v>
      </c>
    </row>
    <row r="1319" spans="1:11" x14ac:dyDescent="0.25">
      <c r="A1319" s="1" t="s">
        <v>10</v>
      </c>
      <c r="B1319" s="1" t="s">
        <v>11</v>
      </c>
      <c r="C1319" s="2">
        <v>45770</v>
      </c>
      <c r="D1319">
        <v>233.8</v>
      </c>
      <c r="E1319">
        <v>235.15</v>
      </c>
      <c r="F1319">
        <v>225</v>
      </c>
      <c r="G1319">
        <v>228.35</v>
      </c>
      <c r="H1319">
        <v>28359</v>
      </c>
      <c r="I1319">
        <v>805.77</v>
      </c>
      <c r="J1319">
        <v>0.31</v>
      </c>
      <c r="K1319">
        <v>230.57499999999999</v>
      </c>
    </row>
    <row r="1320" spans="1:11" x14ac:dyDescent="0.25">
      <c r="A1320" s="1" t="s">
        <v>10</v>
      </c>
      <c r="B1320" s="1" t="s">
        <v>11</v>
      </c>
      <c r="C1320" s="2">
        <v>45771</v>
      </c>
      <c r="D1320">
        <v>220.5</v>
      </c>
      <c r="E1320">
        <v>235.25</v>
      </c>
      <c r="F1320">
        <v>220.5</v>
      </c>
      <c r="G1320">
        <v>230.7</v>
      </c>
      <c r="H1320">
        <v>27572</v>
      </c>
      <c r="I1320">
        <v>814.06</v>
      </c>
      <c r="J1320">
        <v>0.31</v>
      </c>
      <c r="K1320">
        <v>226.73750000000001</v>
      </c>
    </row>
    <row r="1321" spans="1:11" x14ac:dyDescent="0.25">
      <c r="A1321" s="1" t="s">
        <v>10</v>
      </c>
      <c r="B1321" s="1" t="s">
        <v>11</v>
      </c>
      <c r="C1321" s="2">
        <v>45772</v>
      </c>
      <c r="D1321">
        <v>229.5</v>
      </c>
      <c r="E1321">
        <v>229.55</v>
      </c>
      <c r="F1321">
        <v>217.5</v>
      </c>
      <c r="G1321">
        <v>219.2</v>
      </c>
      <c r="H1321">
        <v>17220</v>
      </c>
      <c r="I1321">
        <v>773.48</v>
      </c>
      <c r="J1321">
        <v>0.31</v>
      </c>
      <c r="K1321">
        <v>223.9375</v>
      </c>
    </row>
    <row r="1322" spans="1:11" x14ac:dyDescent="0.25">
      <c r="A1322" s="1" t="s">
        <v>10</v>
      </c>
      <c r="B1322" s="1" t="s">
        <v>11</v>
      </c>
      <c r="C1322" s="2">
        <v>45775</v>
      </c>
      <c r="D1322">
        <v>219.25</v>
      </c>
      <c r="E1322">
        <v>224.65</v>
      </c>
      <c r="F1322">
        <v>214.35</v>
      </c>
      <c r="G1322">
        <v>220.65</v>
      </c>
      <c r="H1322">
        <v>22984</v>
      </c>
      <c r="I1322">
        <v>778.6</v>
      </c>
      <c r="J1322">
        <v>0.31</v>
      </c>
      <c r="K1322">
        <v>219.72499999999999</v>
      </c>
    </row>
    <row r="1323" spans="1:11" x14ac:dyDescent="0.25">
      <c r="A1323" s="1" t="s">
        <v>10</v>
      </c>
      <c r="B1323" s="1" t="s">
        <v>11</v>
      </c>
      <c r="C1323" s="2">
        <v>45776</v>
      </c>
      <c r="D1323">
        <v>223.45</v>
      </c>
      <c r="E1323">
        <v>229.8</v>
      </c>
      <c r="F1323">
        <v>216.6</v>
      </c>
      <c r="G1323">
        <v>222.15</v>
      </c>
      <c r="H1323">
        <v>26962</v>
      </c>
      <c r="I1323">
        <v>783.89</v>
      </c>
      <c r="J1323">
        <v>0.31</v>
      </c>
      <c r="K1323">
        <v>223</v>
      </c>
    </row>
    <row r="1324" spans="1:11" x14ac:dyDescent="0.25">
      <c r="A1324" s="1" t="s">
        <v>10</v>
      </c>
      <c r="B1324" s="1" t="s">
        <v>11</v>
      </c>
      <c r="C1324" s="2">
        <v>45777</v>
      </c>
      <c r="D1324">
        <v>223.5</v>
      </c>
      <c r="E1324">
        <v>223.5</v>
      </c>
      <c r="F1324">
        <v>209.2</v>
      </c>
      <c r="G1324">
        <v>210.75</v>
      </c>
      <c r="H1324">
        <v>10737</v>
      </c>
      <c r="I1324">
        <v>743.66</v>
      </c>
      <c r="J1324">
        <v>0.31</v>
      </c>
      <c r="K1324">
        <v>216.73750000000001</v>
      </c>
    </row>
    <row r="1325" spans="1:11" x14ac:dyDescent="0.25">
      <c r="A1325" s="1" t="s">
        <v>10</v>
      </c>
      <c r="B1325" s="1" t="s">
        <v>11</v>
      </c>
      <c r="C1325" s="2">
        <v>45779</v>
      </c>
      <c r="D1325">
        <v>210</v>
      </c>
      <c r="E1325">
        <v>215.85</v>
      </c>
      <c r="F1325">
        <v>207.25</v>
      </c>
      <c r="G1325">
        <v>208.45</v>
      </c>
      <c r="H1325">
        <v>18909</v>
      </c>
      <c r="I1325">
        <v>735.55</v>
      </c>
      <c r="J1325">
        <v>0.31</v>
      </c>
      <c r="K1325">
        <v>210.38749999999999</v>
      </c>
    </row>
    <row r="1326" spans="1:11" x14ac:dyDescent="0.25">
      <c r="A1326" s="1" t="s">
        <v>10</v>
      </c>
      <c r="B1326" s="1" t="s">
        <v>11</v>
      </c>
      <c r="C1326" s="2">
        <v>45782</v>
      </c>
      <c r="D1326">
        <v>214.6</v>
      </c>
      <c r="E1326">
        <v>221.8</v>
      </c>
      <c r="F1326">
        <v>208.3</v>
      </c>
      <c r="G1326">
        <v>217.05</v>
      </c>
      <c r="H1326">
        <v>7582</v>
      </c>
      <c r="I1326">
        <v>765.89</v>
      </c>
      <c r="J1326">
        <v>0.31</v>
      </c>
      <c r="K1326">
        <v>215.4375</v>
      </c>
    </row>
    <row r="1327" spans="1:11" x14ac:dyDescent="0.25">
      <c r="A1327" s="1" t="s">
        <v>10</v>
      </c>
      <c r="B1327" s="1" t="s">
        <v>11</v>
      </c>
      <c r="C1327" s="2">
        <v>45783</v>
      </c>
      <c r="D1327">
        <v>225</v>
      </c>
      <c r="E1327">
        <v>225</v>
      </c>
      <c r="F1327">
        <v>211</v>
      </c>
      <c r="G1327">
        <v>212</v>
      </c>
      <c r="H1327">
        <v>14338</v>
      </c>
      <c r="I1327">
        <v>748.07</v>
      </c>
      <c r="J1327">
        <v>0.31</v>
      </c>
      <c r="K1327">
        <v>218.25</v>
      </c>
    </row>
    <row r="1328" spans="1:11" x14ac:dyDescent="0.25">
      <c r="A1328" s="1" t="s">
        <v>10</v>
      </c>
      <c r="B1328" s="1" t="s">
        <v>11</v>
      </c>
      <c r="C1328" s="2">
        <v>45784</v>
      </c>
      <c r="D1328">
        <v>221.2</v>
      </c>
      <c r="E1328">
        <v>221.2</v>
      </c>
      <c r="F1328">
        <v>209.2</v>
      </c>
      <c r="G1328">
        <v>215.7</v>
      </c>
      <c r="H1328">
        <v>13737</v>
      </c>
      <c r="I1328">
        <v>761.13</v>
      </c>
      <c r="J1328">
        <v>0.31</v>
      </c>
      <c r="K1328">
        <v>216.82499999999999</v>
      </c>
    </row>
    <row r="1329" spans="1:11" x14ac:dyDescent="0.25">
      <c r="A1329" s="1" t="s">
        <v>10</v>
      </c>
      <c r="B1329" s="1" t="s">
        <v>11</v>
      </c>
      <c r="C1329" s="2">
        <v>45785</v>
      </c>
      <c r="D1329">
        <v>220.95</v>
      </c>
      <c r="E1329">
        <v>220.95</v>
      </c>
      <c r="F1329">
        <v>206.45</v>
      </c>
      <c r="G1329">
        <v>208.65</v>
      </c>
      <c r="H1329">
        <v>13124</v>
      </c>
      <c r="I1329">
        <v>736.25</v>
      </c>
      <c r="J1329">
        <v>0.31</v>
      </c>
      <c r="K1329">
        <v>214.25</v>
      </c>
    </row>
    <row r="1330" spans="1:11" x14ac:dyDescent="0.25">
      <c r="A1330" s="1" t="s">
        <v>10</v>
      </c>
      <c r="B1330" s="1" t="s">
        <v>11</v>
      </c>
      <c r="C1330" s="2">
        <v>45786</v>
      </c>
      <c r="D1330">
        <v>201.75</v>
      </c>
      <c r="E1330">
        <v>220.75</v>
      </c>
      <c r="F1330">
        <v>201.75</v>
      </c>
      <c r="G1330">
        <v>214.9</v>
      </c>
      <c r="H1330">
        <v>14519</v>
      </c>
      <c r="I1330">
        <v>758.31</v>
      </c>
      <c r="J1330">
        <v>0.31</v>
      </c>
      <c r="K1330">
        <v>209.78749999999999</v>
      </c>
    </row>
    <row r="1331" spans="1:11" x14ac:dyDescent="0.25">
      <c r="A1331" s="1" t="s">
        <v>10</v>
      </c>
      <c r="B1331" s="1" t="s">
        <v>11</v>
      </c>
      <c r="C1331" s="2">
        <v>45789</v>
      </c>
      <c r="D1331">
        <v>229.85</v>
      </c>
      <c r="E1331">
        <v>233.65</v>
      </c>
      <c r="F1331">
        <v>221.6</v>
      </c>
      <c r="G1331">
        <v>225.8</v>
      </c>
      <c r="H1331">
        <v>17480</v>
      </c>
      <c r="I1331">
        <v>796.77</v>
      </c>
      <c r="J1331">
        <v>0.31</v>
      </c>
      <c r="K1331">
        <v>227.72499999999999</v>
      </c>
    </row>
    <row r="1332" spans="1:11" x14ac:dyDescent="0.25">
      <c r="A1332" s="1" t="s">
        <v>10</v>
      </c>
      <c r="B1332" s="1" t="s">
        <v>11</v>
      </c>
      <c r="C1332" s="2">
        <v>45790</v>
      </c>
      <c r="D1332">
        <v>225</v>
      </c>
      <c r="E1332">
        <v>228.6</v>
      </c>
      <c r="F1332">
        <v>220</v>
      </c>
      <c r="G1332">
        <v>221.05</v>
      </c>
      <c r="H1332">
        <v>5710</v>
      </c>
      <c r="I1332">
        <v>780.01</v>
      </c>
      <c r="J1332">
        <v>0.31</v>
      </c>
      <c r="K1332">
        <v>223.66249999999999</v>
      </c>
    </row>
    <row r="1333" spans="1:11" x14ac:dyDescent="0.25">
      <c r="A1333" s="1" t="s">
        <v>10</v>
      </c>
      <c r="B1333" s="1" t="s">
        <v>11</v>
      </c>
      <c r="C1333" s="2">
        <v>45791</v>
      </c>
      <c r="D1333">
        <v>225</v>
      </c>
      <c r="E1333">
        <v>225.5</v>
      </c>
      <c r="F1333">
        <v>219.2</v>
      </c>
      <c r="G1333">
        <v>220.85</v>
      </c>
      <c r="H1333">
        <v>4342</v>
      </c>
      <c r="I1333">
        <v>779.3</v>
      </c>
      <c r="J1333">
        <v>0.31</v>
      </c>
      <c r="K1333">
        <v>222.63749999999999</v>
      </c>
    </row>
    <row r="1334" spans="1:11" x14ac:dyDescent="0.25">
      <c r="A1334" s="1" t="s">
        <v>10</v>
      </c>
      <c r="B1334" s="1" t="s">
        <v>11</v>
      </c>
      <c r="C1334" s="2">
        <v>45792</v>
      </c>
      <c r="D1334">
        <v>220.85</v>
      </c>
      <c r="E1334">
        <v>224.9</v>
      </c>
      <c r="F1334">
        <v>220.85</v>
      </c>
      <c r="G1334">
        <v>224</v>
      </c>
      <c r="H1334">
        <v>9975</v>
      </c>
      <c r="I1334">
        <v>790.42</v>
      </c>
      <c r="J1334">
        <v>0.31</v>
      </c>
      <c r="K1334">
        <v>222.65</v>
      </c>
    </row>
    <row r="1335" spans="1:11" x14ac:dyDescent="0.25">
      <c r="A1335" s="1" t="s">
        <v>10</v>
      </c>
      <c r="B1335" s="1" t="s">
        <v>11</v>
      </c>
      <c r="C1335" s="2">
        <v>45793</v>
      </c>
      <c r="D1335">
        <v>225</v>
      </c>
      <c r="E1335">
        <v>225</v>
      </c>
      <c r="F1335">
        <v>220.05</v>
      </c>
      <c r="G1335">
        <v>221.8</v>
      </c>
      <c r="H1335">
        <v>9460</v>
      </c>
      <c r="I1335">
        <v>782.65</v>
      </c>
      <c r="J1335">
        <v>0.31</v>
      </c>
      <c r="K1335">
        <v>222.96250000000001</v>
      </c>
    </row>
    <row r="1336" spans="1:11" x14ac:dyDescent="0.25">
      <c r="A1336" s="1" t="s">
        <v>10</v>
      </c>
      <c r="B1336" s="1" t="s">
        <v>11</v>
      </c>
      <c r="C1336" s="2">
        <v>45796</v>
      </c>
      <c r="D1336">
        <v>227.6</v>
      </c>
      <c r="E1336">
        <v>244.05</v>
      </c>
      <c r="F1336">
        <v>225.95</v>
      </c>
      <c r="G1336">
        <v>239.35</v>
      </c>
      <c r="H1336">
        <v>31327</v>
      </c>
      <c r="I1336">
        <v>844.58</v>
      </c>
      <c r="J1336">
        <v>0.31</v>
      </c>
      <c r="K1336">
        <v>234.23750000000001</v>
      </c>
    </row>
    <row r="1337" spans="1:11" x14ac:dyDescent="0.25">
      <c r="A1337" s="1" t="s">
        <v>10</v>
      </c>
      <c r="B1337" s="1" t="s">
        <v>11</v>
      </c>
      <c r="C1337" s="2">
        <v>45797</v>
      </c>
      <c r="D1337">
        <v>245</v>
      </c>
      <c r="E1337">
        <v>248</v>
      </c>
      <c r="F1337">
        <v>235.2</v>
      </c>
      <c r="G1337">
        <v>235.75</v>
      </c>
      <c r="H1337">
        <v>20513</v>
      </c>
      <c r="I1337">
        <v>831.88</v>
      </c>
      <c r="J1337">
        <v>0.31</v>
      </c>
      <c r="K1337">
        <v>240.98750000000001</v>
      </c>
    </row>
    <row r="1338" spans="1:11" x14ac:dyDescent="0.25">
      <c r="A1338" s="1" t="s">
        <v>10</v>
      </c>
      <c r="B1338" s="1" t="s">
        <v>11</v>
      </c>
      <c r="C1338" s="2">
        <v>45798</v>
      </c>
      <c r="D1338">
        <v>235.25</v>
      </c>
      <c r="E1338">
        <v>237.95</v>
      </c>
      <c r="F1338">
        <v>231.7</v>
      </c>
      <c r="G1338">
        <v>235.2</v>
      </c>
      <c r="H1338">
        <v>7414</v>
      </c>
      <c r="I1338">
        <v>829.94</v>
      </c>
      <c r="J1338">
        <v>0.31</v>
      </c>
      <c r="K1338">
        <v>235.02500000000001</v>
      </c>
    </row>
    <row r="1339" spans="1:11" x14ac:dyDescent="0.25">
      <c r="A1339" s="1" t="s">
        <v>10</v>
      </c>
      <c r="B1339" s="1" t="s">
        <v>11</v>
      </c>
      <c r="C1339" s="2">
        <v>45799</v>
      </c>
      <c r="D1339">
        <v>238.35</v>
      </c>
      <c r="E1339">
        <v>245</v>
      </c>
      <c r="F1339">
        <v>238.35</v>
      </c>
      <c r="G1339">
        <v>242.2</v>
      </c>
      <c r="H1339">
        <v>19464</v>
      </c>
      <c r="I1339">
        <v>854.64</v>
      </c>
      <c r="J1339">
        <v>0.31</v>
      </c>
      <c r="K1339">
        <v>240.97499999999999</v>
      </c>
    </row>
    <row r="1340" spans="1:11" x14ac:dyDescent="0.25">
      <c r="A1340" s="1" t="s">
        <v>10</v>
      </c>
      <c r="B1340" s="1" t="s">
        <v>11</v>
      </c>
      <c r="C1340" s="2">
        <v>45800</v>
      </c>
      <c r="D1340">
        <v>246.7</v>
      </c>
      <c r="E1340">
        <v>247.15</v>
      </c>
      <c r="F1340">
        <v>240.95</v>
      </c>
      <c r="G1340">
        <v>243.05</v>
      </c>
      <c r="H1340">
        <v>10597</v>
      </c>
      <c r="I1340">
        <v>857.64</v>
      </c>
      <c r="J1340">
        <v>0.31</v>
      </c>
      <c r="K1340">
        <v>244.46250000000001</v>
      </c>
    </row>
    <row r="1341" spans="1:11" x14ac:dyDescent="0.25">
      <c r="A1341" s="1" t="s">
        <v>10</v>
      </c>
      <c r="B1341" s="1" t="s">
        <v>11</v>
      </c>
      <c r="C1341" s="2">
        <v>45803</v>
      </c>
      <c r="D1341">
        <v>241.95</v>
      </c>
      <c r="E1341">
        <v>243.85</v>
      </c>
      <c r="F1341">
        <v>235.6</v>
      </c>
      <c r="G1341">
        <v>236.9</v>
      </c>
      <c r="H1341">
        <v>7931</v>
      </c>
      <c r="I1341">
        <v>835.94</v>
      </c>
      <c r="J1341">
        <v>0.31</v>
      </c>
      <c r="K1341">
        <v>239.57499999999999</v>
      </c>
    </row>
    <row r="1342" spans="1:11" x14ac:dyDescent="0.25">
      <c r="A1342" s="1" t="s">
        <v>10</v>
      </c>
      <c r="B1342" s="1" t="s">
        <v>11</v>
      </c>
      <c r="C1342" s="2">
        <v>45804</v>
      </c>
      <c r="D1342">
        <v>239.95</v>
      </c>
      <c r="E1342">
        <v>239.95</v>
      </c>
      <c r="F1342">
        <v>228.55</v>
      </c>
      <c r="G1342">
        <v>233.5</v>
      </c>
      <c r="H1342">
        <v>28399</v>
      </c>
      <c r="I1342">
        <v>823.94</v>
      </c>
      <c r="J1342">
        <v>0.31</v>
      </c>
      <c r="K1342">
        <v>235.48750000000001</v>
      </c>
    </row>
    <row r="1343" spans="1:11" x14ac:dyDescent="0.25">
      <c r="A1343" s="1" t="s">
        <v>10</v>
      </c>
      <c r="B1343" s="1" t="s">
        <v>11</v>
      </c>
      <c r="C1343" s="2">
        <v>45805</v>
      </c>
      <c r="D1343">
        <v>234.15</v>
      </c>
      <c r="E1343">
        <v>237.6</v>
      </c>
      <c r="F1343">
        <v>229.65</v>
      </c>
      <c r="G1343">
        <v>231.1</v>
      </c>
      <c r="H1343">
        <v>6446</v>
      </c>
      <c r="I1343">
        <v>815.47</v>
      </c>
      <c r="J1343">
        <v>0.31</v>
      </c>
      <c r="K1343">
        <v>233.125</v>
      </c>
    </row>
    <row r="1344" spans="1:11" x14ac:dyDescent="0.25">
      <c r="A1344" s="1" t="s">
        <v>10</v>
      </c>
      <c r="B1344" s="1" t="s">
        <v>11</v>
      </c>
      <c r="C1344" s="2">
        <v>45806</v>
      </c>
      <c r="D1344">
        <v>231.1</v>
      </c>
      <c r="E1344">
        <v>231.1</v>
      </c>
      <c r="F1344">
        <v>226</v>
      </c>
      <c r="G1344">
        <v>229.7</v>
      </c>
      <c r="H1344">
        <v>16706</v>
      </c>
      <c r="I1344">
        <v>810.53</v>
      </c>
      <c r="J1344">
        <v>0.31</v>
      </c>
      <c r="K1344">
        <v>229.47499999999999</v>
      </c>
    </row>
    <row r="1345" spans="1:11" x14ac:dyDescent="0.25">
      <c r="A1345" s="1" t="s">
        <v>10</v>
      </c>
      <c r="B1345" s="1" t="s">
        <v>11</v>
      </c>
      <c r="C1345" s="2">
        <v>45807</v>
      </c>
      <c r="D1345">
        <v>229.7</v>
      </c>
      <c r="E1345">
        <v>229.7</v>
      </c>
      <c r="F1345">
        <v>224.65</v>
      </c>
      <c r="G1345">
        <v>225.8</v>
      </c>
      <c r="H1345">
        <v>18840</v>
      </c>
      <c r="I1345">
        <v>796.77</v>
      </c>
      <c r="J1345">
        <v>0.31</v>
      </c>
      <c r="K1345">
        <v>227.46250000000001</v>
      </c>
    </row>
    <row r="1346" spans="1:11" x14ac:dyDescent="0.25">
      <c r="A1346" s="1" t="s">
        <v>10</v>
      </c>
      <c r="B1346" s="1" t="s">
        <v>11</v>
      </c>
      <c r="C1346" s="2">
        <v>45810</v>
      </c>
      <c r="D1346">
        <v>225.45</v>
      </c>
      <c r="E1346">
        <v>225.45</v>
      </c>
      <c r="F1346">
        <v>219</v>
      </c>
      <c r="G1346">
        <v>223.05</v>
      </c>
      <c r="H1346">
        <v>12726</v>
      </c>
      <c r="I1346">
        <v>787.07</v>
      </c>
      <c r="J1346">
        <v>0.31</v>
      </c>
      <c r="K1346">
        <v>223.23750000000001</v>
      </c>
    </row>
    <row r="1347" spans="1:11" x14ac:dyDescent="0.25">
      <c r="A1347" s="1" t="s">
        <v>10</v>
      </c>
      <c r="B1347" s="1" t="s">
        <v>11</v>
      </c>
      <c r="C1347" s="2">
        <v>45811</v>
      </c>
      <c r="D1347">
        <v>222.3</v>
      </c>
      <c r="E1347">
        <v>229.65</v>
      </c>
      <c r="F1347">
        <v>218.05</v>
      </c>
      <c r="G1347">
        <v>219.45</v>
      </c>
      <c r="H1347">
        <v>21631</v>
      </c>
      <c r="I1347">
        <v>774.36</v>
      </c>
      <c r="J1347">
        <v>0.31</v>
      </c>
      <c r="K1347">
        <v>222.36250000000001</v>
      </c>
    </row>
    <row r="1348" spans="1:11" x14ac:dyDescent="0.25">
      <c r="A1348" s="1" t="s">
        <v>10</v>
      </c>
      <c r="B1348" s="1" t="s">
        <v>11</v>
      </c>
      <c r="C1348" s="2">
        <v>45812</v>
      </c>
      <c r="D1348">
        <v>222</v>
      </c>
      <c r="E1348">
        <v>222</v>
      </c>
      <c r="F1348">
        <v>216</v>
      </c>
      <c r="G1348">
        <v>217.25</v>
      </c>
      <c r="H1348">
        <v>7578</v>
      </c>
      <c r="I1348">
        <v>766.6</v>
      </c>
      <c r="J1348">
        <v>0.31</v>
      </c>
      <c r="K1348">
        <v>219.3125</v>
      </c>
    </row>
    <row r="1349" spans="1:11" x14ac:dyDescent="0.25">
      <c r="A1349" s="1" t="s">
        <v>10</v>
      </c>
      <c r="B1349" s="1" t="s">
        <v>11</v>
      </c>
      <c r="C1349" s="2">
        <v>45813</v>
      </c>
      <c r="D1349">
        <v>219.9</v>
      </c>
      <c r="E1349">
        <v>233.2</v>
      </c>
      <c r="F1349">
        <v>219.9</v>
      </c>
      <c r="G1349">
        <v>229.25</v>
      </c>
      <c r="H1349">
        <v>8864</v>
      </c>
      <c r="I1349">
        <v>808.94</v>
      </c>
      <c r="J1349">
        <v>0.31</v>
      </c>
      <c r="K1349">
        <v>225.5625</v>
      </c>
    </row>
    <row r="1350" spans="1:11" x14ac:dyDescent="0.25">
      <c r="A1350" s="1" t="s">
        <v>10</v>
      </c>
      <c r="B1350" s="1" t="s">
        <v>11</v>
      </c>
      <c r="C1350" s="2">
        <v>45814</v>
      </c>
      <c r="D1350">
        <v>231.55</v>
      </c>
      <c r="E1350">
        <v>232.4</v>
      </c>
      <c r="F1350">
        <v>224.95</v>
      </c>
      <c r="G1350">
        <v>228.4</v>
      </c>
      <c r="H1350">
        <v>15385</v>
      </c>
      <c r="I1350">
        <v>805.94</v>
      </c>
      <c r="J1350">
        <v>0.31</v>
      </c>
      <c r="K1350">
        <v>229.32499999999999</v>
      </c>
    </row>
    <row r="1351" spans="1:11" x14ac:dyDescent="0.25">
      <c r="A1351" s="1" t="s">
        <v>10</v>
      </c>
      <c r="B1351" s="1" t="s">
        <v>11</v>
      </c>
      <c r="C1351" s="2">
        <v>45817</v>
      </c>
      <c r="D1351">
        <v>228.55</v>
      </c>
      <c r="E1351">
        <v>235</v>
      </c>
      <c r="F1351">
        <v>226.85</v>
      </c>
      <c r="G1351">
        <v>228.1</v>
      </c>
      <c r="H1351">
        <v>19426</v>
      </c>
      <c r="I1351">
        <v>804.89</v>
      </c>
      <c r="J1351">
        <v>0.31</v>
      </c>
      <c r="K1351">
        <v>229.625</v>
      </c>
    </row>
    <row r="1352" spans="1:11" x14ac:dyDescent="0.25">
      <c r="A1352" s="1" t="s">
        <v>10</v>
      </c>
      <c r="B1352" s="1" t="s">
        <v>11</v>
      </c>
      <c r="C1352" s="2">
        <v>45818</v>
      </c>
      <c r="D1352">
        <v>230.25</v>
      </c>
      <c r="E1352">
        <v>230.25</v>
      </c>
      <c r="F1352">
        <v>223.3</v>
      </c>
      <c r="G1352">
        <v>224.55</v>
      </c>
      <c r="H1352">
        <v>2757</v>
      </c>
      <c r="I1352">
        <v>792.36</v>
      </c>
      <c r="J1352">
        <v>0.31</v>
      </c>
      <c r="K1352">
        <v>227.08750000000001</v>
      </c>
    </row>
    <row r="1353" spans="1:11" x14ac:dyDescent="0.25">
      <c r="A1353" s="1" t="s">
        <v>10</v>
      </c>
      <c r="B1353" s="1" t="s">
        <v>11</v>
      </c>
      <c r="C1353" s="2">
        <v>45819</v>
      </c>
      <c r="D1353">
        <v>228</v>
      </c>
      <c r="E1353">
        <v>239.8</v>
      </c>
      <c r="F1353">
        <v>224.35</v>
      </c>
      <c r="G1353">
        <v>234.1</v>
      </c>
      <c r="H1353">
        <v>44558</v>
      </c>
      <c r="I1353">
        <v>826.06</v>
      </c>
      <c r="J1353">
        <v>0.31</v>
      </c>
      <c r="K1353">
        <v>231.5625</v>
      </c>
    </row>
    <row r="1354" spans="1:11" x14ac:dyDescent="0.25">
      <c r="A1354" s="1" t="s">
        <v>10</v>
      </c>
      <c r="B1354" s="1" t="s">
        <v>11</v>
      </c>
      <c r="C1354" s="2">
        <v>45820</v>
      </c>
      <c r="D1354">
        <v>234.15</v>
      </c>
      <c r="E1354">
        <v>234.2</v>
      </c>
      <c r="F1354">
        <v>226.85</v>
      </c>
      <c r="G1354">
        <v>228</v>
      </c>
      <c r="H1354">
        <v>3546</v>
      </c>
      <c r="I1354">
        <v>804.53</v>
      </c>
      <c r="J1354">
        <v>0.31</v>
      </c>
      <c r="K1354">
        <v>230.8</v>
      </c>
    </row>
    <row r="1355" spans="1:11" x14ac:dyDescent="0.25">
      <c r="A1355" s="1" t="s">
        <v>10</v>
      </c>
      <c r="B1355" s="1" t="s">
        <v>11</v>
      </c>
      <c r="C1355" s="2">
        <v>45821</v>
      </c>
      <c r="D1355">
        <v>224</v>
      </c>
      <c r="E1355">
        <v>227.35</v>
      </c>
      <c r="F1355">
        <v>221.25</v>
      </c>
      <c r="G1355">
        <v>225.2</v>
      </c>
      <c r="H1355">
        <v>5227</v>
      </c>
      <c r="I1355">
        <v>794.65</v>
      </c>
      <c r="J1355">
        <v>0.31</v>
      </c>
      <c r="K1355">
        <v>224.45</v>
      </c>
    </row>
    <row r="1356" spans="1:11" x14ac:dyDescent="0.25">
      <c r="A1356" s="1" t="s">
        <v>10</v>
      </c>
      <c r="B1356" s="1" t="s">
        <v>11</v>
      </c>
      <c r="C1356" s="2">
        <v>45824</v>
      </c>
      <c r="D1356">
        <v>225.25</v>
      </c>
      <c r="E1356">
        <v>247.5</v>
      </c>
      <c r="F1356">
        <v>219.15</v>
      </c>
      <c r="G1356">
        <v>237.5</v>
      </c>
      <c r="H1356">
        <v>24235</v>
      </c>
      <c r="I1356">
        <v>838.05</v>
      </c>
      <c r="J1356">
        <v>0.31</v>
      </c>
      <c r="K1356">
        <v>232.35</v>
      </c>
    </row>
    <row r="1357" spans="1:11" x14ac:dyDescent="0.25">
      <c r="A1357" s="1" t="s">
        <v>10</v>
      </c>
      <c r="B1357" s="1" t="s">
        <v>11</v>
      </c>
      <c r="C1357" s="2">
        <v>45825</v>
      </c>
      <c r="D1357">
        <v>242.15</v>
      </c>
      <c r="E1357">
        <v>244.05</v>
      </c>
      <c r="F1357">
        <v>232.05</v>
      </c>
      <c r="G1357">
        <v>236.55</v>
      </c>
      <c r="H1357">
        <v>25331</v>
      </c>
      <c r="I1357">
        <v>834.7</v>
      </c>
      <c r="J1357">
        <v>0.31</v>
      </c>
      <c r="K1357">
        <v>238.7</v>
      </c>
    </row>
    <row r="1358" spans="1:11" x14ac:dyDescent="0.25">
      <c r="A1358" s="1" t="s">
        <v>10</v>
      </c>
      <c r="B1358" s="1" t="s">
        <v>11</v>
      </c>
      <c r="C1358" s="2">
        <v>45826</v>
      </c>
      <c r="D1358">
        <v>233.85</v>
      </c>
      <c r="E1358">
        <v>237</v>
      </c>
      <c r="F1358">
        <v>231.1</v>
      </c>
      <c r="G1358">
        <v>232.6</v>
      </c>
      <c r="H1358">
        <v>7498</v>
      </c>
      <c r="I1358">
        <v>820.76</v>
      </c>
      <c r="J1358">
        <v>0.31</v>
      </c>
      <c r="K1358">
        <v>233.63749999999999</v>
      </c>
    </row>
    <row r="1359" spans="1:11" x14ac:dyDescent="0.25">
      <c r="A1359" s="1" t="s">
        <v>10</v>
      </c>
      <c r="B1359" s="1" t="s">
        <v>11</v>
      </c>
      <c r="C1359" s="2">
        <v>45827</v>
      </c>
      <c r="D1359">
        <v>234.05</v>
      </c>
      <c r="E1359">
        <v>234.25</v>
      </c>
      <c r="F1359">
        <v>223.95</v>
      </c>
      <c r="G1359">
        <v>224.7</v>
      </c>
      <c r="H1359">
        <v>6944</v>
      </c>
      <c r="I1359">
        <v>792.89</v>
      </c>
      <c r="J1359">
        <v>0.31</v>
      </c>
      <c r="K1359">
        <v>229.23750000000001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Summary</vt:lpstr>
      <vt:lpstr>20M</vt:lpstr>
      <vt:lpstr>Checking single company</vt:lpstr>
      <vt:lpstr>'Checking single company'!_20_Microns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2025-06-20T04:37:35Z</dcterms:created>
  <dcterms:modified xsi:type="dcterms:W3CDTF">2025-06-21T05:54:29Z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2025-06-20T04:40:33Z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d13937c1-7422-4846-930a-2a253b5b11d8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