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402" documentId="8_{948E9FD6-1BC3-4FB0-9619-5F82392E8A61}" xr6:coauthVersionLast="47" xr6:coauthVersionMax="47" xr10:uidLastSave="{89AE2F88-74A6-4B71-BD7D-CF578CCD804E}"/>
  <bookViews>
    <workbookView xWindow="-120" yWindow="-120" windowWidth="20730" windowHeight="11040" xr2:uid="{788E3F2B-50D8-4366-BC7F-BA42D5CF1663}"/>
  </bookViews>
  <sheets>
    <sheet name="Sheet1" sheetId="1" r:id="rId1"/>
  </sheets>
  <functionGroups builtInGroupCount="19">
    <functionGroup name="xlwings"/>
  </functionGroups>
  <definedNames>
    <definedName name="_xlpm.a" hidden="1" xlm="1">#NAME?</definedName>
    <definedName name="_xlpm.b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et_cell_col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arra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color">
          <x14:argumentDescriptions count="1">
            <x14:argumentDescription index="0">Positional argument 1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5" i="1" l="1" a="1"/>
  <c r="E55" i="1" s="1"/>
  <c r="E50" i="1" a="1"/>
  <c r="E50" i="1" s="1"/>
  <c r="E28" i="1" a="1"/>
  <c r="E28" i="1" s="1"/>
  <c r="E48" i="1" a="1"/>
  <c r="E48" i="1" s="1"/>
  <c r="E34" i="1" a="1"/>
  <c r="E34" i="1" s="1"/>
  <c r="E40" i="1" a="1"/>
  <c r="E40" i="1" s="1"/>
  <c r="E12" i="1" a="1"/>
  <c r="E12" i="1" s="1"/>
  <c r="F40" i="1"/>
  <c r="E22" i="1" a="1"/>
  <c r="E22" i="1" s="1"/>
  <c r="E17" i="1" a="1"/>
  <c r="E17" i="1" s="1"/>
  <c r="E7" i="1" a="1"/>
  <c r="E7" i="1" s="1"/>
  <c r="E2" i="1" a="1"/>
  <c r="E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<sst xmlns="http://schemas.openxmlformats.org/spreadsheetml/2006/main" count="15" uniqueCount="15">
  <si>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OR</t>
  </si>
  <si>
    <t>AND</t>
  </si>
  <si>
    <t>XOR</t>
  </si>
  <si>
    <t>Excel native XOR fails on dynamic arrays - returns result of comparison of first set of values only</t>
  </si>
  <si>
    <t>&lt;&lt;&lt; Checking if any of the values satisfy the given condition</t>
  </si>
  <si>
    <t>&lt;&lt;&lt; Checking if all the values satisfy the given condition</t>
  </si>
  <si>
    <t>&lt;&lt;&lt; Excel MAP-LAMBDA combination - Workaround for Logical Operators Applied On Dynamic Arrays. Results match xlwings UDF.</t>
  </si>
  <si>
    <t>XOR: Only one of the conditions should be TRUE. If Both are either TRUE or FALSE, it should return FALSE</t>
  </si>
  <si>
    <t>&lt;&lt;&lt; xlwings UDF because excel native XOR fails (See below) on dynamic arrays while using logical operators like AND, OR, XOR, NOT, etc.)</t>
  </si>
  <si>
    <t>&lt;&lt;&lt; Short Circuit &amp;&amp;  (C Operator missing in both python and excel)</t>
  </si>
  <si>
    <t>&lt;&lt;&lt; Short Circuit || (C Operator missing in both python and excel)</t>
  </si>
  <si>
    <t>Short Circuit &amp;&amp; Operator (C)</t>
  </si>
  <si>
    <t>Short Circuit || Operator (C)</t>
  </si>
  <si>
    <t>&lt;&lt;&lt; Difference between handling of operations on variables in Excel OR and C Short-Circuit operator ||</t>
  </si>
  <si>
    <t>&lt;&lt;&lt; Evaluated 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</si>
</sst>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CD75-757E-49D4-891C-70E8E8725376}">
  <sheetPr codeName="Sheet1"/>
  <dimension ref="A1:G58"/>
  <sheetViews>
    <sheetView tabSelected="1" topLeftCell="A38" workbookViewId="0">
      <selection activeCell="E55" sqref="E55"/>
    </sheetView>
  </sheetViews>
  <sheetFormatPr defaultRowHeight="15" x14ac:dyDescent="0.25"/>
  <sheetData>
    <row r="1" spans="1:6" x14ac:dyDescent="0.25">
      <c r="A1" s="1" t="s">
        <v>0</v>
      </c>
    </row>
    <row r="2" spans="1:6" x14ac:dyDescent="0.25">
      <c r="A2">
        <v>12</v>
      </c>
      <c r="B2">
        <v>45</v>
      </c>
      <c r="C2">
        <v>67</v>
      </c>
      <c r="E2" t="b" cm="1">
        <f t="array" ref="E2">SUM((A2:C4&gt;100)*1)&gt;=1</f>
        <v>1</v>
      </c>
      <c r="F2" t="s">
        <v>4</v>
      </c>
    </row>
    <row r="3" spans="1:6" x14ac:dyDescent="0.25">
      <c r="A3">
        <v>84</v>
      </c>
      <c r="B3">
        <v>102</v>
      </c>
      <c r="C3">
        <v>12</v>
      </c>
    </row>
    <row r="4" spans="1:6" x14ac:dyDescent="0.25">
      <c r="A4">
        <v>34</v>
      </c>
      <c r="B4">
        <v>9</v>
      </c>
      <c r="C4">
        <v>58</v>
      </c>
    </row>
    <row r="6" spans="1:6" x14ac:dyDescent="0.25">
      <c r="A6" s="1" t="s">
        <v>1</v>
      </c>
    </row>
    <row r="7" spans="1:6" x14ac:dyDescent="0.25">
      <c r="A7">
        <v>12</v>
      </c>
      <c r="B7">
        <v>45</v>
      </c>
      <c r="C7">
        <v>67</v>
      </c>
      <c r="E7" t="b" cm="1">
        <f t="array" ref="E7">SUM(((A7:C9&gt;100)*1))=COUNT(A7:C9)</f>
        <v>0</v>
      </c>
      <c r="F7" t="s">
        <v>5</v>
      </c>
    </row>
    <row r="8" spans="1:6" x14ac:dyDescent="0.25">
      <c r="A8">
        <v>84</v>
      </c>
      <c r="B8">
        <v>102</v>
      </c>
      <c r="C8">
        <v>12</v>
      </c>
    </row>
    <row r="9" spans="1:6" x14ac:dyDescent="0.25">
      <c r="A9">
        <v>34</v>
      </c>
      <c r="B9">
        <v>9</v>
      </c>
      <c r="C9">
        <v>58</v>
      </c>
    </row>
    <row r="11" spans="1:6" x14ac:dyDescent="0.25">
      <c r="A11" s="1" t="s">
        <v>2</v>
      </c>
    </row>
    <row r="12" spans="1:6" x14ac:dyDescent="0.25">
      <c r="A12">
        <v>12</v>
      </c>
      <c r="B12">
        <v>45</v>
      </c>
      <c r="E12" t="b" cm="1">
        <f t="array" ref="E12:E15">EXCELXORM(A12:A15,B12:B15,"val1&gt;10","val2&gt;50")</f>
        <v>1</v>
      </c>
      <c r="F12" t="s">
        <v>8</v>
      </c>
    </row>
    <row r="13" spans="1:6" x14ac:dyDescent="0.25">
      <c r="A13">
        <v>84</v>
      </c>
      <c r="B13">
        <v>102</v>
      </c>
      <c r="E13" t="b">
        <v>0</v>
      </c>
      <c r="F13" t="s">
        <v>7</v>
      </c>
    </row>
    <row r="14" spans="1:6" x14ac:dyDescent="0.25">
      <c r="A14">
        <v>34</v>
      </c>
      <c r="B14">
        <v>9</v>
      </c>
      <c r="E14" t="b">
        <v>1</v>
      </c>
    </row>
    <row r="15" spans="1:6" x14ac:dyDescent="0.25">
      <c r="A15">
        <v>5</v>
      </c>
      <c r="B15">
        <v>23</v>
      </c>
      <c r="E15" t="b">
        <v>0</v>
      </c>
    </row>
    <row r="17" spans="1:6" x14ac:dyDescent="0.25">
      <c r="A17">
        <v>12</v>
      </c>
      <c r="B17">
        <v>45</v>
      </c>
      <c r="E17" t="b" cm="1">
        <f t="array" ref="E17">_xlfn.XOR(A17:A20&gt;10,B17:B20&gt;50)</f>
        <v>0</v>
      </c>
      <c r="F17" t="s">
        <v>3</v>
      </c>
    </row>
    <row r="18" spans="1:6" x14ac:dyDescent="0.25">
      <c r="A18">
        <v>84</v>
      </c>
      <c r="B18">
        <v>102</v>
      </c>
    </row>
    <row r="19" spans="1:6" x14ac:dyDescent="0.25">
      <c r="A19">
        <v>34</v>
      </c>
      <c r="B19">
        <v>9</v>
      </c>
    </row>
    <row r="20" spans="1:6" x14ac:dyDescent="0.25">
      <c r="A20">
        <v>5</v>
      </c>
      <c r="B20">
        <v>23</v>
      </c>
    </row>
    <row r="22" spans="1:6" x14ac:dyDescent="0.25">
      <c r="A22">
        <v>12</v>
      </c>
      <c r="B22">
        <v>45</v>
      </c>
      <c r="E22" t="b" cm="1">
        <f t="array" ref="E22:E25">_xlfn.MAP(A22:A25,B22:B25,_xlfn.LAMBDA(_xlpm.a,_xlpm.b,_xlfn.XOR(_xlpm.a&gt;10,_xlpm.b&gt;50)))</f>
        <v>1</v>
      </c>
      <c r="F22" t="s">
        <v>6</v>
      </c>
    </row>
    <row r="23" spans="1:6" x14ac:dyDescent="0.25">
      <c r="A23">
        <v>84</v>
      </c>
      <c r="B23">
        <v>102</v>
      </c>
      <c r="E23" t="b">
        <v>0</v>
      </c>
    </row>
    <row r="24" spans="1:6" x14ac:dyDescent="0.25">
      <c r="A24">
        <v>34</v>
      </c>
      <c r="B24">
        <v>9</v>
      </c>
      <c r="E24" t="b">
        <v>1</v>
      </c>
    </row>
    <row r="25" spans="1:6" x14ac:dyDescent="0.25">
      <c r="A25">
        <v>5</v>
      </c>
      <c r="B25">
        <v>23</v>
      </c>
      <c r="E25" t="b">
        <v>0</v>
      </c>
    </row>
    <row r="27" spans="1:6" x14ac:dyDescent="0.25">
      <c r="A27" s="1" t="s">
        <v>11</v>
      </c>
    </row>
    <row r="28" spans="1:6" x14ac:dyDescent="0.25">
      <c r="A28">
        <v>102</v>
      </c>
      <c r="B28">
        <v>45</v>
      </c>
      <c r="E28" t="b" cm="1">
        <f t="array" ref="E28:E31">short_circuit_simple(A28:A31,B28:B31,"&amp;&amp;","val2 &lt; val1","val2 &gt; constant2",25,30,4)</f>
        <v>1</v>
      </c>
      <c r="F28" t="s">
        <v>9</v>
      </c>
    </row>
    <row r="29" spans="1:6" x14ac:dyDescent="0.25">
      <c r="A29">
        <v>34</v>
      </c>
      <c r="B29">
        <v>45</v>
      </c>
      <c r="E29" t="b">
        <v>0</v>
      </c>
    </row>
    <row r="30" spans="1:6" x14ac:dyDescent="0.25">
      <c r="A30">
        <v>40</v>
      </c>
      <c r="B30">
        <v>35</v>
      </c>
      <c r="E30" t="b">
        <v>1</v>
      </c>
    </row>
    <row r="31" spans="1:6" x14ac:dyDescent="0.25">
      <c r="A31">
        <v>20</v>
      </c>
      <c r="B31">
        <v>23</v>
      </c>
      <c r="E31" t="b">
        <v>0</v>
      </c>
    </row>
    <row r="33" spans="1:7" x14ac:dyDescent="0.25">
      <c r="A33" s="1" t="s">
        <v>12</v>
      </c>
    </row>
    <row r="34" spans="1:7" x14ac:dyDescent="0.25">
      <c r="A34">
        <v>102</v>
      </c>
      <c r="B34">
        <v>45</v>
      </c>
      <c r="E34" t="b" cm="1">
        <f t="array" ref="E34:E37">short_circuit_simple(A34:A37,B34:B37,"||","val2 &gt; val1","val2 &gt; constant2",25,50,4)</f>
        <v>0</v>
      </c>
      <c r="F34" t="s">
        <v>10</v>
      </c>
    </row>
    <row r="35" spans="1:7" x14ac:dyDescent="0.25">
      <c r="A35">
        <v>34</v>
      </c>
      <c r="B35">
        <v>45</v>
      </c>
      <c r="E35" t="b">
        <v>1</v>
      </c>
    </row>
    <row r="36" spans="1:7" x14ac:dyDescent="0.25">
      <c r="A36">
        <v>13</v>
      </c>
      <c r="B36">
        <v>9</v>
      </c>
      <c r="E36" t="b">
        <v>0</v>
      </c>
    </row>
    <row r="37" spans="1:7" x14ac:dyDescent="0.25">
      <c r="A37">
        <v>20</v>
      </c>
      <c r="B37">
        <v>23</v>
      </c>
      <c r="E37" t="b">
        <v>1</v>
      </c>
    </row>
    <row r="40" spans="1:7" x14ac:dyDescent="0.25">
      <c r="A40">
        <v>102</v>
      </c>
      <c r="B40">
        <v>45</v>
      </c>
      <c r="E40" t="b" cm="1">
        <f t="array" ref="E40">Short_Circuit(A40,B40, "||", "/", 0, 0, "&gt;", 1, 25, 4)</f>
        <v>1</v>
      </c>
      <c r="F40" t="e">
        <f>OR(A40/0,B40&gt;25)</f>
        <v>#DIV/0!</v>
      </c>
      <c r="G40" t="s">
        <v>13</v>
      </c>
    </row>
    <row r="48" spans="1:7" x14ac:dyDescent="0.25">
      <c r="A48">
        <v>102</v>
      </c>
      <c r="B48">
        <v>45</v>
      </c>
      <c r="E48" t="b" cm="1">
        <f t="array" ref="E48">short_circuit_simple(A48,B48,"&amp;&amp;","val1 &lt; val2","val1 &gt; constant1",100,50,1)</f>
        <v>0</v>
      </c>
      <c r="F48" t="s">
        <v>14</v>
      </c>
    </row>
    <row r="50" spans="1:5" x14ac:dyDescent="0.25">
      <c r="A50">
        <v>102</v>
      </c>
      <c r="B50">
        <v>45</v>
      </c>
      <c r="E50" t="b" cm="1">
        <f t="array" ref="E50:E53">short_circuit_simple(A50:A53,B50:B53,"||","val2 &gt; val1","constant2 &lt; val2",25,50,4)</f>
        <v>0</v>
      </c>
    </row>
    <row r="51" spans="1:5" x14ac:dyDescent="0.25">
      <c r="A51">
        <v>34</v>
      </c>
      <c r="B51">
        <v>45</v>
      </c>
      <c r="E51" t="b">
        <v>1</v>
      </c>
    </row>
    <row r="52" spans="1:5" x14ac:dyDescent="0.25">
      <c r="A52">
        <v>13</v>
      </c>
      <c r="B52">
        <v>9</v>
      </c>
      <c r="E52" t="b">
        <v>0</v>
      </c>
    </row>
    <row r="53" spans="1:5" x14ac:dyDescent="0.25">
      <c r="A53">
        <v>20</v>
      </c>
      <c r="B53">
        <v>23</v>
      </c>
      <c r="E53" t="b">
        <v>1</v>
      </c>
    </row>
    <row r="55" spans="1:5" x14ac:dyDescent="0.25">
      <c r="A55">
        <v>102</v>
      </c>
      <c r="B55">
        <v>45</v>
      </c>
      <c r="E55" t="b" cm="1">
        <f t="array" ref="E55:E58">short_circuit_simple(A55:A58,B55:B58,"||","val2 &gt; constant2","constant1 &lt; val1",25,30,4)</f>
        <v>1</v>
      </c>
    </row>
    <row r="56" spans="1:5" x14ac:dyDescent="0.25">
      <c r="A56">
        <v>34</v>
      </c>
      <c r="B56">
        <v>45</v>
      </c>
      <c r="E56" t="b">
        <v>1</v>
      </c>
    </row>
    <row r="57" spans="1:5" x14ac:dyDescent="0.25">
      <c r="A57">
        <v>13</v>
      </c>
      <c r="B57">
        <v>9</v>
      </c>
      <c r="E57" t="b">
        <v>0</v>
      </c>
    </row>
    <row r="58" spans="1:5" x14ac:dyDescent="0.25">
      <c r="A58">
        <v>20</v>
      </c>
      <c r="B58">
        <v>23</v>
      </c>
      <c r="E58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2024-10-01T10:26:49Z</dcterms:created>
  <dcterms:modified xsi:type="dcterms:W3CDTF">2024-10-07T11:58:56Z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2024-10-01T10:28:22Z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bc0b6886-1af3-4ca4-a685-1ce4679d516c</vt:lpwstr>
  </property>
  <property fmtid="{D5CDD505-2E9C-101B-9397-08002B2CF9AE}" pid="8" name="MSIP_Label_defa4170-0d19-0005-0004-bc88714345d2_ContentBits">
    <vt:lpwstr>0</vt:lpwstr>
  </property>
</Properties>
</file>