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34" documentId="8_{558DD540-200D-47CC-89E0-C14C2C41B862}" xr6:coauthVersionLast="47" xr6:coauthVersionMax="47" xr10:uidLastSave="{8A97EB71-D815-45C6-9D3D-7800194F080F}"/>
  <bookViews>
    <workbookView xWindow="-120" yWindow="-120" windowWidth="20730" windowHeight="11040" xr2:uid="{7D253872-4A3B-45EB-8AB8-9E6EE431C355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cess_pandas_numba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_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dd\/mm\/yyyy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43" fontId="0" fillId="0" borderId="0" xfId="1" applyFont="1" applyAlignment="1">
      <alignment vertical="top"/>
    </xf>
    <xf numFmtId="0" fontId="0" fillId="0" borderId="0" xfId="0" applyAlignment="1">
      <alignment horizontal="center" vertical="top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4C831-0117-401A-A2F7-A9B5761EB519}">
  <sheetPr codeName="Sheet1"/>
  <dimension ref="A1:H27"/>
  <sheetViews>
    <sheetView tabSelected="1" workbookViewId="0">
      <selection activeCell="B1" sqref="B1:B1048576"/>
    </sheetView>
  </sheetViews>
  <sheetFormatPr defaultRowHeight="15" x14ac:dyDescent="0.25"/>
  <cols>
    <col min="1" max="1" width="10.7109375" style="1" bestFit="1" customWidth="1"/>
    <col min="2" max="2" width="69.7109375" style="1" bestFit="1" customWidth="1"/>
    <col min="3" max="3" width="47.5703125" style="2" bestFit="1" customWidth="1"/>
    <col min="4" max="4" width="12.5703125" style="3" bestFit="1" customWidth="1"/>
    <col min="5" max="5" width="23.28515625" style="1" customWidth="1"/>
    <col min="6" max="6" width="26" style="1" customWidth="1"/>
    <col min="7" max="7" width="18.85546875" style="1" customWidth="1"/>
    <col min="8" max="8" width="9.140625" style="4"/>
    <col min="9" max="9" width="29" style="1" customWidth="1"/>
    <col min="10" max="16384" width="9.140625" style="1"/>
  </cols>
  <sheetData>
    <row r="1" spans="1:4" x14ac:dyDescent="0.25">
      <c r="A1" s="1" t="str" cm="1">
        <f t="array" ref="A1:D27">process_pandas("D:\\Carvart\\OneDrive - Carvart\\transaction_data.csv")</f>
        <v>Type</v>
      </c>
      <c r="B1" s="1" t="str">
        <v>Project: ID</v>
      </c>
      <c r="C1" s="2" t="str">
        <v>Account</v>
      </c>
      <c r="D1" s="3" t="str">
        <v>Amt</v>
      </c>
    </row>
    <row r="2" spans="1:4" x14ac:dyDescent="0.25">
      <c r="A2" s="1" t="str">
        <v>Bill</v>
      </c>
      <c r="B2" s="1" t="str">
        <v>32075 - Waldorf Astoria - Hotel - Lower Podium Ornamental Metal Railings 8F</v>
      </c>
      <c r="C2" s="2" t="str">
        <v>Total Costs : RG Materials</v>
      </c>
      <c r="D2" s="3">
        <v>-385010.2</v>
      </c>
    </row>
    <row r="3" spans="1:4" x14ac:dyDescent="0.25">
      <c r="A3" s="1" t="str">
        <v>Bill</v>
      </c>
      <c r="B3" s="1" t="str">
        <v>32075 - Waldorf Astoria - Hotel - Lower Podium Ornamental Metal Railings 8F</v>
      </c>
      <c r="C3" s="2" t="str">
        <v>Supplier Advances</v>
      </c>
      <c r="D3" s="3">
        <v>-288450.5</v>
      </c>
    </row>
    <row r="4" spans="1:4" x14ac:dyDescent="0.25">
      <c r="A4" s="1" t="str">
        <v>Bill</v>
      </c>
      <c r="B4" s="1" t="str">
        <v>32075 - Waldorf Astoria - Hotel - Lower Podium Ornamental Metal Railings 8F</v>
      </c>
      <c r="C4" s="2" t="str">
        <v>Total Costs : Furnish &amp; Install</v>
      </c>
      <c r="D4" s="3">
        <v>-63950</v>
      </c>
    </row>
    <row r="5" spans="1:4" x14ac:dyDescent="0.25">
      <c r="A5" s="1" t="str">
        <v>Bill</v>
      </c>
      <c r="B5" s="1" t="str">
        <v>32075 - Waldorf Astoria - Hotel - Lower Podium Ornamental Metal Railings 8F</v>
      </c>
      <c r="C5" s="2" t="str">
        <v>Total Costs : RG Subcontractor</v>
      </c>
      <c r="D5" s="3">
        <v>-60825</v>
      </c>
    </row>
    <row r="6" spans="1:4" x14ac:dyDescent="0.25">
      <c r="A6" s="1" t="str">
        <v>Bill</v>
      </c>
      <c r="B6" s="1" t="str">
        <v>32075 - Waldorf Astoria - Hotel - Lower Podium Ornamental Metal Railings 8F</v>
      </c>
      <c r="C6" s="2" t="str">
        <v>Total Costs : Engineering/Shop Drawing Services</v>
      </c>
      <c r="D6" s="3">
        <v>-44600</v>
      </c>
    </row>
    <row r="7" spans="1:4" x14ac:dyDescent="0.25">
      <c r="A7" s="1" t="str">
        <v>Bill</v>
      </c>
      <c r="B7" s="1" t="str">
        <v>32075 - Waldorf Astoria - Hotel - Lower Podium Ornamental Metal Railings 8F</v>
      </c>
      <c r="C7" s="2" t="str">
        <v>Total Costs : RG Bond Expense</v>
      </c>
      <c r="D7" s="3">
        <v>-41473.85</v>
      </c>
    </row>
    <row r="8" spans="1:4" x14ac:dyDescent="0.25">
      <c r="A8" s="1" t="str">
        <v>Bill</v>
      </c>
      <c r="B8" s="1" t="str">
        <v>32075 - Waldorf Astoria - Hotel - Lower Podium Ornamental Metal Railings 8F</v>
      </c>
      <c r="C8" s="2" t="str">
        <v>Total Costs : Shipping Cost</v>
      </c>
      <c r="D8" s="3">
        <v>-31440.809999999998</v>
      </c>
    </row>
    <row r="9" spans="1:4" x14ac:dyDescent="0.25">
      <c r="A9" s="1" t="str">
        <v>Bill</v>
      </c>
      <c r="B9" s="1" t="str">
        <v>32075 - Waldorf Astoria - Hotel - Lower Podium Ornamental Metal Railings 8F</v>
      </c>
      <c r="C9" s="2" t="str">
        <v>Total Costs : RG Crating</v>
      </c>
      <c r="D9" s="3">
        <v>-17598</v>
      </c>
    </row>
    <row r="10" spans="1:4" x14ac:dyDescent="0.25">
      <c r="A10" s="1" t="str">
        <v>Journal</v>
      </c>
      <c r="B10" s="1" t="str">
        <v>32075 - Waldorf Astoria - Hotel - Lower Podium Ornamental Metal Railings 8F</v>
      </c>
      <c r="C10" s="2" t="str">
        <v>Total Costs : Vendor Tax</v>
      </c>
      <c r="D10" s="3">
        <v>-15930.57</v>
      </c>
    </row>
    <row r="11" spans="1:4" x14ac:dyDescent="0.25">
      <c r="A11" s="1" t="str">
        <v>Journal</v>
      </c>
      <c r="B11" s="1" t="str">
        <v>32075 - Waldorf Astoria - Hotel - Lower Podium Ornamental Metal Railings 8F</v>
      </c>
      <c r="C11" s="2" t="str">
        <v>Total Costs : Project Management salaries</v>
      </c>
      <c r="D11" s="3">
        <v>-11477.61</v>
      </c>
    </row>
    <row r="12" spans="1:4" x14ac:dyDescent="0.25">
      <c r="A12" s="1" t="str">
        <v>Journal</v>
      </c>
      <c r="B12" s="1" t="str">
        <v>32075 - Waldorf Astoria - Hotel - Lower Podium Ornamental Metal Railings 8F</v>
      </c>
      <c r="C12" s="2" t="str">
        <v>Total Costs : Engineering Salaries</v>
      </c>
      <c r="D12" s="3">
        <v>-8589.32</v>
      </c>
    </row>
    <row r="13" spans="1:4" x14ac:dyDescent="0.25">
      <c r="A13" s="1" t="str">
        <v>Credit Card</v>
      </c>
      <c r="B13" s="1" t="str">
        <v>32075 - Waldorf Astoria - Hotel - Lower Podium Ornamental Metal Railings 8F</v>
      </c>
      <c r="C13" s="2" t="str">
        <v>Total Costs : Setup Fees</v>
      </c>
      <c r="D13" s="3">
        <v>-7500</v>
      </c>
    </row>
    <row r="14" spans="1:4" x14ac:dyDescent="0.25">
      <c r="A14" s="1" t="str">
        <v>Journal</v>
      </c>
      <c r="B14" s="1" t="str">
        <v>32075 - Waldorf Astoria - Hotel - Lower Podium Ornamental Metal Railings 8F</v>
      </c>
      <c r="C14" s="2" t="str">
        <v>Total Costs : Project Superintendent Salaries</v>
      </c>
      <c r="D14" s="3">
        <v>-1582.12</v>
      </c>
    </row>
    <row r="15" spans="1:4" x14ac:dyDescent="0.25">
      <c r="A15" s="1" t="str">
        <v>Bill</v>
      </c>
      <c r="B15" s="1" t="str">
        <v>32075 - Waldorf Astoria - Hotel - Lower Podium Ornamental Metal Railings 8F</v>
      </c>
      <c r="C15" s="2" t="str">
        <v>Total Costs : Vendor Tax</v>
      </c>
      <c r="D15" s="3">
        <v>-1361.23</v>
      </c>
    </row>
    <row r="16" spans="1:4" x14ac:dyDescent="0.25">
      <c r="A16" s="1" t="str">
        <v>Bill</v>
      </c>
      <c r="B16" s="1" t="str">
        <v>32075 - Waldorf Astoria - Hotel - Lower Podium Ornamental Metal Railings 8F</v>
      </c>
      <c r="C16" s="2" t="str">
        <v>Total Costs : Customs &amp; Duties</v>
      </c>
      <c r="D16" s="3">
        <v>-995.8599999999999</v>
      </c>
    </row>
    <row r="17" spans="1:4" x14ac:dyDescent="0.25">
      <c r="A17" s="1" t="str">
        <v>Bill</v>
      </c>
      <c r="B17" s="1" t="str">
        <v>32075 - Waldorf Astoria - Hotel - Lower Podium Ornamental Metal Railings 8F</v>
      </c>
      <c r="C17" s="2" t="str">
        <v>Architectural Glass - Total Costs : AG Shipping</v>
      </c>
      <c r="D17" s="3">
        <v>-991.56</v>
      </c>
    </row>
    <row r="18" spans="1:4" x14ac:dyDescent="0.25">
      <c r="A18" s="1" t="str">
        <v>Bill</v>
      </c>
      <c r="B18" s="1" t="str">
        <v>32075 - Waldorf Astoria - Hotel - Lower Podium Ornamental Metal Railings 8F</v>
      </c>
      <c r="C18" s="2" t="str">
        <v>Glass Walls - Total Cost : GW Shop Drawing Services</v>
      </c>
      <c r="D18" s="3">
        <v>-951.5</v>
      </c>
    </row>
    <row r="19" spans="1:4" x14ac:dyDescent="0.25">
      <c r="A19" s="1" t="str">
        <v>Credit Card</v>
      </c>
      <c r="B19" s="1" t="str">
        <v>32075 - Waldorf Astoria - Hotel - Lower Podium Ornamental Metal Railings 8F</v>
      </c>
      <c r="C19" s="2" t="str">
        <v>Total Costs : Vendor Tax</v>
      </c>
      <c r="D19" s="3">
        <v>-665.62</v>
      </c>
    </row>
    <row r="20" spans="1:4" x14ac:dyDescent="0.25">
      <c r="A20" s="1" t="str">
        <v>Bill</v>
      </c>
      <c r="B20" s="1" t="str">
        <v>32075 - Waldorf Astoria - Hotel - Lower Podium Ornamental Metal Railings 8F</v>
      </c>
      <c r="C20" s="2" t="str">
        <v>Commercial Bath - Total Costs : CB Shipping</v>
      </c>
      <c r="D20" s="3">
        <v>-442.34</v>
      </c>
    </row>
    <row r="21" spans="1:4" x14ac:dyDescent="0.25">
      <c r="A21" s="1" t="str">
        <v>Bill</v>
      </c>
      <c r="B21" s="1" t="str">
        <v>32075 - Waldorf Astoria - Hotel - Lower Podium Ornamental Metal Railings 8F</v>
      </c>
      <c r="C21" s="2" t="str">
        <v>Total Costs : RG Energy Surcharge</v>
      </c>
      <c r="D21" s="3">
        <v>-256.33</v>
      </c>
    </row>
    <row r="22" spans="1:4" x14ac:dyDescent="0.25">
      <c r="A22" s="1" t="str">
        <v>Check</v>
      </c>
      <c r="B22" s="1" t="str">
        <v>32075 - Waldorf Astoria - Hotel - Lower Podium Ornamental Metal Railings 8F</v>
      </c>
      <c r="C22" s="2" t="str">
        <v>Total Costs : Project Travel &amp; Misc Expense</v>
      </c>
      <c r="D22" s="3">
        <v>-174.31</v>
      </c>
    </row>
    <row r="23" spans="1:4" x14ac:dyDescent="0.25">
      <c r="A23" s="1" t="str">
        <v>Check</v>
      </c>
      <c r="B23" s="1" t="str">
        <v>32075 - Waldorf Astoria - Hotel - Lower Podium Ornamental Metal Railings 8F</v>
      </c>
      <c r="C23" s="2" t="str">
        <v>Total Costs : Hardware &amp; Tools</v>
      </c>
      <c r="D23" s="3">
        <v>-38.68</v>
      </c>
    </row>
    <row r="24" spans="1:4" x14ac:dyDescent="0.25">
      <c r="A24" s="1" t="str">
        <v>Bill Credit</v>
      </c>
      <c r="B24" s="1" t="str">
        <v>32075 - Waldorf Astoria - Hotel - Lower Podium Ornamental Metal Railings 8F</v>
      </c>
      <c r="C24" s="2" t="str">
        <v>Total Costs : Vendor Tax</v>
      </c>
      <c r="D24" s="3">
        <v>8.94</v>
      </c>
    </row>
    <row r="25" spans="1:4" x14ac:dyDescent="0.25">
      <c r="A25" s="1" t="str">
        <v>Bill Credit</v>
      </c>
      <c r="B25" s="1" t="str">
        <v>32075 - Waldorf Astoria - Hotel - Lower Podium Ornamental Metal Railings 8F</v>
      </c>
      <c r="C25" s="2" t="str">
        <v>Total Costs : Shipping Cost</v>
      </c>
      <c r="D25" s="3">
        <v>10.75</v>
      </c>
    </row>
    <row r="26" spans="1:4" x14ac:dyDescent="0.25">
      <c r="A26" s="1" t="str">
        <v>Bill Credit</v>
      </c>
      <c r="B26" s="1" t="str">
        <v>32075 - Waldorf Astoria - Hotel - Lower Podium Ornamental Metal Railings 8F</v>
      </c>
      <c r="C26" s="2" t="str">
        <v>Total Costs : RG Materials</v>
      </c>
      <c r="D26" s="3">
        <v>90</v>
      </c>
    </row>
    <row r="27" spans="1:4" x14ac:dyDescent="0.25">
      <c r="A27" s="1" t="str">
        <v>Invoice</v>
      </c>
      <c r="B27" s="1" t="str">
        <v>32075 - Waldorf Astoria - Hotel - Lower Podium Ornamental Metal Railings 8F</v>
      </c>
      <c r="C27" s="2" t="str">
        <v>RG Glass - Total Sales : RG Glass Sales</v>
      </c>
      <c r="D27" s="3">
        <v>1429639.94</v>
      </c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2025-01-01T10:44:34Z</dcterms:created>
  <dcterms:modified xsi:type="dcterms:W3CDTF">2025-01-09T06:18:43Z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2025-01-01T10:44:43Z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caccf1fd-f557-43f8-b744-3fd0e25f8fb6</vt:lpwstr>
  </property>
  <property fmtid="{D5CDD505-2E9C-101B-9397-08002B2CF9AE}" pid="8" name="MSIP_Label_defa4170-0d19-0005-0004-bc88714345d2_ContentBits">
    <vt:lpwstr>0</vt:lpwstr>
  </property>
</Properties>
</file>