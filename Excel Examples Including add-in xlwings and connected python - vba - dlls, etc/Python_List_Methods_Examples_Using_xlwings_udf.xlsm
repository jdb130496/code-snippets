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13_ncr:1_{58EC23E6-FA7A-40D9-B65D-26740392727C}" xr6:coauthVersionLast="47" xr6:coauthVersionMax="47" xr10:uidLastSave="{00000000-0000-0000-0000-000000000000}"/>
  <bookViews>
    <workbookView xWindow="-120" yWindow="-120" windowWidth="20730" windowHeight="11040" activeTab="1" xr2:uid="{AC825BD0-2689-4F03-B10E-76CE8DA541B1}"/>
  </bookViews>
  <sheets>
    <sheet name="xlwings UDF" sheetId="1" r:id="rId1"/>
    <sheet name="Excel Native PY" sheetId="2" r:id="rId2"/>
  </sheets>
  <definedNames>
    <definedName name="_xlpm.range1" hidden="1" xlm="1">#NAME?</definedName>
    <definedName name="_xlpm.range2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APPEND_IMAG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PPEND_VALU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ecs="http://schemas.microsoft.com/office/spreadsheetml/2023/externalCodeService" uri="{FA53438D-04C0-449E-B49E-183307DE486D}">
      <xlecs:externalCodeService autoShow="0"/>
    </ext>
  </extLst>
</workbook>
</file>

<file path=xl/calcChain.xml><?xml version="1.0" encoding="utf-8"?>
<calcChain xmlns="http://schemas.openxmlformats.org/spreadsheetml/2006/main">
  <c r="I14" i="2" l="1"/>
  <c r="H12" i="1" a="1"/>
  <c r="H11" i="1" a="1"/>
  <c r="H9" i="1" a="1"/>
  <c r="H8" i="1" a="1"/>
  <c r="H8" i="1" s="1"/>
  <c r="H7" i="1" a="1"/>
  <c r="H6" i="1" a="1"/>
  <c r="H5" i="1" a="1"/>
  <c r="H5" i="1" s="1"/>
  <c r="H4" i="1" a="1"/>
  <c r="H4" i="1" s="1"/>
  <c r="H3" i="1" a="1"/>
  <c r="H2" i="1" a="1"/>
  <c r="H10" i="1" a="1"/>
  <c r="H10" i="1" s="1"/>
  <c r="F2" i="2" a="1"/>
  <c r="F2" i="2" s="1"/>
  <c r="F3" i="2" s="1" a="1"/>
  <c r="F3" i="2" s="1"/>
  <c r="F5" i="2" s="1" a="1"/>
  <c r="F5" i="2" s="1"/>
  <c r="H12" i="1" l="1"/>
  <c r="H11" i="1"/>
  <c r="H7" i="1"/>
  <c r="H6" i="1"/>
  <c r="H3" i="1"/>
  <c r="H2" i="1"/>
  <c r="H9" i="1"/>
  <c r="F6" i="2" a="1"/>
  <c r="F6" i="2" s="1"/>
  <c r="F7" i="2" s="1" a="1"/>
  <c r="F7" i="2" s="1"/>
  <c r="F8" i="2" s="1" a="1"/>
  <c r="F8" i="2" s="1"/>
  <c r="F9" i="2" s="1" a="1"/>
  <c r="F9" i="2" s="1"/>
  <c r="F10" i="2" s="1" a="1"/>
  <c r="F10" i="2" s="1"/>
  <c r="F11" i="2" s="1" a="1"/>
  <c r="F1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import numpy as np;lst=np.array(xl(%P2%));horizontal_lst = np.append(lst, xl(%P3%)).reshape(1, -1)</code>
    </pythonScript>
    <pythonScript>
      <code>import numpy as np;lst=np.array(xl(%P2%));h_lst = np.concatenate((lst, np.array(xl(%P3%)))).reshape(1, -1)</code>
    </pythonScript>
    <pythonScript>
      <code>import numpy as np;lst=np.array(xl(%P2%));h_lst = np.delete(lst,[0,2])</code>
    </pythonScript>
    <pythonScript>
      <code>import numpy as np;lst=np.array(xl(%P2%));h_lst = np.insert(lst,[0,2],[34,22]).reshape(1,-1)</code>
    </pythonScript>
    <pythonScript>
      <code>import numpy as np;lst=np.array(xl(%P2%));lst=lst[lst != xl(%P3%)].reshape(1,-1)</code>
    </pythonScript>
    <pythonScript>
      <code>import numpy as np;lst=np.array(xl(%P2%));lst=np.sum(lst == xl(%P3%))</code>
    </pythonScript>
    <pythonScript>
      <code>import numpy as np;lst=np.array(xl(%P2%));lst = np.flip(lst)</code>
    </pythonScript>
    <pythonScript>
      <code>import numpy as np;lst=np.array(xl(%P2%));index = np.array(np.where(lst == xl(%P3%))).reshape(1,-1);noe = np.size(index) // 2 if np.size(index) != 2 else np.size(index);index.flatten()[-noe:].reshape(1,-1)[0][1]</code>
    </pythonScript>
    <pythonScript>
      <code>import numpy as np; lst = np.array(xl(%P2%)).copy(); lst[lst == None] = ''; lst</code>
    </pythonScript>
  </pythonScripts>
</python>
</file>

<file path=xl/sharedStrings.xml><?xml version="1.0" encoding="utf-8"?>
<sst xmlns="http://schemas.openxmlformats.org/spreadsheetml/2006/main" count="40" uniqueCount="26">
  <si>
    <t>.append</t>
  </si>
  <si>
    <t>.extend</t>
  </si>
  <si>
    <t>.clear</t>
  </si>
  <si>
    <t>.pop</t>
  </si>
  <si>
    <t>.insert</t>
  </si>
  <si>
    <t>.remove</t>
  </si>
  <si>
    <t>Data</t>
  </si>
  <si>
    <t>Input Arguments</t>
  </si>
  <si>
    <t>Results&gt;&gt;&gt;&gt;</t>
  </si>
  <si>
    <t>.count</t>
  </si>
  <si>
    <t>.reverse</t>
  </si>
  <si>
    <t>.index</t>
  </si>
  <si>
    <t>.copy</t>
  </si>
  <si>
    <t>&lt;&lt;&lt; Append range can only contain single value</t>
  </si>
  <si>
    <t>&lt;&lt;&lt; Extend range can be used to insert multiple values.</t>
  </si>
  <si>
    <t>This is same as below but note the difference in number of arguments supplied.</t>
  </si>
  <si>
    <t>Python List Method</t>
  </si>
  <si>
    <t>Excel does not allow direct python list methods. As a workaround, numpy has been used.</t>
  </si>
  <si>
    <t>&lt;&lt;&lt; numpy array - append - Note numpy allows more than one element in append method</t>
  </si>
  <si>
    <t>&lt;&lt;&lt; numpy has no matching method like native python list.extend hence used concatenate - Note that for reshaping with concatenate, np.array has been converted to tuple</t>
  </si>
  <si>
    <t>&lt;&lt;&lt; numpy does not have pop method. So delete can be used as a workaround</t>
  </si>
  <si>
    <t>&lt;&lt;&lt; No remove method in numpy so workaround solution used.</t>
  </si>
  <si>
    <t>&lt;&lt; No direct count method in numpy so workaround used.</t>
  </si>
  <si>
    <t>&lt;&lt;&lt; Used flip method of numpy array equivalent of python lists reverse method</t>
  </si>
  <si>
    <t>&lt;&lt;&lt; note the last statement - Elements have been added as directed by the index in array</t>
  </si>
  <si>
    <t>&lt;&lt;&lt; numpy does not have clear method like Python lists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</si>
</sst>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23/09/relationships/Python" Target="pyth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EEB74-29E9-4464-84BE-CE9590F2BF84}">
  <sheetPr codeName="Sheet1"/>
  <dimension ref="A1:M12"/>
  <sheetViews>
    <sheetView workbookViewId="0">
      <selection activeCell="H4" sqref="H4"/>
    </sheetView>
  </sheetViews>
  <sheetFormatPr defaultRowHeight="15" x14ac:dyDescent="0.25"/>
  <cols>
    <col min="1" max="4" width="9.140625" style="1"/>
    <col min="5" max="5" width="21.85546875" style="1" customWidth="1"/>
    <col min="6" max="16384" width="9.140625" style="1"/>
  </cols>
  <sheetData>
    <row r="1" spans="1:13" x14ac:dyDescent="0.25">
      <c r="A1" s="5" t="s">
        <v>6</v>
      </c>
      <c r="B1" s="5"/>
      <c r="C1" s="5"/>
      <c r="D1" s="4"/>
      <c r="E1" s="3" t="s">
        <v>16</v>
      </c>
      <c r="F1" s="5" t="s">
        <v>7</v>
      </c>
      <c r="G1" s="5"/>
      <c r="H1" s="3" t="s">
        <v>8</v>
      </c>
    </row>
    <row r="2" spans="1:13" x14ac:dyDescent="0.25">
      <c r="A2" s="1">
        <v>12</v>
      </c>
      <c r="B2" s="1">
        <v>32</v>
      </c>
      <c r="C2" s="1">
        <v>45</v>
      </c>
      <c r="E2" s="2" t="s">
        <v>0</v>
      </c>
      <c r="F2" s="1">
        <v>37</v>
      </c>
      <c r="H2" s="1" t="e" cm="1">
        <f t="array" aca="1" ref="H2" ca="1">PYTHON_METHODS(A2:C2,E2,F2)</f>
        <v>#NAME?</v>
      </c>
      <c r="M2" s="1" t="s">
        <v>13</v>
      </c>
    </row>
    <row r="3" spans="1:13" x14ac:dyDescent="0.25">
      <c r="A3" s="1">
        <v>12</v>
      </c>
      <c r="B3" s="1">
        <v>32</v>
      </c>
      <c r="C3" s="1">
        <v>45</v>
      </c>
      <c r="E3" s="2" t="s">
        <v>1</v>
      </c>
      <c r="F3" s="1">
        <v>37</v>
      </c>
      <c r="G3" s="1">
        <v>76</v>
      </c>
      <c r="H3" s="1" t="e" cm="1">
        <f t="array" aca="1" ref="H3" ca="1">PYTHON_METHODS(A3:C3,E3,F3:G3)</f>
        <v>#NAME?</v>
      </c>
      <c r="M3" s="1" t="s">
        <v>14</v>
      </c>
    </row>
    <row r="4" spans="1:13" x14ac:dyDescent="0.25">
      <c r="A4" s="1">
        <v>12</v>
      </c>
      <c r="B4" s="1">
        <v>32</v>
      </c>
      <c r="C4" s="1">
        <v>45</v>
      </c>
      <c r="E4" s="1" t="s">
        <v>2</v>
      </c>
      <c r="H4" s="1" t="e" cm="1">
        <f t="array" aca="1" ref="H4" ca="1">PYTHON_METHODS(A4:C4,E4)</f>
        <v>#NAME?</v>
      </c>
    </row>
    <row r="5" spans="1:13" x14ac:dyDescent="0.25">
      <c r="A5" s="1">
        <v>12</v>
      </c>
      <c r="B5" s="1">
        <v>32</v>
      </c>
      <c r="C5" s="1">
        <v>45</v>
      </c>
      <c r="E5" s="1" t="s">
        <v>3</v>
      </c>
      <c r="F5" s="1">
        <v>0</v>
      </c>
      <c r="H5" s="1" t="e" cm="1">
        <f t="array" aca="1" ref="H5" ca="1">PYTHON_METHODS(A5:C5,E5,,F5)</f>
        <v>#NAME?</v>
      </c>
    </row>
    <row r="6" spans="1:13" x14ac:dyDescent="0.25">
      <c r="A6" s="1">
        <v>12</v>
      </c>
      <c r="B6" s="1">
        <v>32</v>
      </c>
      <c r="C6" s="1">
        <v>45</v>
      </c>
      <c r="E6" s="1" t="s">
        <v>4</v>
      </c>
      <c r="F6" s="1">
        <v>1</v>
      </c>
      <c r="G6" s="1">
        <v>89</v>
      </c>
      <c r="H6" s="1" t="e" cm="1">
        <f t="array" aca="1" ref="H6" ca="1">PYTHON_METHODS(A6:C6,E6,,F6,G6)</f>
        <v>#NAME?</v>
      </c>
    </row>
    <row r="7" spans="1:13" x14ac:dyDescent="0.25">
      <c r="A7" s="1">
        <v>12</v>
      </c>
      <c r="B7" s="1">
        <v>32</v>
      </c>
      <c r="C7" s="1">
        <v>45</v>
      </c>
      <c r="E7" s="1" t="s">
        <v>5</v>
      </c>
      <c r="H7" s="1" t="e" cm="1">
        <f t="array" aca="1" ref="H7" ca="1">PYTHON_METHODS(A7:C7,E7,,,C7)</f>
        <v>#NAME?</v>
      </c>
    </row>
    <row r="8" spans="1:13" x14ac:dyDescent="0.25">
      <c r="A8" s="1">
        <v>12</v>
      </c>
      <c r="B8" s="1">
        <v>32</v>
      </c>
      <c r="C8" s="1">
        <v>45</v>
      </c>
      <c r="D8" s="1">
        <v>12</v>
      </c>
      <c r="E8" s="1" t="s">
        <v>9</v>
      </c>
      <c r="H8" s="1" t="e" cm="1">
        <f t="array" aca="1" ref="H8" ca="1">PYTHON_METHODS(A8:D8,E8,,,A8)</f>
        <v>#NAME?</v>
      </c>
    </row>
    <row r="9" spans="1:13" x14ac:dyDescent="0.25">
      <c r="A9" s="1">
        <v>12</v>
      </c>
      <c r="B9" s="1">
        <v>32</v>
      </c>
      <c r="C9" s="1">
        <v>45</v>
      </c>
      <c r="E9" s="1" t="s">
        <v>10</v>
      </c>
      <c r="H9" s="1" t="e" cm="1">
        <f t="array" aca="1" ref="H9" ca="1">PYTHON_METHODS(A9:C9,E9)</f>
        <v>#NAME?</v>
      </c>
    </row>
    <row r="10" spans="1:13" x14ac:dyDescent="0.25">
      <c r="A10" s="1">
        <v>12</v>
      </c>
      <c r="B10" s="1">
        <v>32</v>
      </c>
      <c r="C10" s="1">
        <v>45</v>
      </c>
      <c r="D10" s="1">
        <v>12</v>
      </c>
      <c r="E10" s="1" t="s">
        <v>11</v>
      </c>
      <c r="H10" s="1" t="e" cm="1">
        <f t="array" aca="1" ref="H10" ca="1">PYTHON_METHODS(A10:D10,E10,,,B10)</f>
        <v>#NAME?</v>
      </c>
    </row>
    <row r="11" spans="1:13" x14ac:dyDescent="0.25">
      <c r="A11" s="1">
        <v>12</v>
      </c>
      <c r="B11" s="1">
        <v>32</v>
      </c>
      <c r="C11" s="1">
        <v>45</v>
      </c>
      <c r="E11" s="1" t="s">
        <v>12</v>
      </c>
      <c r="H11" s="1" t="e" cm="1">
        <f t="array" aca="1" ref="H11" ca="1">PYTHON_METHODS(A11:D11,E11,,,)</f>
        <v>#NAME?</v>
      </c>
      <c r="M11" s="1" t="s">
        <v>15</v>
      </c>
    </row>
    <row r="12" spans="1:13" x14ac:dyDescent="0.25">
      <c r="A12" s="1">
        <v>12</v>
      </c>
      <c r="B12" s="1">
        <v>32</v>
      </c>
      <c r="C12" s="1">
        <v>45</v>
      </c>
      <c r="E12" s="1" t="s">
        <v>12</v>
      </c>
      <c r="H12" s="1" t="e" cm="1">
        <f t="array" aca="1" ref="H12" ca="1">PYTHON_METHODS(A12:D12,E12)</f>
        <v>#NAME?</v>
      </c>
    </row>
  </sheetData>
  <mergeCells count="2">
    <mergeCell ref="A1:C1"/>
    <mergeCell ref="F1:G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7DFD5-97CE-41AA-9E8B-39879C5E0534}">
  <sheetPr codeName="Sheet2"/>
  <dimension ref="A1:L14"/>
  <sheetViews>
    <sheetView tabSelected="1" workbookViewId="0">
      <selection activeCell="F11" sqref="F11"/>
    </sheetView>
  </sheetViews>
  <sheetFormatPr defaultRowHeight="15" x14ac:dyDescent="0.25"/>
  <cols>
    <col min="5" max="5" width="21.85546875" style="1" customWidth="1"/>
    <col min="6" max="6" width="9.42578125" bestFit="1" customWidth="1"/>
  </cols>
  <sheetData>
    <row r="1" spans="1:12" x14ac:dyDescent="0.25">
      <c r="A1" s="5" t="s">
        <v>6</v>
      </c>
      <c r="B1" s="5"/>
      <c r="C1" s="5"/>
      <c r="D1" s="4"/>
      <c r="E1" s="3" t="s">
        <v>16</v>
      </c>
      <c r="F1" t="s">
        <v>17</v>
      </c>
    </row>
    <row r="2" spans="1:12" x14ac:dyDescent="0.25">
      <c r="A2" s="1">
        <v>12</v>
      </c>
      <c r="B2" s="1">
        <v>32</v>
      </c>
      <c r="C2" s="1">
        <v>45</v>
      </c>
      <c r="D2" s="1"/>
      <c r="E2" s="2" t="s">
        <v>0</v>
      </c>
      <c r="F2" cm="1">
        <f t="array" ref="F2:J2">_xlfn._xlws.PY(0,0,A2:C2,B2:C2)</f>
        <v>12</v>
      </c>
      <c r="G2">
        <v>32</v>
      </c>
      <c r="H2">
        <v>45</v>
      </c>
      <c r="I2">
        <v>32</v>
      </c>
      <c r="J2">
        <v>45</v>
      </c>
      <c r="L2" t="s">
        <v>18</v>
      </c>
    </row>
    <row r="3" spans="1:12" x14ac:dyDescent="0.25">
      <c r="A3" s="1">
        <v>12</v>
      </c>
      <c r="B3" s="1">
        <v>32</v>
      </c>
      <c r="C3" s="1">
        <v>45</v>
      </c>
      <c r="D3" s="1"/>
      <c r="E3" s="2" t="s">
        <v>1</v>
      </c>
      <c r="F3" cm="1">
        <f t="array" ref="F3:K3">_xlfn._xlws.PY(1,0,A3:C3,A3:C3)</f>
        <v>12</v>
      </c>
      <c r="G3">
        <v>32</v>
      </c>
      <c r="H3">
        <v>45</v>
      </c>
      <c r="I3">
        <v>12</v>
      </c>
      <c r="J3">
        <v>32</v>
      </c>
      <c r="K3">
        <v>45</v>
      </c>
      <c r="L3" t="s">
        <v>19</v>
      </c>
    </row>
    <row r="4" spans="1:12" x14ac:dyDescent="0.25">
      <c r="A4" s="1">
        <v>12</v>
      </c>
      <c r="B4" s="1">
        <v>32</v>
      </c>
      <c r="C4" s="1">
        <v>45</v>
      </c>
      <c r="D4" s="1"/>
      <c r="E4" s="1" t="s">
        <v>2</v>
      </c>
      <c r="L4" t="s">
        <v>25</v>
      </c>
    </row>
    <row r="5" spans="1:12" x14ac:dyDescent="0.25">
      <c r="A5" s="1">
        <v>12</v>
      </c>
      <c r="B5" s="1">
        <v>32</v>
      </c>
      <c r="C5" s="1">
        <v>45</v>
      </c>
      <c r="D5" s="1"/>
      <c r="E5" s="1" t="s">
        <v>3</v>
      </c>
      <c r="F5" cm="1">
        <f t="array" ref="F5">_xlfn._xlws.PY(2,0,A5:C5)</f>
        <v>32</v>
      </c>
      <c r="L5" t="s">
        <v>20</v>
      </c>
    </row>
    <row r="6" spans="1:12" x14ac:dyDescent="0.25">
      <c r="A6" s="1">
        <v>12</v>
      </c>
      <c r="B6" s="1">
        <v>32</v>
      </c>
      <c r="C6" s="1">
        <v>45</v>
      </c>
      <c r="D6" s="1"/>
      <c r="E6" s="1" t="s">
        <v>4</v>
      </c>
      <c r="F6" cm="1">
        <f t="array" ref="F6:J6">_xlfn._xlws.PY(3,0,A6:C6)</f>
        <v>34</v>
      </c>
      <c r="G6">
        <v>12</v>
      </c>
      <c r="H6">
        <v>32</v>
      </c>
      <c r="I6">
        <v>22</v>
      </c>
      <c r="J6">
        <v>45</v>
      </c>
      <c r="L6" t="s">
        <v>24</v>
      </c>
    </row>
    <row r="7" spans="1:12" x14ac:dyDescent="0.25">
      <c r="A7" s="1">
        <v>12</v>
      </c>
      <c r="B7" s="1">
        <v>32</v>
      </c>
      <c r="C7" s="1">
        <v>45</v>
      </c>
      <c r="D7" s="1"/>
      <c r="E7" s="1" t="s">
        <v>5</v>
      </c>
      <c r="F7" cm="1">
        <f t="array" ref="F7:G7">_xlfn._xlws.PY(4,0,A7:C7,C7)</f>
        <v>12</v>
      </c>
      <c r="G7">
        <v>32</v>
      </c>
      <c r="L7" t="s">
        <v>21</v>
      </c>
    </row>
    <row r="8" spans="1:12" x14ac:dyDescent="0.25">
      <c r="A8" s="1">
        <v>12</v>
      </c>
      <c r="B8" s="1">
        <v>32</v>
      </c>
      <c r="C8" s="1">
        <v>45</v>
      </c>
      <c r="D8" s="1">
        <v>12</v>
      </c>
      <c r="E8" s="1" t="s">
        <v>9</v>
      </c>
      <c r="F8" cm="1">
        <f t="array" ref="F8">_xlfn._xlws.PY(5,0,A8:D8,A8)</f>
        <v>2</v>
      </c>
      <c r="L8" t="s">
        <v>22</v>
      </c>
    </row>
    <row r="9" spans="1:12" x14ac:dyDescent="0.25">
      <c r="A9" s="1">
        <v>12</v>
      </c>
      <c r="B9" s="1">
        <v>32</v>
      </c>
      <c r="C9" s="1">
        <v>45</v>
      </c>
      <c r="D9" s="1"/>
      <c r="E9" s="1" t="s">
        <v>10</v>
      </c>
      <c r="F9" cm="1">
        <f t="array" ref="F9:H9">_xlfn._xlws.PY(6,0,A9:C9)</f>
        <v>45</v>
      </c>
      <c r="G9">
        <v>32</v>
      </c>
      <c r="H9">
        <v>12</v>
      </c>
      <c r="L9" t="s">
        <v>23</v>
      </c>
    </row>
    <row r="10" spans="1:12" x14ac:dyDescent="0.25">
      <c r="A10" s="1">
        <v>45</v>
      </c>
      <c r="B10" s="1">
        <v>13</v>
      </c>
      <c r="C10" s="1">
        <v>12</v>
      </c>
      <c r="D10" s="1">
        <v>12</v>
      </c>
      <c r="E10" s="1" t="s">
        <v>11</v>
      </c>
      <c r="F10" cm="1">
        <f t="array" ref="F10">_xlfn._xlws.PY(7,0,A10:D10,C10)</f>
        <v>3</v>
      </c>
    </row>
    <row r="11" spans="1:12" x14ac:dyDescent="0.25">
      <c r="A11" s="1">
        <v>12</v>
      </c>
      <c r="B11" s="1">
        <v>32</v>
      </c>
      <c r="C11" s="1">
        <v>45</v>
      </c>
      <c r="D11" s="1"/>
      <c r="E11" s="1" t="s">
        <v>12</v>
      </c>
      <c r="F11" cm="1">
        <f t="array" ref="F11:I11">_xlfn._xlws.PY(8,0,A11:D11)</f>
        <v>12</v>
      </c>
      <c r="G11">
        <v>32</v>
      </c>
      <c r="H11">
        <v>45</v>
      </c>
      <c r="I11" t="str">
        <v/>
      </c>
    </row>
    <row r="12" spans="1:12" x14ac:dyDescent="0.25">
      <c r="A12" s="1">
        <v>12</v>
      </c>
      <c r="B12" s="1">
        <v>32</v>
      </c>
      <c r="C12" s="1">
        <v>45</v>
      </c>
      <c r="D12" s="1"/>
      <c r="E12" s="1" t="s">
        <v>12</v>
      </c>
    </row>
    <row r="14" spans="1:12" x14ac:dyDescent="0.25">
      <c r="I14">
        <f>LEN(I11)</f>
        <v>0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E8E205341E0042BC2A682EB7BB845C" ma:contentTypeVersion="14" ma:contentTypeDescription="Create a new document." ma:contentTypeScope="" ma:versionID="78471306bb6e6a3a23ffb12e55f28f3b">
  <xsd:schema xmlns:xsd="http://www.w3.org/2001/XMLSchema" xmlns:xs="http://www.w3.org/2001/XMLSchema" xmlns:p="http://schemas.microsoft.com/office/2006/metadata/properties" xmlns:ns3="9c8d4fcd-d01c-4621-bfc5-58360cd7efc8" xmlns:ns4="a44296ea-b876-4e74-99db-a398b68d888f" targetNamespace="http://schemas.microsoft.com/office/2006/metadata/properties" ma:root="true" ma:fieldsID="52ebebca302874f8fd38354c9799f671" ns3:_="" ns4:_="">
    <xsd:import namespace="9c8d4fcd-d01c-4621-bfc5-58360cd7efc8"/>
    <xsd:import namespace="a44296ea-b876-4e74-99db-a398b68d88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d4fcd-d01c-4621-bfc5-58360cd7ef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4296ea-b876-4e74-99db-a398b68d88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c8d4fcd-d01c-4621-bfc5-58360cd7efc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11BAAE-41AF-4850-B4E6-58D52FC6DD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8d4fcd-d01c-4621-bfc5-58360cd7efc8"/>
    <ds:schemaRef ds:uri="a44296ea-b876-4e74-99db-a398b68d88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EE0C9E-42BC-46FF-8399-85727D26C36C}">
  <ds:schemaRefs>
    <ds:schemaRef ds:uri="http://schemas.microsoft.com/office/infopath/2007/PartnerControls"/>
    <ds:schemaRef ds:uri="http://purl.org/dc/elements/1.1/"/>
    <ds:schemaRef ds:uri="http://purl.org/dc/terms/"/>
    <ds:schemaRef ds:uri="a44296ea-b876-4e74-99db-a398b68d888f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9c8d4fcd-d01c-4621-bfc5-58360cd7efc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BA28EA3-1F66-4548-BA4D-BDB5B1E017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xlwings UDF</vt:lpstr>
      <vt:lpstr>Excel Native 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2025-05-10T05:22:07Z</dcterms:created>
  <dcterms:modified xsi:type="dcterms:W3CDTF">2025-05-13T04:06:04Z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0x0101000EE8E205341E0042BC2A682EB7BB845C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2025-05-10T06:29:05Z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d539f4e3-8f99-4558-8b4d-a89e69d6b5e5</vt:lpwstr>
  </property>
  <property fmtid="{D5CDD505-2E9C-101B-9397-08002B2CF9AE}" pid="8" name="MSIP_Label_defa4170-0d19-0005-0004-bc88714345d2_ActionId">
    <vt:lpwstr>cfe18a1c-da90-4cd2-a489-be0e77f09319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